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01816C00-68D4-460A-808D-A8EECF347180}" xr6:coauthVersionLast="46" xr6:coauthVersionMax="46" xr10:uidLastSave="{00000000-0000-0000-0000-000000000000}"/>
  <bookViews>
    <workbookView xWindow="-120" yWindow="-120" windowWidth="29040" windowHeight="15990" activeTab="3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EVALUATION" sheetId="8" r:id="rId5"/>
    <sheet name="data" sheetId="7" r:id="rId6"/>
    <sheet name="A" sheetId="13" r:id="rId7"/>
    <sheet name="F" sheetId="14" r:id="rId8"/>
    <sheet name="S" sheetId="15" r:id="rId9"/>
  </sheets>
  <functionGroups builtInGroupCount="19"/>
  <externalReferences>
    <externalReference r:id="rId10"/>
  </externalReferences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4" l="1"/>
  <c r="D37" i="4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B32" i="8"/>
  <c r="E31" i="8"/>
  <c r="D31" i="8"/>
  <c r="C31" i="8"/>
  <c r="E30" i="8"/>
  <c r="D30" i="8"/>
  <c r="C30" i="8"/>
  <c r="E29" i="8"/>
  <c r="D29" i="8"/>
  <c r="C29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AL45" i="12"/>
  <c r="AH34" i="8" s="1"/>
  <c r="AK45" i="12"/>
  <c r="AG34" i="8" s="1"/>
  <c r="AJ45" i="12"/>
  <c r="AF34" i="8" s="1"/>
  <c r="AI45" i="12"/>
  <c r="AE34" i="8" s="1"/>
  <c r="AH45" i="12"/>
  <c r="AD34" i="8" s="1"/>
  <c r="AG45" i="12"/>
  <c r="AC34" i="8" s="1"/>
  <c r="AF45" i="12"/>
  <c r="AB34" i="8" s="1"/>
  <c r="AE45" i="12"/>
  <c r="AA34" i="8" s="1"/>
  <c r="AD45" i="12"/>
  <c r="Z34" i="8" s="1"/>
  <c r="AC45" i="12"/>
  <c r="Y34" i="8" s="1"/>
  <c r="AB45" i="12"/>
  <c r="X34" i="8" s="1"/>
  <c r="AA45" i="12"/>
  <c r="W34" i="8" s="1"/>
  <c r="Z45" i="12"/>
  <c r="V34" i="8" s="1"/>
  <c r="Y45" i="12"/>
  <c r="U34" i="8" s="1"/>
  <c r="X45" i="12"/>
  <c r="T34" i="8" s="1"/>
  <c r="W45" i="12"/>
  <c r="S34" i="8" s="1"/>
  <c r="V45" i="12"/>
  <c r="R34" i="8" s="1"/>
  <c r="U45" i="12"/>
  <c r="Q34" i="8" s="1"/>
  <c r="T45" i="12"/>
  <c r="P34" i="8" s="1"/>
  <c r="S45" i="12"/>
  <c r="O34" i="8" s="1"/>
  <c r="R45" i="12"/>
  <c r="N34" i="8" s="1"/>
  <c r="Q45" i="12"/>
  <c r="M34" i="8" s="1"/>
  <c r="P45" i="12"/>
  <c r="L34" i="8" s="1"/>
  <c r="O45" i="12"/>
  <c r="K34" i="8" s="1"/>
  <c r="N45" i="12"/>
  <c r="J34" i="8" s="1"/>
  <c r="M45" i="12"/>
  <c r="I34" i="8" s="1"/>
  <c r="L45" i="12"/>
  <c r="H34" i="8" s="1"/>
  <c r="K45" i="12"/>
  <c r="G34" i="8" s="1"/>
  <c r="J45" i="12"/>
  <c r="F34" i="8" s="1"/>
  <c r="I45" i="12"/>
  <c r="E34" i="8" s="1"/>
  <c r="H45" i="12"/>
  <c r="D34" i="8" s="1"/>
  <c r="G45" i="12"/>
  <c r="C34" i="8" s="1"/>
  <c r="F45" i="12"/>
  <c r="B34" i="8" s="1"/>
  <c r="E45" i="12"/>
  <c r="E79" i="12" s="1"/>
  <c r="D41" i="12" a="1"/>
  <c r="D41" i="12" s="1"/>
  <c r="C41" i="12" a="1"/>
  <c r="C41" i="12" s="1"/>
  <c r="B41" i="12" a="1"/>
  <c r="B41" i="12" s="1"/>
  <c r="A41" i="12" a="1"/>
  <c r="A41" i="12" s="1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D37" i="12"/>
  <c r="AF37" i="12" s="1"/>
  <c r="D36" i="12"/>
  <c r="AJ36" i="12" s="1"/>
  <c r="AF35" i="12"/>
  <c r="D34" i="12"/>
  <c r="AG34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A2" i="12"/>
  <c r="A114" i="12" s="1"/>
  <c r="A115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5" i="11"/>
  <c r="E109" i="11" s="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L45" i="11"/>
  <c r="AH2" i="8" s="1"/>
  <c r="AK45" i="11"/>
  <c r="AG2" i="8" s="1"/>
  <c r="AJ45" i="11"/>
  <c r="AF2" i="8" s="1"/>
  <c r="AI45" i="11"/>
  <c r="AE2" i="8" s="1"/>
  <c r="AH45" i="11"/>
  <c r="AD2" i="8" s="1"/>
  <c r="AG45" i="11"/>
  <c r="AC2" i="8" s="1"/>
  <c r="AF45" i="11"/>
  <c r="AB2" i="8" s="1"/>
  <c r="AE45" i="11"/>
  <c r="AA2" i="8" s="1"/>
  <c r="AD45" i="11"/>
  <c r="Z2" i="8" s="1"/>
  <c r="AC45" i="11"/>
  <c r="Y2" i="8" s="1"/>
  <c r="AB45" i="11"/>
  <c r="X2" i="8" s="1"/>
  <c r="AA45" i="11"/>
  <c r="W2" i="8" s="1"/>
  <c r="Z45" i="11"/>
  <c r="V2" i="8" s="1"/>
  <c r="Y45" i="11"/>
  <c r="U2" i="8" s="1"/>
  <c r="X45" i="11"/>
  <c r="T2" i="8" s="1"/>
  <c r="W45" i="11"/>
  <c r="S2" i="8" s="1"/>
  <c r="V45" i="11"/>
  <c r="R2" i="8" s="1"/>
  <c r="U45" i="11"/>
  <c r="Q2" i="8" s="1"/>
  <c r="T45" i="11"/>
  <c r="P2" i="8" s="1"/>
  <c r="S45" i="11"/>
  <c r="O2" i="8" s="1"/>
  <c r="R45" i="11"/>
  <c r="N2" i="8" s="1"/>
  <c r="Q45" i="11"/>
  <c r="M2" i="8" s="1"/>
  <c r="P45" i="11"/>
  <c r="L2" i="8" s="1"/>
  <c r="O45" i="11"/>
  <c r="K2" i="8" s="1"/>
  <c r="N45" i="11"/>
  <c r="J2" i="8" s="1"/>
  <c r="M45" i="11"/>
  <c r="I2" i="8" s="1"/>
  <c r="L45" i="11"/>
  <c r="H2" i="8" s="1"/>
  <c r="K45" i="11"/>
  <c r="G2" i="8" s="1"/>
  <c r="J45" i="11"/>
  <c r="F2" i="8" s="1"/>
  <c r="I45" i="11"/>
  <c r="E2" i="8" s="1"/>
  <c r="H45" i="11"/>
  <c r="D2" i="8" s="1"/>
  <c r="G45" i="11"/>
  <c r="C2" i="8" s="1"/>
  <c r="F45" i="11"/>
  <c r="B2" i="8" s="1"/>
  <c r="E45" i="11"/>
  <c r="E79" i="11" s="1"/>
  <c r="D41" i="11" a="1"/>
  <c r="D41" i="11" s="1"/>
  <c r="C41" i="11" a="1"/>
  <c r="C41" i="11" s="1"/>
  <c r="B41" i="11" a="1"/>
  <c r="B41" i="11" s="1"/>
  <c r="A41" i="11" a="1"/>
  <c r="A41" i="11" s="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D37" i="11"/>
  <c r="AB37" i="11" s="1"/>
  <c r="AK36" i="11"/>
  <c r="AJ35" i="11"/>
  <c r="AE34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B41" i="4" a="1"/>
  <c r="B41" i="4" s="1"/>
  <c r="C41" i="4" a="1"/>
  <c r="C41" i="4" s="1"/>
  <c r="D41" i="4" a="1"/>
  <c r="D41" i="4" s="1"/>
  <c r="A41" i="4" a="1"/>
  <c r="A41" i="4" s="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B2" i="2"/>
  <c r="B1" i="2" s="1"/>
  <c r="A2" i="11" s="1"/>
  <c r="A114" i="11" s="1"/>
  <c r="A115" i="11" s="1"/>
  <c r="A22" i="7"/>
  <c r="A49" i="8" l="1"/>
  <c r="A58" i="8"/>
  <c r="A57" i="8"/>
  <c r="BA4" i="12"/>
  <c r="AC36" i="12"/>
  <c r="A50" i="8"/>
  <c r="A42" i="8"/>
  <c r="BA3" i="12"/>
  <c r="E41" i="12"/>
  <c r="C78" i="12" s="1"/>
  <c r="AA108" i="12" s="1"/>
  <c r="A41" i="8"/>
  <c r="M37" i="12"/>
  <c r="A64" i="8"/>
  <c r="A56" i="8"/>
  <c r="A48" i="8"/>
  <c r="A40" i="8"/>
  <c r="N34" i="12"/>
  <c r="AC37" i="12"/>
  <c r="A63" i="8"/>
  <c r="A55" i="8"/>
  <c r="A47" i="8"/>
  <c r="A39" i="8"/>
  <c r="AA34" i="12"/>
  <c r="A62" i="8"/>
  <c r="A54" i="8"/>
  <c r="A46" i="8"/>
  <c r="A38" i="8"/>
  <c r="A61" i="8"/>
  <c r="A53" i="8"/>
  <c r="A45" i="8"/>
  <c r="A37" i="8"/>
  <c r="A60" i="8"/>
  <c r="A52" i="8"/>
  <c r="A44" i="8"/>
  <c r="A36" i="8"/>
  <c r="I36" i="12"/>
  <c r="A59" i="8"/>
  <c r="A51" i="8"/>
  <c r="A43" i="8"/>
  <c r="A35" i="8"/>
  <c r="E41" i="11"/>
  <c r="C78" i="11" s="1"/>
  <c r="BA4" i="11"/>
  <c r="A25" i="8"/>
  <c r="A17" i="8"/>
  <c r="A9" i="8"/>
  <c r="BA3" i="11"/>
  <c r="I35" i="11"/>
  <c r="V36" i="11"/>
  <c r="A32" i="8"/>
  <c r="A24" i="8"/>
  <c r="A16" i="8"/>
  <c r="A8" i="8"/>
  <c r="K35" i="11"/>
  <c r="A31" i="8"/>
  <c r="A23" i="8"/>
  <c r="A15" i="8"/>
  <c r="A7" i="8"/>
  <c r="Q35" i="11"/>
  <c r="X37" i="11"/>
  <c r="A30" i="8"/>
  <c r="A22" i="8"/>
  <c r="A14" i="8"/>
  <c r="A6" i="8"/>
  <c r="S35" i="11"/>
  <c r="AJ37" i="11"/>
  <c r="A29" i="8"/>
  <c r="A21" i="8"/>
  <c r="A13" i="8"/>
  <c r="A5" i="8"/>
  <c r="AC35" i="11"/>
  <c r="A28" i="8"/>
  <c r="A20" i="8"/>
  <c r="A12" i="8"/>
  <c r="A4" i="8"/>
  <c r="P34" i="11"/>
  <c r="AG35" i="11"/>
  <c r="A27" i="8"/>
  <c r="A19" i="8"/>
  <c r="A11" i="8"/>
  <c r="X34" i="11"/>
  <c r="AK35" i="11"/>
  <c r="A3" i="8"/>
  <c r="A26" i="8"/>
  <c r="A18" i="8"/>
  <c r="A10" i="8"/>
  <c r="O34" i="12"/>
  <c r="AC34" i="12"/>
  <c r="AG36" i="12"/>
  <c r="N37" i="12"/>
  <c r="AD37" i="12"/>
  <c r="E34" i="12"/>
  <c r="R34" i="12"/>
  <c r="AD34" i="12"/>
  <c r="E36" i="12"/>
  <c r="AK36" i="12"/>
  <c r="Q37" i="12"/>
  <c r="AG37" i="12"/>
  <c r="F34" i="12"/>
  <c r="S34" i="12"/>
  <c r="AE34" i="12"/>
  <c r="R37" i="12"/>
  <c r="AH37" i="12"/>
  <c r="G34" i="12"/>
  <c r="U34" i="12"/>
  <c r="AH34" i="12"/>
  <c r="M36" i="12"/>
  <c r="E37" i="12"/>
  <c r="U37" i="12"/>
  <c r="AK37" i="12"/>
  <c r="J34" i="12"/>
  <c r="V34" i="12"/>
  <c r="AI34" i="12"/>
  <c r="Q36" i="12"/>
  <c r="F37" i="12"/>
  <c r="V37" i="12"/>
  <c r="AL37" i="12"/>
  <c r="K34" i="12"/>
  <c r="W34" i="12"/>
  <c r="AK34" i="12"/>
  <c r="U36" i="12"/>
  <c r="I37" i="12"/>
  <c r="Y37" i="12"/>
  <c r="M34" i="12"/>
  <c r="Z34" i="12"/>
  <c r="AL34" i="12"/>
  <c r="Y36" i="12"/>
  <c r="J37" i="12"/>
  <c r="Z37" i="12"/>
  <c r="X36" i="11"/>
  <c r="AF34" i="11"/>
  <c r="U35" i="11"/>
  <c r="F36" i="11"/>
  <c r="Z36" i="11"/>
  <c r="Y35" i="11"/>
  <c r="H36" i="11"/>
  <c r="AD36" i="11"/>
  <c r="E35" i="11"/>
  <c r="AA35" i="11"/>
  <c r="J36" i="11"/>
  <c r="AF36" i="11"/>
  <c r="N36" i="11"/>
  <c r="AH36" i="11"/>
  <c r="P36" i="11"/>
  <c r="H34" i="11"/>
  <c r="M35" i="11"/>
  <c r="AI35" i="11"/>
  <c r="R36" i="11"/>
  <c r="K37" i="11"/>
  <c r="A80" i="12"/>
  <c r="W91" i="12"/>
  <c r="S82" i="12"/>
  <c r="F84" i="12"/>
  <c r="Y96" i="12"/>
  <c r="Z86" i="12"/>
  <c r="AD83" i="12"/>
  <c r="W84" i="12"/>
  <c r="G82" i="12"/>
  <c r="I97" i="12"/>
  <c r="T81" i="12"/>
  <c r="U95" i="12"/>
  <c r="Y80" i="12"/>
  <c r="AD90" i="12"/>
  <c r="AG87" i="12"/>
  <c r="AJ82" i="12"/>
  <c r="G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L34" i="12"/>
  <c r="T34" i="12"/>
  <c r="AB34" i="12"/>
  <c r="AJ34" i="12"/>
  <c r="I35" i="12"/>
  <c r="Q35" i="12"/>
  <c r="Y35" i="12"/>
  <c r="AG35" i="12"/>
  <c r="F36" i="12"/>
  <c r="N36" i="12"/>
  <c r="V36" i="12"/>
  <c r="AD36" i="12"/>
  <c r="AL36" i="12"/>
  <c r="K37" i="12"/>
  <c r="S37" i="12"/>
  <c r="AA37" i="12"/>
  <c r="AI37" i="12"/>
  <c r="J35" i="12"/>
  <c r="R35" i="12"/>
  <c r="Z35" i="12"/>
  <c r="AH35" i="12"/>
  <c r="G36" i="12"/>
  <c r="O36" i="12"/>
  <c r="W36" i="12"/>
  <c r="AE36" i="12"/>
  <c r="L37" i="12"/>
  <c r="T37" i="12"/>
  <c r="AB37" i="12"/>
  <c r="AJ37" i="12"/>
  <c r="K35" i="12"/>
  <c r="S35" i="12"/>
  <c r="AA35" i="12"/>
  <c r="AI35" i="12"/>
  <c r="H36" i="12"/>
  <c r="P36" i="12"/>
  <c r="X36" i="12"/>
  <c r="AF36" i="12"/>
  <c r="AF41" i="12" s="1"/>
  <c r="L35" i="12"/>
  <c r="T35" i="12"/>
  <c r="AB35" i="12"/>
  <c r="AJ35" i="12"/>
  <c r="A91" i="12"/>
  <c r="A93" i="12"/>
  <c r="A95" i="12"/>
  <c r="A97" i="12"/>
  <c r="A99" i="12"/>
  <c r="A101" i="12"/>
  <c r="A103" i="12"/>
  <c r="A105" i="12"/>
  <c r="A107" i="12"/>
  <c r="H34" i="12"/>
  <c r="P34" i="12"/>
  <c r="X34" i="12"/>
  <c r="AF34" i="12"/>
  <c r="E35" i="12"/>
  <c r="M35" i="12"/>
  <c r="U35" i="12"/>
  <c r="AC35" i="12"/>
  <c r="AK35" i="12"/>
  <c r="J36" i="12"/>
  <c r="R36" i="12"/>
  <c r="Z36" i="12"/>
  <c r="AH36" i="12"/>
  <c r="G37" i="12"/>
  <c r="O37" i="12"/>
  <c r="W37" i="12"/>
  <c r="AE37" i="12"/>
  <c r="I34" i="12"/>
  <c r="Q34" i="12"/>
  <c r="Y34" i="12"/>
  <c r="F35" i="12"/>
  <c r="N35" i="12"/>
  <c r="V35" i="12"/>
  <c r="AD35" i="12"/>
  <c r="AL35" i="12"/>
  <c r="K36" i="12"/>
  <c r="S36" i="12"/>
  <c r="AA36" i="12"/>
  <c r="AI36" i="12"/>
  <c r="H37" i="12"/>
  <c r="P37" i="12"/>
  <c r="X37" i="12"/>
  <c r="G35" i="12"/>
  <c r="O35" i="12"/>
  <c r="W35" i="12"/>
  <c r="AE35" i="12"/>
  <c r="L36" i="12"/>
  <c r="T36" i="12"/>
  <c r="AB36" i="12"/>
  <c r="H35" i="12"/>
  <c r="P35" i="12"/>
  <c r="X35" i="12"/>
  <c r="C115" i="12"/>
  <c r="A82" i="11"/>
  <c r="A84" i="11"/>
  <c r="A106" i="11"/>
  <c r="AG106" i="11"/>
  <c r="Y106" i="11"/>
  <c r="AK104" i="11"/>
  <c r="AC104" i="11"/>
  <c r="Y102" i="11"/>
  <c r="AK100" i="11"/>
  <c r="AC100" i="11"/>
  <c r="AG98" i="11"/>
  <c r="Y98" i="11"/>
  <c r="AK96" i="11"/>
  <c r="AC96" i="11"/>
  <c r="AB108" i="11"/>
  <c r="AF106" i="11"/>
  <c r="X106" i="11"/>
  <c r="F105" i="11"/>
  <c r="AJ104" i="11"/>
  <c r="J103" i="11"/>
  <c r="AF102" i="11"/>
  <c r="F101" i="11"/>
  <c r="R99" i="11"/>
  <c r="J99" i="11"/>
  <c r="V97" i="11"/>
  <c r="N97" i="11"/>
  <c r="Z95" i="11"/>
  <c r="R95" i="11"/>
  <c r="Q107" i="11"/>
  <c r="AC105" i="11"/>
  <c r="U105" i="11"/>
  <c r="Y103" i="11"/>
  <c r="Q103" i="11"/>
  <c r="AC101" i="11"/>
  <c r="U101" i="11"/>
  <c r="Y99" i="11"/>
  <c r="Q99" i="11"/>
  <c r="AF107" i="11"/>
  <c r="X107" i="11"/>
  <c r="O107" i="11"/>
  <c r="G107" i="11"/>
  <c r="S105" i="11"/>
  <c r="K105" i="11"/>
  <c r="O103" i="11"/>
  <c r="G103" i="11"/>
  <c r="S101" i="11"/>
  <c r="K101" i="11"/>
  <c r="O99" i="11"/>
  <c r="G99" i="11"/>
  <c r="S97" i="11"/>
  <c r="K97" i="11"/>
  <c r="O95" i="11"/>
  <c r="G95" i="11"/>
  <c r="V107" i="11"/>
  <c r="N107" i="11"/>
  <c r="Z105" i="11"/>
  <c r="R105" i="11"/>
  <c r="AD103" i="11"/>
  <c r="V103" i="11"/>
  <c r="AH101" i="11"/>
  <c r="Z101" i="11"/>
  <c r="AL99" i="11"/>
  <c r="AD99" i="11"/>
  <c r="AE108" i="11"/>
  <c r="W108" i="11"/>
  <c r="AI106" i="11"/>
  <c r="AA106" i="11"/>
  <c r="AE104" i="11"/>
  <c r="W104" i="11"/>
  <c r="AI102" i="11"/>
  <c r="AA102" i="11"/>
  <c r="AE100" i="11"/>
  <c r="W100" i="11"/>
  <c r="AI98" i="11"/>
  <c r="AA98" i="11"/>
  <c r="AE96" i="11"/>
  <c r="W96" i="11"/>
  <c r="AB107" i="11"/>
  <c r="AD106" i="11"/>
  <c r="H99" i="11"/>
  <c r="R98" i="11"/>
  <c r="AI94" i="11"/>
  <c r="AA94" i="11"/>
  <c r="AE92" i="11"/>
  <c r="W92" i="11"/>
  <c r="AI90" i="11"/>
  <c r="AA90" i="11"/>
  <c r="AE88" i="11"/>
  <c r="W88" i="11"/>
  <c r="AI86" i="11"/>
  <c r="AA86" i="11"/>
  <c r="AE84" i="11"/>
  <c r="W84" i="11"/>
  <c r="AL104" i="11"/>
  <c r="F104" i="11"/>
  <c r="AK97" i="11"/>
  <c r="U97" i="11"/>
  <c r="R94" i="11"/>
  <c r="J94" i="11"/>
  <c r="AH104" i="11"/>
  <c r="H103" i="11"/>
  <c r="AJ97" i="11"/>
  <c r="T97" i="11"/>
  <c r="Q94" i="11"/>
  <c r="I94" i="11"/>
  <c r="U92" i="11"/>
  <c r="M92" i="11"/>
  <c r="Q90" i="11"/>
  <c r="I90" i="11"/>
  <c r="U88" i="11"/>
  <c r="M88" i="11"/>
  <c r="Q86" i="11"/>
  <c r="I86" i="11"/>
  <c r="U84" i="11"/>
  <c r="M84" i="11"/>
  <c r="Q82" i="11"/>
  <c r="I82" i="11"/>
  <c r="X105" i="11"/>
  <c r="AD104" i="11"/>
  <c r="L98" i="11"/>
  <c r="AH97" i="11"/>
  <c r="X94" i="11"/>
  <c r="P94" i="11"/>
  <c r="T105" i="11"/>
  <c r="Z104" i="11"/>
  <c r="AD98" i="11"/>
  <c r="J98" i="11"/>
  <c r="L95" i="11"/>
  <c r="AE94" i="11"/>
  <c r="M93" i="11"/>
  <c r="AI92" i="11"/>
  <c r="I91" i="11"/>
  <c r="AE90" i="11"/>
  <c r="M89" i="11"/>
  <c r="AI88" i="11"/>
  <c r="I87" i="11"/>
  <c r="AE86" i="11"/>
  <c r="M85" i="11"/>
  <c r="AI84" i="11"/>
  <c r="P105" i="11"/>
  <c r="V104" i="11"/>
  <c r="G98" i="11"/>
  <c r="AC97" i="11"/>
  <c r="AD94" i="11"/>
  <c r="V94" i="11"/>
  <c r="AH92" i="11"/>
  <c r="Z92" i="11"/>
  <c r="AL90" i="11"/>
  <c r="AD90" i="11"/>
  <c r="L89" i="11"/>
  <c r="AH88" i="11"/>
  <c r="H87" i="11"/>
  <c r="AL86" i="11"/>
  <c r="T85" i="11"/>
  <c r="L85" i="11"/>
  <c r="P83" i="11"/>
  <c r="H83" i="11"/>
  <c r="AB81" i="11"/>
  <c r="T81" i="11"/>
  <c r="AD102" i="11"/>
  <c r="AJ101" i="11"/>
  <c r="AH96" i="11"/>
  <c r="R96" i="11"/>
  <c r="AI93" i="11"/>
  <c r="AA93" i="11"/>
  <c r="AE91" i="11"/>
  <c r="W91" i="11"/>
  <c r="AI89" i="11"/>
  <c r="AA89" i="11"/>
  <c r="I88" i="11"/>
  <c r="AE87" i="11"/>
  <c r="W87" i="11"/>
  <c r="O87" i="11"/>
  <c r="G87" i="11"/>
  <c r="AK86" i="11"/>
  <c r="AC86" i="11"/>
  <c r="U86" i="11"/>
  <c r="M86" i="11"/>
  <c r="AI85" i="11"/>
  <c r="AA85" i="11"/>
  <c r="S85" i="11"/>
  <c r="K85" i="11"/>
  <c r="AG84" i="11"/>
  <c r="Y84" i="11"/>
  <c r="Q84" i="11"/>
  <c r="I84" i="11"/>
  <c r="AE83" i="11"/>
  <c r="W83" i="11"/>
  <c r="O83" i="11"/>
  <c r="G83" i="11"/>
  <c r="AK82" i="11"/>
  <c r="AC82" i="11"/>
  <c r="U82" i="11"/>
  <c r="M82" i="11"/>
  <c r="AI81" i="11"/>
  <c r="AA81" i="11"/>
  <c r="S81" i="11"/>
  <c r="AJ107" i="11"/>
  <c r="AH106" i="11"/>
  <c r="H105" i="11"/>
  <c r="N104" i="11"/>
  <c r="T103" i="11"/>
  <c r="Z102" i="11"/>
  <c r="AF101" i="11"/>
  <c r="AL100" i="11"/>
  <c r="F100" i="11"/>
  <c r="L99" i="11"/>
  <c r="V98" i="11"/>
  <c r="Z97" i="11"/>
  <c r="J97" i="11"/>
  <c r="AF96" i="11"/>
  <c r="P96" i="11"/>
  <c r="AL95" i="11"/>
  <c r="V95" i="11"/>
  <c r="F95" i="11"/>
  <c r="AJ94" i="11"/>
  <c r="AB94" i="11"/>
  <c r="T94" i="11"/>
  <c r="L94" i="11"/>
  <c r="AH93" i="11"/>
  <c r="Z93" i="11"/>
  <c r="R93" i="11"/>
  <c r="J93" i="11"/>
  <c r="AF92" i="11"/>
  <c r="X92" i="11"/>
  <c r="P92" i="11"/>
  <c r="H92" i="11"/>
  <c r="AL91" i="11"/>
  <c r="AD91" i="11"/>
  <c r="V91" i="11"/>
  <c r="N91" i="11"/>
  <c r="F91" i="11"/>
  <c r="AJ90" i="11"/>
  <c r="AB90" i="11"/>
  <c r="T90" i="11"/>
  <c r="L90" i="11"/>
  <c r="AH89" i="11"/>
  <c r="Z89" i="11"/>
  <c r="R89" i="11"/>
  <c r="J89" i="11"/>
  <c r="AF88" i="11"/>
  <c r="X88" i="11"/>
  <c r="P88" i="11"/>
  <c r="H88" i="11"/>
  <c r="AL87" i="11"/>
  <c r="AD87" i="11"/>
  <c r="V87" i="11"/>
  <c r="N87" i="11"/>
  <c r="F87" i="11"/>
  <c r="AJ86" i="11"/>
  <c r="AB86" i="11"/>
  <c r="T86" i="11"/>
  <c r="L86" i="11"/>
  <c r="AH85" i="11"/>
  <c r="Z85" i="11"/>
  <c r="R85" i="11"/>
  <c r="J85" i="11"/>
  <c r="AF84" i="11"/>
  <c r="X84" i="11"/>
  <c r="P84" i="11"/>
  <c r="H84" i="11"/>
  <c r="AL83" i="11"/>
  <c r="AD83" i="11"/>
  <c r="V83" i="11"/>
  <c r="N83" i="11"/>
  <c r="F83" i="11"/>
  <c r="AJ82" i="11"/>
  <c r="AB82" i="11"/>
  <c r="T82" i="11"/>
  <c r="AJ92" i="11"/>
  <c r="J91" i="11"/>
  <c r="P90" i="11"/>
  <c r="V89" i="11"/>
  <c r="AB88" i="11"/>
  <c r="AH87" i="11"/>
  <c r="H86" i="11"/>
  <c r="N85" i="11"/>
  <c r="T84" i="11"/>
  <c r="AB83" i="11"/>
  <c r="L83" i="11"/>
  <c r="AH82" i="11"/>
  <c r="R82" i="11"/>
  <c r="AD81" i="11"/>
  <c r="Q81" i="11"/>
  <c r="H81" i="11"/>
  <c r="AL80" i="11"/>
  <c r="AD80" i="11"/>
  <c r="V80" i="11"/>
  <c r="N80" i="11"/>
  <c r="F80" i="11"/>
  <c r="AD92" i="11"/>
  <c r="AJ91" i="11"/>
  <c r="J90" i="11"/>
  <c r="P89" i="11"/>
  <c r="V88" i="11"/>
  <c r="AB87" i="11"/>
  <c r="AH86" i="11"/>
  <c r="H85" i="11"/>
  <c r="N84" i="11"/>
  <c r="Z83" i="11"/>
  <c r="J83" i="11"/>
  <c r="AF82" i="11"/>
  <c r="P82" i="11"/>
  <c r="AC81" i="11"/>
  <c r="P81" i="11"/>
  <c r="G81" i="11"/>
  <c r="AK80" i="11"/>
  <c r="AC80" i="11"/>
  <c r="U80" i="11"/>
  <c r="M80" i="11"/>
  <c r="V93" i="11"/>
  <c r="AB92" i="11"/>
  <c r="AH91" i="11"/>
  <c r="H90" i="11"/>
  <c r="N89" i="11"/>
  <c r="T88" i="11"/>
  <c r="Z87" i="11"/>
  <c r="AF86" i="11"/>
  <c r="AL85" i="11"/>
  <c r="F85" i="11"/>
  <c r="L84" i="11"/>
  <c r="Y83" i="11"/>
  <c r="I83" i="11"/>
  <c r="AE82" i="11"/>
  <c r="O82" i="11"/>
  <c r="Z81" i="11"/>
  <c r="N81" i="11"/>
  <c r="F81" i="11"/>
  <c r="AJ80" i="11"/>
  <c r="AB80" i="11"/>
  <c r="T80" i="11"/>
  <c r="L80" i="11"/>
  <c r="P93" i="11"/>
  <c r="V92" i="11"/>
  <c r="AB91" i="11"/>
  <c r="AH90" i="11"/>
  <c r="H89" i="11"/>
  <c r="N88" i="11"/>
  <c r="T87" i="11"/>
  <c r="Z86" i="11"/>
  <c r="AF85" i="11"/>
  <c r="AL84" i="11"/>
  <c r="F84" i="11"/>
  <c r="U83" i="11"/>
  <c r="AA82" i="11"/>
  <c r="L82" i="11"/>
  <c r="AL81" i="11"/>
  <c r="Y81" i="11"/>
  <c r="M81" i="11"/>
  <c r="AI80" i="11"/>
  <c r="AA80" i="11"/>
  <c r="S80" i="11"/>
  <c r="K80" i="11"/>
  <c r="N93" i="11"/>
  <c r="T92" i="11"/>
  <c r="Z91" i="11"/>
  <c r="AF90" i="11"/>
  <c r="AL89" i="11"/>
  <c r="F89" i="11"/>
  <c r="L88" i="11"/>
  <c r="R87" i="11"/>
  <c r="X86" i="11"/>
  <c r="AD85" i="11"/>
  <c r="AJ84" i="11"/>
  <c r="T83" i="11"/>
  <c r="Z82" i="11"/>
  <c r="K82" i="11"/>
  <c r="AK81" i="11"/>
  <c r="X81" i="11"/>
  <c r="L81" i="11"/>
  <c r="AH80" i="11"/>
  <c r="Z80" i="11"/>
  <c r="R80" i="11"/>
  <c r="J80" i="11"/>
  <c r="H93" i="11"/>
  <c r="N92" i="11"/>
  <c r="T91" i="11"/>
  <c r="Z90" i="11"/>
  <c r="AF89" i="11"/>
  <c r="AL88" i="11"/>
  <c r="F88" i="11"/>
  <c r="L87" i="11"/>
  <c r="R86" i="11"/>
  <c r="X85" i="11"/>
  <c r="AD84" i="11"/>
  <c r="AJ83" i="11"/>
  <c r="R83" i="11"/>
  <c r="X82" i="11"/>
  <c r="J82" i="11"/>
  <c r="AH81" i="11"/>
  <c r="V81" i="11"/>
  <c r="K81" i="11"/>
  <c r="AG80" i="11"/>
  <c r="Y80" i="11"/>
  <c r="Q80" i="11"/>
  <c r="I80" i="11"/>
  <c r="F93" i="11"/>
  <c r="L92" i="11"/>
  <c r="R91" i="11"/>
  <c r="X90" i="11"/>
  <c r="AD89" i="11"/>
  <c r="AJ88" i="11"/>
  <c r="J87" i="11"/>
  <c r="P86" i="11"/>
  <c r="V85" i="11"/>
  <c r="AB84" i="11"/>
  <c r="AH83" i="11"/>
  <c r="Q83" i="11"/>
  <c r="W82" i="11"/>
  <c r="H82" i="11"/>
  <c r="AG81" i="11"/>
  <c r="U81" i="11"/>
  <c r="J81" i="11"/>
  <c r="AF80" i="11"/>
  <c r="X80" i="11"/>
  <c r="P80" i="11"/>
  <c r="H80" i="11"/>
  <c r="AJ87" i="11"/>
  <c r="S82" i="11"/>
  <c r="O80" i="11"/>
  <c r="G82" i="11"/>
  <c r="G80" i="11"/>
  <c r="AL92" i="11"/>
  <c r="J86" i="11"/>
  <c r="AF81" i="11"/>
  <c r="F92" i="11"/>
  <c r="P85" i="11"/>
  <c r="R81" i="11"/>
  <c r="L91" i="11"/>
  <c r="V84" i="11"/>
  <c r="I81" i="11"/>
  <c r="R90" i="11"/>
  <c r="AC83" i="11"/>
  <c r="X89" i="11"/>
  <c r="M83" i="11"/>
  <c r="AE80" i="11"/>
  <c r="AD88" i="11"/>
  <c r="AI82" i="11"/>
  <c r="W80" i="11"/>
  <c r="A80" i="11"/>
  <c r="A89" i="11"/>
  <c r="A105" i="11"/>
  <c r="I34" i="11"/>
  <c r="Q34" i="11"/>
  <c r="Y34" i="11"/>
  <c r="AG34" i="11"/>
  <c r="F35" i="11"/>
  <c r="N35" i="11"/>
  <c r="V35" i="11"/>
  <c r="AD35" i="11"/>
  <c r="AL35" i="11"/>
  <c r="K36" i="11"/>
  <c r="S36" i="11"/>
  <c r="AA36" i="11"/>
  <c r="AI36" i="11"/>
  <c r="L37" i="11"/>
  <c r="Y37" i="11"/>
  <c r="AK37" i="11"/>
  <c r="A87" i="11"/>
  <c r="A107" i="11"/>
  <c r="J34" i="11"/>
  <c r="R34" i="11"/>
  <c r="Z34" i="11"/>
  <c r="AH34" i="11"/>
  <c r="G35" i="11"/>
  <c r="O35" i="11"/>
  <c r="W35" i="11"/>
  <c r="AE35" i="11"/>
  <c r="L36" i="11"/>
  <c r="T36" i="11"/>
  <c r="AB36" i="11"/>
  <c r="AJ36" i="11"/>
  <c r="M37" i="11"/>
  <c r="AA37" i="11"/>
  <c r="A85" i="11"/>
  <c r="K34" i="11"/>
  <c r="S34" i="11"/>
  <c r="AA34" i="11"/>
  <c r="AI34" i="11"/>
  <c r="H35" i="11"/>
  <c r="P35" i="11"/>
  <c r="X35" i="11"/>
  <c r="AF35" i="11"/>
  <c r="E36" i="11"/>
  <c r="M36" i="11"/>
  <c r="U36" i="11"/>
  <c r="AC36" i="11"/>
  <c r="AL36" i="11"/>
  <c r="P37" i="1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L34" i="11"/>
  <c r="T34" i="11"/>
  <c r="AB34" i="11"/>
  <c r="AJ34" i="11"/>
  <c r="AH37" i="11"/>
  <c r="Z37" i="11"/>
  <c r="R37" i="11"/>
  <c r="J37" i="11"/>
  <c r="AE37" i="11"/>
  <c r="W37" i="11"/>
  <c r="O37" i="11"/>
  <c r="G37" i="11"/>
  <c r="AL37" i="11"/>
  <c r="AD37" i="11"/>
  <c r="V37" i="11"/>
  <c r="N37" i="11"/>
  <c r="F37" i="11"/>
  <c r="Q37" i="11"/>
  <c r="AC37" i="11"/>
  <c r="A91" i="11"/>
  <c r="A103" i="11"/>
  <c r="E34" i="11"/>
  <c r="M34" i="11"/>
  <c r="U34" i="11"/>
  <c r="AC34" i="11"/>
  <c r="AK34" i="11"/>
  <c r="J35" i="11"/>
  <c r="R35" i="11"/>
  <c r="Z35" i="11"/>
  <c r="AH35" i="11"/>
  <c r="G36" i="11"/>
  <c r="O36" i="11"/>
  <c r="W36" i="11"/>
  <c r="AE36" i="11"/>
  <c r="E37" i="11"/>
  <c r="S37" i="11"/>
  <c r="AF37" i="11"/>
  <c r="A81" i="11"/>
  <c r="A93" i="11"/>
  <c r="A101" i="11"/>
  <c r="F34" i="11"/>
  <c r="N34" i="11"/>
  <c r="V34" i="11"/>
  <c r="AD34" i="11"/>
  <c r="AL34" i="11"/>
  <c r="H37" i="11"/>
  <c r="T37" i="11"/>
  <c r="AG37" i="11"/>
  <c r="A83" i="11"/>
  <c r="A97" i="11"/>
  <c r="G34" i="11"/>
  <c r="O34" i="11"/>
  <c r="W34" i="11"/>
  <c r="L35" i="11"/>
  <c r="T35" i="11"/>
  <c r="AB35" i="11"/>
  <c r="I36" i="11"/>
  <c r="Q36" i="11"/>
  <c r="Y36" i="11"/>
  <c r="AG36" i="11"/>
  <c r="I37" i="11"/>
  <c r="U37" i="11"/>
  <c r="AI37" i="11"/>
  <c r="C115" i="11"/>
  <c r="A98" i="8"/>
  <c r="A99" i="8" s="1"/>
  <c r="B98" i="8"/>
  <c r="U87" i="12" l="1"/>
  <c r="AL86" i="12"/>
  <c r="I90" i="12"/>
  <c r="N90" i="12"/>
  <c r="N94" i="12"/>
  <c r="M105" i="12"/>
  <c r="M85" i="12"/>
  <c r="Z85" i="12"/>
  <c r="X91" i="12"/>
  <c r="S97" i="12"/>
  <c r="AF92" i="12"/>
  <c r="K83" i="12"/>
  <c r="W83" i="12"/>
  <c r="X90" i="12"/>
  <c r="M108" i="11"/>
  <c r="Q106" i="11"/>
  <c r="U104" i="11"/>
  <c r="Q102" i="11"/>
  <c r="U100" i="11"/>
  <c r="Q98" i="11"/>
  <c r="U96" i="11"/>
  <c r="T108" i="11"/>
  <c r="P106" i="11"/>
  <c r="AB104" i="11"/>
  <c r="X102" i="11"/>
  <c r="AJ100" i="11"/>
  <c r="AF98" i="11"/>
  <c r="F97" i="11"/>
  <c r="J95" i="11"/>
  <c r="I107" i="11"/>
  <c r="M105" i="11"/>
  <c r="I103" i="11"/>
  <c r="M101" i="11"/>
  <c r="I99" i="11"/>
  <c r="AG108" i="11"/>
  <c r="AK106" i="11"/>
  <c r="AG104" i="11"/>
  <c r="AK102" i="11"/>
  <c r="AG100" i="11"/>
  <c r="AK98" i="11"/>
  <c r="AG96" i="11"/>
  <c r="AF108" i="11"/>
  <c r="F107" i="11"/>
  <c r="J105" i="11"/>
  <c r="N103" i="11"/>
  <c r="R101" i="11"/>
  <c r="V99" i="11"/>
  <c r="O108" i="11"/>
  <c r="S106" i="11"/>
  <c r="O104" i="11"/>
  <c r="S102" i="11"/>
  <c r="O100" i="11"/>
  <c r="S98" i="11"/>
  <c r="O96" i="11"/>
  <c r="AJ105" i="11"/>
  <c r="X97" i="11"/>
  <c r="S94" i="11"/>
  <c r="O92" i="11"/>
  <c r="S90" i="11"/>
  <c r="O88" i="11"/>
  <c r="S86" i="11"/>
  <c r="O84" i="11"/>
  <c r="L103" i="11"/>
  <c r="AA96" i="11"/>
  <c r="AF93" i="11"/>
  <c r="N102" i="11"/>
  <c r="Z96" i="11"/>
  <c r="AE93" i="11"/>
  <c r="AI91" i="11"/>
  <c r="AE89" i="11"/>
  <c r="AI87" i="11"/>
  <c r="AE85" i="11"/>
  <c r="AI83" i="11"/>
  <c r="AE81" i="11"/>
  <c r="AJ103" i="11"/>
  <c r="R97" i="11"/>
  <c r="H94" i="11"/>
  <c r="AF103" i="11"/>
  <c r="AF97" i="11"/>
  <c r="W94" i="11"/>
  <c r="AA92" i="11"/>
  <c r="W90" i="11"/>
  <c r="AA88" i="11"/>
  <c r="W86" i="11"/>
  <c r="AA84" i="11"/>
  <c r="AB103" i="11"/>
  <c r="M97" i="11"/>
  <c r="N94" i="11"/>
  <c r="R92" i="11"/>
  <c r="V90" i="11"/>
  <c r="Z88" i="11"/>
  <c r="AD86" i="11"/>
  <c r="AH84" i="11"/>
  <c r="AL82" i="11"/>
  <c r="F108" i="11"/>
  <c r="J100" i="11"/>
  <c r="X95" i="11"/>
  <c r="S93" i="11"/>
  <c r="O91" i="11"/>
  <c r="S89" i="11"/>
  <c r="I106" i="11"/>
  <c r="M104" i="11"/>
  <c r="I102" i="11"/>
  <c r="M100" i="11"/>
  <c r="I98" i="11"/>
  <c r="M96" i="11"/>
  <c r="L108" i="11"/>
  <c r="H106" i="11"/>
  <c r="T104" i="11"/>
  <c r="P102" i="11"/>
  <c r="AB100" i="11"/>
  <c r="X98" i="11"/>
  <c r="AJ96" i="11"/>
  <c r="AI108" i="11"/>
  <c r="AE106" i="11"/>
  <c r="AI104" i="11"/>
  <c r="AE102" i="11"/>
  <c r="AI100" i="11"/>
  <c r="AE98" i="11"/>
  <c r="Y108" i="11"/>
  <c r="AC106" i="11"/>
  <c r="Y104" i="11"/>
  <c r="AC102" i="11"/>
  <c r="Y100" i="11"/>
  <c r="AC98" i="11"/>
  <c r="Y96" i="11"/>
  <c r="X108" i="11"/>
  <c r="AJ106" i="11"/>
  <c r="AF104" i="11"/>
  <c r="F103" i="11"/>
  <c r="J101" i="11"/>
  <c r="N99" i="11"/>
  <c r="G108" i="11"/>
  <c r="K106" i="11"/>
  <c r="G104" i="11"/>
  <c r="K102" i="11"/>
  <c r="G100" i="11"/>
  <c r="K98" i="11"/>
  <c r="G96" i="11"/>
  <c r="J104" i="11"/>
  <c r="H97" i="11"/>
  <c r="K94" i="11"/>
  <c r="G92" i="11"/>
  <c r="K90" i="11"/>
  <c r="G88" i="11"/>
  <c r="K86" i="11"/>
  <c r="G84" i="11"/>
  <c r="R102" i="11"/>
  <c r="K96" i="11"/>
  <c r="X93" i="11"/>
  <c r="T101" i="11"/>
  <c r="J96" i="11"/>
  <c r="W93" i="11"/>
  <c r="AA91" i="11"/>
  <c r="W89" i="11"/>
  <c r="AA87" i="11"/>
  <c r="W85" i="11"/>
  <c r="AA83" i="11"/>
  <c r="W81" i="11"/>
  <c r="J102" i="11"/>
  <c r="X96" i="11"/>
  <c r="AL93" i="11"/>
  <c r="AL102" i="11"/>
  <c r="P97" i="11"/>
  <c r="O94" i="11"/>
  <c r="S92" i="11"/>
  <c r="O90" i="11"/>
  <c r="S88" i="11"/>
  <c r="O86" i="11"/>
  <c r="S84" i="11"/>
  <c r="AH102" i="11"/>
  <c r="AI96" i="11"/>
  <c r="F94" i="11"/>
  <c r="J92" i="11"/>
  <c r="N90" i="11"/>
  <c r="R88" i="11"/>
  <c r="V86" i="11"/>
  <c r="Z84" i="11"/>
  <c r="AD82" i="11"/>
  <c r="AL106" i="11"/>
  <c r="P99" i="11"/>
  <c r="H95" i="11"/>
  <c r="K93" i="11"/>
  <c r="G91" i="11"/>
  <c r="K89" i="11"/>
  <c r="AE105" i="11"/>
  <c r="AI103" i="11"/>
  <c r="AE101" i="11"/>
  <c r="AI99" i="11"/>
  <c r="AE97" i="11"/>
  <c r="AI95" i="11"/>
  <c r="AH107" i="11"/>
  <c r="AL105" i="11"/>
  <c r="L104" i="11"/>
  <c r="H102" i="11"/>
  <c r="T100" i="11"/>
  <c r="P98" i="11"/>
  <c r="AB96" i="11"/>
  <c r="AA108" i="11"/>
  <c r="W106" i="11"/>
  <c r="AA104" i="11"/>
  <c r="W102" i="11"/>
  <c r="AA100" i="11"/>
  <c r="AH108" i="11"/>
  <c r="Q108" i="11"/>
  <c r="U106" i="11"/>
  <c r="Q104" i="11"/>
  <c r="U102" i="11"/>
  <c r="Q100" i="11"/>
  <c r="U98" i="11"/>
  <c r="Q96" i="11"/>
  <c r="P108" i="11"/>
  <c r="AB106" i="11"/>
  <c r="X104" i="11"/>
  <c r="AJ102" i="11"/>
  <c r="AF100" i="11"/>
  <c r="F99" i="11"/>
  <c r="AK107" i="11"/>
  <c r="AG105" i="11"/>
  <c r="AK103" i="11"/>
  <c r="AG101" i="11"/>
  <c r="AK99" i="11"/>
  <c r="AG97" i="11"/>
  <c r="AK95" i="11"/>
  <c r="P103" i="11"/>
  <c r="AD96" i="11"/>
  <c r="AG93" i="11"/>
  <c r="AK91" i="11"/>
  <c r="AG89" i="11"/>
  <c r="AK87" i="11"/>
  <c r="AG85" i="11"/>
  <c r="AK83" i="11"/>
  <c r="X101" i="11"/>
  <c r="AG95" i="11"/>
  <c r="AL108" i="11"/>
  <c r="Z100" i="11"/>
  <c r="AF95" i="11"/>
  <c r="O93" i="11"/>
  <c r="S91" i="11"/>
  <c r="O89" i="11"/>
  <c r="S87" i="11"/>
  <c r="O85" i="11"/>
  <c r="S83" i="11"/>
  <c r="O81" i="11"/>
  <c r="P101" i="11"/>
  <c r="H96" i="11"/>
  <c r="AD93" i="11"/>
  <c r="F102" i="11"/>
  <c r="AL96" i="11"/>
  <c r="G94" i="11"/>
  <c r="K92" i="11"/>
  <c r="G90" i="11"/>
  <c r="K88" i="11"/>
  <c r="G86" i="11"/>
  <c r="K84" i="11"/>
  <c r="H101" i="11"/>
  <c r="S96" i="11"/>
  <c r="AJ93" i="11"/>
  <c r="AF91" i="11"/>
  <c r="F90" i="11"/>
  <c r="J88" i="11"/>
  <c r="N86" i="11"/>
  <c r="R84" i="11"/>
  <c r="V82" i="11"/>
  <c r="F106" i="11"/>
  <c r="W98" i="11"/>
  <c r="AK94" i="11"/>
  <c r="AG92" i="11"/>
  <c r="AK90" i="11"/>
  <c r="AG88" i="11"/>
  <c r="W105" i="11"/>
  <c r="AA103" i="11"/>
  <c r="W101" i="11"/>
  <c r="AA99" i="11"/>
  <c r="W97" i="11"/>
  <c r="AA95" i="11"/>
  <c r="Z107" i="11"/>
  <c r="AD105" i="11"/>
  <c r="AH103" i="11"/>
  <c r="AL101" i="11"/>
  <c r="L100" i="11"/>
  <c r="H98" i="11"/>
  <c r="T96" i="11"/>
  <c r="S108" i="11"/>
  <c r="O106" i="11"/>
  <c r="S104" i="11"/>
  <c r="O102" i="11"/>
  <c r="S100" i="11"/>
  <c r="Z108" i="11"/>
  <c r="I108" i="11"/>
  <c r="M106" i="11"/>
  <c r="I104" i="11"/>
  <c r="M102" i="11"/>
  <c r="I100" i="11"/>
  <c r="M98" i="11"/>
  <c r="I96" i="11"/>
  <c r="H108" i="11"/>
  <c r="T106" i="11"/>
  <c r="P104" i="11"/>
  <c r="AB102" i="11"/>
  <c r="X100" i="11"/>
  <c r="AJ98" i="11"/>
  <c r="AC107" i="11"/>
  <c r="Y105" i="11"/>
  <c r="AC103" i="11"/>
  <c r="Y101" i="11"/>
  <c r="AC99" i="11"/>
  <c r="Y97" i="11"/>
  <c r="AC95" i="11"/>
  <c r="V102" i="11"/>
  <c r="N96" i="11"/>
  <c r="Y93" i="11"/>
  <c r="AC91" i="11"/>
  <c r="Y89" i="11"/>
  <c r="AC87" i="11"/>
  <c r="Y85" i="11"/>
  <c r="T107" i="11"/>
  <c r="AD100" i="11"/>
  <c r="Q95" i="11"/>
  <c r="P107" i="11"/>
  <c r="AF99" i="11"/>
  <c r="P95" i="11"/>
  <c r="G93" i="11"/>
  <c r="K91" i="11"/>
  <c r="G89" i="11"/>
  <c r="K87" i="11"/>
  <c r="G85" i="11"/>
  <c r="K83" i="11"/>
  <c r="AD108" i="11"/>
  <c r="V100" i="11"/>
  <c r="AD95" i="11"/>
  <c r="V108" i="11"/>
  <c r="L101" i="11"/>
  <c r="V96" i="11"/>
  <c r="AK93" i="11"/>
  <c r="AG91" i="11"/>
  <c r="AK89" i="11"/>
  <c r="AG87" i="11"/>
  <c r="AK85" i="11"/>
  <c r="AG83" i="11"/>
  <c r="N100" i="11"/>
  <c r="Y95" i="11"/>
  <c r="AB93" i="11"/>
  <c r="X91" i="11"/>
  <c r="AJ89" i="11"/>
  <c r="AF87" i="11"/>
  <c r="F86" i="11"/>
  <c r="J84" i="11"/>
  <c r="N82" i="11"/>
  <c r="L105" i="11"/>
  <c r="F98" i="11"/>
  <c r="AC94" i="11"/>
  <c r="Y92" i="11"/>
  <c r="AC90" i="11"/>
  <c r="Y88" i="11"/>
  <c r="O105" i="11"/>
  <c r="S103" i="11"/>
  <c r="O101" i="11"/>
  <c r="S99" i="11"/>
  <c r="O97" i="11"/>
  <c r="S95" i="11"/>
  <c r="R107" i="11"/>
  <c r="V105" i="11"/>
  <c r="Z103" i="11"/>
  <c r="AD101" i="11"/>
  <c r="AH99" i="11"/>
  <c r="AL97" i="11"/>
  <c r="L96" i="11"/>
  <c r="K108" i="11"/>
  <c r="G106" i="11"/>
  <c r="K104" i="11"/>
  <c r="G102" i="11"/>
  <c r="K100" i="11"/>
  <c r="R108" i="11"/>
  <c r="AE107" i="11"/>
  <c r="AI105" i="11"/>
  <c r="AE103" i="11"/>
  <c r="AI101" i="11"/>
  <c r="AE99" i="11"/>
  <c r="AI97" i="11"/>
  <c r="AE95" i="11"/>
  <c r="AL107" i="11"/>
  <c r="L106" i="11"/>
  <c r="H104" i="11"/>
  <c r="T102" i="11"/>
  <c r="P100" i="11"/>
  <c r="AB98" i="11"/>
  <c r="U107" i="11"/>
  <c r="Q105" i="11"/>
  <c r="U103" i="11"/>
  <c r="Q101" i="11"/>
  <c r="U99" i="11"/>
  <c r="Q97" i="11"/>
  <c r="U95" i="11"/>
  <c r="AB101" i="11"/>
  <c r="AJ95" i="11"/>
  <c r="Q93" i="11"/>
  <c r="U91" i="11"/>
  <c r="Q89" i="11"/>
  <c r="U87" i="11"/>
  <c r="Q85" i="11"/>
  <c r="Z106" i="11"/>
  <c r="AJ99" i="11"/>
  <c r="AH94" i="11"/>
  <c r="V106" i="11"/>
  <c r="AL98" i="11"/>
  <c r="AG94" i="11"/>
  <c r="AK92" i="11"/>
  <c r="AG90" i="11"/>
  <c r="AK88" i="11"/>
  <c r="AG86" i="11"/>
  <c r="AK84" i="11"/>
  <c r="AG82" i="11"/>
  <c r="L107" i="11"/>
  <c r="AB99" i="11"/>
  <c r="N95" i="11"/>
  <c r="H107" i="11"/>
  <c r="R100" i="11"/>
  <c r="F96" i="11"/>
  <c r="AC93" i="11"/>
  <c r="Y91" i="11"/>
  <c r="AC89" i="11"/>
  <c r="Y87" i="11"/>
  <c r="AC85" i="11"/>
  <c r="N108" i="11"/>
  <c r="T99" i="11"/>
  <c r="I95" i="11"/>
  <c r="T93" i="11"/>
  <c r="P91" i="11"/>
  <c r="AB89" i="11"/>
  <c r="X87" i="11"/>
  <c r="AJ85" i="11"/>
  <c r="AF83" i="11"/>
  <c r="F82" i="11"/>
  <c r="R104" i="11"/>
  <c r="AB97" i="11"/>
  <c r="U94" i="11"/>
  <c r="Q92" i="11"/>
  <c r="U90" i="11"/>
  <c r="Q88" i="11"/>
  <c r="U108" i="11"/>
  <c r="G105" i="11"/>
  <c r="K103" i="11"/>
  <c r="G101" i="11"/>
  <c r="K99" i="11"/>
  <c r="G97" i="11"/>
  <c r="K95" i="11"/>
  <c r="J107" i="11"/>
  <c r="N105" i="11"/>
  <c r="R103" i="11"/>
  <c r="V101" i="11"/>
  <c r="Z99" i="11"/>
  <c r="AD97" i="11"/>
  <c r="AH95" i="11"/>
  <c r="AG107" i="11"/>
  <c r="AK105" i="11"/>
  <c r="AG103" i="11"/>
  <c r="AK101" i="11"/>
  <c r="AG99" i="11"/>
  <c r="J108" i="11"/>
  <c r="W107" i="11"/>
  <c r="AA105" i="11"/>
  <c r="W103" i="11"/>
  <c r="AA101" i="11"/>
  <c r="W99" i="11"/>
  <c r="AA97" i="11"/>
  <c r="W95" i="11"/>
  <c r="AD107" i="11"/>
  <c r="AH105" i="11"/>
  <c r="AL103" i="11"/>
  <c r="L102" i="11"/>
  <c r="H100" i="11"/>
  <c r="T98" i="11"/>
  <c r="M107" i="11"/>
  <c r="I105" i="11"/>
  <c r="M103" i="11"/>
  <c r="I101" i="11"/>
  <c r="M99" i="11"/>
  <c r="I97" i="11"/>
  <c r="M95" i="11"/>
  <c r="AH100" i="11"/>
  <c r="T95" i="11"/>
  <c r="I93" i="11"/>
  <c r="M91" i="11"/>
  <c r="I89" i="11"/>
  <c r="M87" i="11"/>
  <c r="I85" i="11"/>
  <c r="AF105" i="11"/>
  <c r="O98" i="11"/>
  <c r="Z94" i="11"/>
  <c r="AB105" i="11"/>
  <c r="N98" i="11"/>
  <c r="Y94" i="11"/>
  <c r="AC92" i="11"/>
  <c r="Y90" i="11"/>
  <c r="AC88" i="11"/>
  <c r="Y86" i="11"/>
  <c r="AC84" i="11"/>
  <c r="Y82" i="11"/>
  <c r="R106" i="11"/>
  <c r="AH98" i="11"/>
  <c r="AF94" i="11"/>
  <c r="N106" i="11"/>
  <c r="X99" i="11"/>
  <c r="AB95" i="11"/>
  <c r="U93" i="11"/>
  <c r="Q91" i="11"/>
  <c r="U89" i="11"/>
  <c r="Q87" i="11"/>
  <c r="U85" i="11"/>
  <c r="J106" i="11"/>
  <c r="Z98" i="11"/>
  <c r="AL94" i="11"/>
  <c r="L93" i="11"/>
  <c r="H91" i="11"/>
  <c r="T89" i="11"/>
  <c r="P87" i="11"/>
  <c r="AB85" i="11"/>
  <c r="X83" i="11"/>
  <c r="AJ81" i="11"/>
  <c r="X103" i="11"/>
  <c r="L97" i="11"/>
  <c r="M94" i="11"/>
  <c r="I92" i="11"/>
  <c r="M90" i="11"/>
  <c r="Y107" i="11"/>
  <c r="N101" i="11"/>
  <c r="AJ108" i="11"/>
  <c r="AG102" i="11"/>
  <c r="AC108" i="11"/>
  <c r="AK108" i="11"/>
  <c r="K107" i="11"/>
  <c r="S107" i="11"/>
  <c r="AA107" i="11"/>
  <c r="AI107" i="11"/>
  <c r="R95" i="12"/>
  <c r="H83" i="12"/>
  <c r="Y89" i="12"/>
  <c r="G81" i="12"/>
  <c r="AI96" i="12"/>
  <c r="M104" i="12"/>
  <c r="H81" i="12"/>
  <c r="AC82" i="12"/>
  <c r="K88" i="12"/>
  <c r="AA107" i="12"/>
  <c r="AD85" i="12"/>
  <c r="M99" i="12"/>
  <c r="AF80" i="12"/>
  <c r="AE84" i="12"/>
  <c r="R91" i="12"/>
  <c r="AD81" i="12"/>
  <c r="AC89" i="12"/>
  <c r="AC91" i="12"/>
  <c r="AK41" i="11"/>
  <c r="AJ41" i="11"/>
  <c r="R104" i="12"/>
  <c r="H106" i="12"/>
  <c r="AC93" i="12"/>
  <c r="S107" i="12"/>
  <c r="U107" i="12"/>
  <c r="AJ102" i="12"/>
  <c r="O103" i="12"/>
  <c r="AH96" i="12"/>
  <c r="AH107" i="12"/>
  <c r="AL105" i="12"/>
  <c r="L104" i="12"/>
  <c r="H102" i="12"/>
  <c r="T100" i="12"/>
  <c r="S108" i="12"/>
  <c r="O106" i="12"/>
  <c r="AF107" i="12"/>
  <c r="F106" i="12"/>
  <c r="J104" i="12"/>
  <c r="N102" i="12"/>
  <c r="R100" i="12"/>
  <c r="V98" i="12"/>
  <c r="Z96" i="12"/>
  <c r="AD94" i="12"/>
  <c r="G107" i="12"/>
  <c r="K105" i="12"/>
  <c r="G103" i="12"/>
  <c r="H108" i="12"/>
  <c r="T106" i="12"/>
  <c r="P104" i="12"/>
  <c r="AB102" i="12"/>
  <c r="X100" i="12"/>
  <c r="AJ98" i="12"/>
  <c r="AF96" i="12"/>
  <c r="M107" i="12"/>
  <c r="T107" i="12"/>
  <c r="P105" i="12"/>
  <c r="AB103" i="12"/>
  <c r="X101" i="12"/>
  <c r="AJ99" i="12"/>
  <c r="AF97" i="12"/>
  <c r="F96" i="12"/>
  <c r="Q106" i="12"/>
  <c r="M101" i="12"/>
  <c r="AG97" i="12"/>
  <c r="Q95" i="12"/>
  <c r="U93" i="12"/>
  <c r="Q91" i="12"/>
  <c r="AK104" i="12"/>
  <c r="AG100" i="12"/>
  <c r="AC103" i="12"/>
  <c r="U99" i="12"/>
  <c r="AI95" i="12"/>
  <c r="S93" i="12"/>
  <c r="O91" i="12"/>
  <c r="S89" i="12"/>
  <c r="O87" i="12"/>
  <c r="S85" i="12"/>
  <c r="O83" i="12"/>
  <c r="W101" i="12"/>
  <c r="AC97" i="12"/>
  <c r="AC94" i="12"/>
  <c r="X92" i="12"/>
  <c r="AJ90" i="12"/>
  <c r="AF88" i="12"/>
  <c r="F87" i="12"/>
  <c r="AC104" i="12"/>
  <c r="AG99" i="12"/>
  <c r="AG95" i="12"/>
  <c r="Q93" i="12"/>
  <c r="U91" i="12"/>
  <c r="I105" i="12"/>
  <c r="AE99" i="12"/>
  <c r="AI102" i="12"/>
  <c r="AK98" i="12"/>
  <c r="M96" i="12"/>
  <c r="AE93" i="12"/>
  <c r="AI91" i="12"/>
  <c r="AE89" i="12"/>
  <c r="AI87" i="12"/>
  <c r="AE85" i="12"/>
  <c r="AI83" i="12"/>
  <c r="O95" i="12"/>
  <c r="H90" i="12"/>
  <c r="R87" i="12"/>
  <c r="R84" i="12"/>
  <c r="K82" i="12"/>
  <c r="AE96" i="12"/>
  <c r="H91" i="12"/>
  <c r="Q87" i="12"/>
  <c r="P84" i="12"/>
  <c r="J82" i="12"/>
  <c r="Z107" i="12"/>
  <c r="AD105" i="12"/>
  <c r="AH103" i="12"/>
  <c r="AL101" i="12"/>
  <c r="L100" i="12"/>
  <c r="K108" i="12"/>
  <c r="G106" i="12"/>
  <c r="X107" i="12"/>
  <c r="AJ105" i="12"/>
  <c r="AF103" i="12"/>
  <c r="F102" i="12"/>
  <c r="J100" i="12"/>
  <c r="N98" i="12"/>
  <c r="R96" i="12"/>
  <c r="AG108" i="12"/>
  <c r="AK106" i="12"/>
  <c r="AG104" i="12"/>
  <c r="AK102" i="12"/>
  <c r="AL107" i="12"/>
  <c r="L106" i="12"/>
  <c r="H104" i="12"/>
  <c r="T102" i="12"/>
  <c r="P100" i="12"/>
  <c r="AB98" i="12"/>
  <c r="AE108" i="12"/>
  <c r="AL108" i="12"/>
  <c r="L107" i="12"/>
  <c r="H105" i="12"/>
  <c r="T103" i="12"/>
  <c r="P101" i="12"/>
  <c r="AB99" i="12"/>
  <c r="X97" i="12"/>
  <c r="AJ95" i="12"/>
  <c r="W105" i="12"/>
  <c r="AI100" i="12"/>
  <c r="U97" i="12"/>
  <c r="F95" i="12"/>
  <c r="M93" i="12"/>
  <c r="I91" i="12"/>
  <c r="O104" i="12"/>
  <c r="Q100" i="12"/>
  <c r="I103" i="12"/>
  <c r="AE98" i="12"/>
  <c r="Y95" i="12"/>
  <c r="K93" i="12"/>
  <c r="G91" i="12"/>
  <c r="K89" i="12"/>
  <c r="G87" i="12"/>
  <c r="K85" i="12"/>
  <c r="U108" i="12"/>
  <c r="G101" i="12"/>
  <c r="O97" i="12"/>
  <c r="T94" i="12"/>
  <c r="P92" i="12"/>
  <c r="AB90" i="12"/>
  <c r="X88" i="12"/>
  <c r="AJ86" i="12"/>
  <c r="G104" i="12"/>
  <c r="Q99" i="12"/>
  <c r="V95" i="12"/>
  <c r="I93" i="12"/>
  <c r="M91" i="12"/>
  <c r="AA104" i="12"/>
  <c r="O99" i="12"/>
  <c r="O102" i="12"/>
  <c r="X98" i="12"/>
  <c r="AD95" i="12"/>
  <c r="W93" i="12"/>
  <c r="AA91" i="12"/>
  <c r="W89" i="12"/>
  <c r="AA87" i="12"/>
  <c r="W85" i="12"/>
  <c r="AA83" i="12"/>
  <c r="X94" i="12"/>
  <c r="AF89" i="12"/>
  <c r="AE86" i="12"/>
  <c r="G84" i="12"/>
  <c r="AG81" i="12"/>
  <c r="R107" i="12"/>
  <c r="V105" i="12"/>
  <c r="Z103" i="12"/>
  <c r="AD101" i="12"/>
  <c r="AH99" i="12"/>
  <c r="AG107" i="12"/>
  <c r="AK105" i="12"/>
  <c r="P107" i="12"/>
  <c r="AB105" i="12"/>
  <c r="X103" i="12"/>
  <c r="AJ101" i="12"/>
  <c r="AF99" i="12"/>
  <c r="F98" i="12"/>
  <c r="J96" i="12"/>
  <c r="Y108" i="12"/>
  <c r="AC106" i="12"/>
  <c r="Y104" i="12"/>
  <c r="AC102" i="12"/>
  <c r="AD107" i="12"/>
  <c r="AH105" i="12"/>
  <c r="AL103" i="12"/>
  <c r="L102" i="12"/>
  <c r="H100" i="12"/>
  <c r="T98" i="12"/>
  <c r="W108" i="12"/>
  <c r="AD108" i="12"/>
  <c r="AH106" i="12"/>
  <c r="AL104" i="12"/>
  <c r="L103" i="12"/>
  <c r="H101" i="12"/>
  <c r="T99" i="12"/>
  <c r="P97" i="12"/>
  <c r="AB95" i="12"/>
  <c r="S104" i="12"/>
  <c r="S100" i="12"/>
  <c r="G97" i="12"/>
  <c r="AG94" i="12"/>
  <c r="AI92" i="12"/>
  <c r="AE90" i="12"/>
  <c r="AG103" i="12"/>
  <c r="W99" i="12"/>
  <c r="Y102" i="12"/>
  <c r="Q98" i="12"/>
  <c r="N95" i="12"/>
  <c r="AG92" i="12"/>
  <c r="AK90" i="12"/>
  <c r="AG88" i="12"/>
  <c r="AK86" i="12"/>
  <c r="AG84" i="12"/>
  <c r="AI106" i="12"/>
  <c r="AC100" i="12"/>
  <c r="AB96" i="12"/>
  <c r="L94" i="12"/>
  <c r="H92" i="12"/>
  <c r="T90" i="12"/>
  <c r="P88" i="12"/>
  <c r="AB86" i="12"/>
  <c r="Y103" i="12"/>
  <c r="AA98" i="12"/>
  <c r="K95" i="12"/>
  <c r="AE92" i="12"/>
  <c r="AI90" i="12"/>
  <c r="U103" i="12"/>
  <c r="AI107" i="12"/>
  <c r="AG101" i="12"/>
  <c r="K98" i="12"/>
  <c r="S95" i="12"/>
  <c r="O93" i="12"/>
  <c r="S91" i="12"/>
  <c r="O89" i="12"/>
  <c r="S87" i="12"/>
  <c r="O85" i="12"/>
  <c r="S83" i="12"/>
  <c r="T93" i="12"/>
  <c r="T89" i="12"/>
  <c r="R86" i="12"/>
  <c r="AH83" i="12"/>
  <c r="Y81" i="12"/>
  <c r="V94" i="12"/>
  <c r="G90" i="12"/>
  <c r="P86" i="12"/>
  <c r="AG83" i="12"/>
  <c r="X81" i="12"/>
  <c r="G95" i="12"/>
  <c r="F90" i="12"/>
  <c r="J107" i="12"/>
  <c r="N105" i="12"/>
  <c r="R103" i="12"/>
  <c r="V101" i="12"/>
  <c r="Z99" i="12"/>
  <c r="Y107" i="12"/>
  <c r="AC105" i="12"/>
  <c r="H107" i="12"/>
  <c r="T105" i="12"/>
  <c r="P103" i="12"/>
  <c r="AB101" i="12"/>
  <c r="X99" i="12"/>
  <c r="AJ97" i="12"/>
  <c r="AF95" i="12"/>
  <c r="Q108" i="12"/>
  <c r="U106" i="12"/>
  <c r="Q104" i="12"/>
  <c r="U102" i="12"/>
  <c r="V107" i="12"/>
  <c r="Z105" i="12"/>
  <c r="AD103" i="12"/>
  <c r="AH101" i="12"/>
  <c r="AL99" i="12"/>
  <c r="L98" i="12"/>
  <c r="O108" i="12"/>
  <c r="V108" i="12"/>
  <c r="Z106" i="12"/>
  <c r="AD104" i="12"/>
  <c r="AH102" i="12"/>
  <c r="AL100" i="12"/>
  <c r="L99" i="12"/>
  <c r="H97" i="12"/>
  <c r="T95" i="12"/>
  <c r="AI103" i="12"/>
  <c r="Y99" i="12"/>
  <c r="AG96" i="12"/>
  <c r="W94" i="12"/>
  <c r="AA92" i="12"/>
  <c r="W90" i="12"/>
  <c r="K103" i="12"/>
  <c r="AC108" i="12"/>
  <c r="Y101" i="12"/>
  <c r="AD97" i="12"/>
  <c r="AE94" i="12"/>
  <c r="Y92" i="12"/>
  <c r="AC90" i="12"/>
  <c r="Y88" i="12"/>
  <c r="AC86" i="12"/>
  <c r="Y84" i="12"/>
  <c r="O105" i="12"/>
  <c r="M100" i="12"/>
  <c r="Q96" i="12"/>
  <c r="AH93" i="12"/>
  <c r="AL91" i="12"/>
  <c r="L90" i="12"/>
  <c r="H88" i="12"/>
  <c r="T86" i="12"/>
  <c r="S102" i="12"/>
  <c r="O98" i="12"/>
  <c r="AB94" i="12"/>
  <c r="W92" i="12"/>
  <c r="AA90" i="12"/>
  <c r="Q102" i="12"/>
  <c r="Y106" i="12"/>
  <c r="Q101" i="12"/>
  <c r="AK97" i="12"/>
  <c r="I95" i="12"/>
  <c r="G93" i="12"/>
  <c r="K91" i="12"/>
  <c r="G89" i="12"/>
  <c r="K87" i="12"/>
  <c r="G85" i="12"/>
  <c r="U104" i="12"/>
  <c r="AJ92" i="12"/>
  <c r="F89" i="12"/>
  <c r="F86" i="12"/>
  <c r="X83" i="12"/>
  <c r="Q81" i="12"/>
  <c r="AL93" i="12"/>
  <c r="AD89" i="12"/>
  <c r="AF85" i="12"/>
  <c r="V83" i="12"/>
  <c r="P81" i="12"/>
  <c r="AJ108" i="12"/>
  <c r="AF106" i="12"/>
  <c r="F105" i="12"/>
  <c r="J103" i="12"/>
  <c r="N101" i="12"/>
  <c r="R99" i="12"/>
  <c r="Q107" i="12"/>
  <c r="AH108" i="12"/>
  <c r="AL106" i="12"/>
  <c r="L105" i="12"/>
  <c r="H103" i="12"/>
  <c r="T101" i="12"/>
  <c r="P99" i="12"/>
  <c r="AB97" i="12"/>
  <c r="X95" i="12"/>
  <c r="I108" i="12"/>
  <c r="M106" i="12"/>
  <c r="I104" i="12"/>
  <c r="M102" i="12"/>
  <c r="N107" i="12"/>
  <c r="R105" i="12"/>
  <c r="V103" i="12"/>
  <c r="Z101" i="12"/>
  <c r="AD99" i="12"/>
  <c r="AH97" i="12"/>
  <c r="G108" i="12"/>
  <c r="N108" i="12"/>
  <c r="R106" i="12"/>
  <c r="V104" i="12"/>
  <c r="Z102" i="12"/>
  <c r="AD100" i="12"/>
  <c r="AH98" i="12"/>
  <c r="AL96" i="12"/>
  <c r="L95" i="12"/>
  <c r="M103" i="12"/>
  <c r="I99" i="12"/>
  <c r="U96" i="12"/>
  <c r="O94" i="12"/>
  <c r="S92" i="12"/>
  <c r="AK108" i="12"/>
  <c r="AA102" i="12"/>
  <c r="I106" i="12"/>
  <c r="I101" i="12"/>
  <c r="Q97" i="12"/>
  <c r="U94" i="12"/>
  <c r="Q92" i="12"/>
  <c r="U90" i="12"/>
  <c r="Q88" i="12"/>
  <c r="U86" i="12"/>
  <c r="Q84" i="12"/>
  <c r="AE104" i="12"/>
  <c r="AI99" i="12"/>
  <c r="G96" i="12"/>
  <c r="Z93" i="12"/>
  <c r="AD91" i="12"/>
  <c r="AH89" i="12"/>
  <c r="AL87" i="12"/>
  <c r="L86" i="12"/>
  <c r="AK101" i="12"/>
  <c r="AA97" i="12"/>
  <c r="S94" i="12"/>
  <c r="O92" i="12"/>
  <c r="S90" i="12"/>
  <c r="AI101" i="12"/>
  <c r="AE105" i="12"/>
  <c r="W100" i="12"/>
  <c r="W97" i="12"/>
  <c r="AJ94" i="12"/>
  <c r="AK92" i="12"/>
  <c r="AG90" i="12"/>
  <c r="AK88" i="12"/>
  <c r="AG86" i="12"/>
  <c r="AK84" i="12"/>
  <c r="U100" i="12"/>
  <c r="N92" i="12"/>
  <c r="AE88" i="12"/>
  <c r="AG85" i="12"/>
  <c r="M83" i="12"/>
  <c r="T108" i="12"/>
  <c r="P106" i="12"/>
  <c r="AB104" i="12"/>
  <c r="X102" i="12"/>
  <c r="AJ100" i="12"/>
  <c r="AI108" i="12"/>
  <c r="AE106" i="12"/>
  <c r="R108" i="12"/>
  <c r="V106" i="12"/>
  <c r="Z104" i="12"/>
  <c r="AD102" i="12"/>
  <c r="AH100" i="12"/>
  <c r="AL98" i="12"/>
  <c r="L97" i="12"/>
  <c r="H95" i="12"/>
  <c r="W107" i="12"/>
  <c r="AA105" i="12"/>
  <c r="W103" i="12"/>
  <c r="X108" i="12"/>
  <c r="AJ106" i="12"/>
  <c r="AF104" i="12"/>
  <c r="F103" i="12"/>
  <c r="J101" i="12"/>
  <c r="N99" i="12"/>
  <c r="R97" i="12"/>
  <c r="AC107" i="12"/>
  <c r="AJ107" i="12"/>
  <c r="AF105" i="12"/>
  <c r="F104" i="12"/>
  <c r="J102" i="12"/>
  <c r="N100" i="12"/>
  <c r="R98" i="12"/>
  <c r="V96" i="12"/>
  <c r="Z94" i="12"/>
  <c r="I102" i="12"/>
  <c r="U98" i="12"/>
  <c r="AL95" i="12"/>
  <c r="AK93" i="12"/>
  <c r="AG91" i="12"/>
  <c r="K106" i="12"/>
  <c r="AA101" i="12"/>
  <c r="AI104" i="12"/>
  <c r="O100" i="12"/>
  <c r="S96" i="12"/>
  <c r="AI93" i="12"/>
  <c r="AE91" i="12"/>
  <c r="AI89" i="12"/>
  <c r="AE87" i="12"/>
  <c r="AI85" i="12"/>
  <c r="AE83" i="12"/>
  <c r="AA103" i="12"/>
  <c r="AC98" i="12"/>
  <c r="W95" i="12"/>
  <c r="J93" i="12"/>
  <c r="N91" i="12"/>
  <c r="R89" i="12"/>
  <c r="V87" i="12"/>
  <c r="AG106" i="12"/>
  <c r="AA100" i="12"/>
  <c r="AA96" i="12"/>
  <c r="AG93" i="12"/>
  <c r="AK91" i="12"/>
  <c r="AA106" i="12"/>
  <c r="Y100" i="12"/>
  <c r="W104" i="12"/>
  <c r="AC99" i="12"/>
  <c r="AJ96" i="12"/>
  <c r="Q94" i="12"/>
  <c r="U92" i="12"/>
  <c r="Q90" i="12"/>
  <c r="U88" i="12"/>
  <c r="Q86" i="12"/>
  <c r="U84" i="12"/>
  <c r="AE97" i="12"/>
  <c r="J91" i="12"/>
  <c r="F88" i="12"/>
  <c r="L85" i="12"/>
  <c r="AA82" i="12"/>
  <c r="W98" i="12"/>
  <c r="L92" i="12"/>
  <c r="R88" i="12"/>
  <c r="AL84" i="12"/>
  <c r="Z82" i="12"/>
  <c r="S98" i="12"/>
  <c r="AD92" i="12"/>
  <c r="W80" i="12"/>
  <c r="O80" i="12"/>
  <c r="J81" i="12"/>
  <c r="F83" i="12"/>
  <c r="X85" i="12"/>
  <c r="G88" i="12"/>
  <c r="L91" i="12"/>
  <c r="I96" i="12"/>
  <c r="AG80" i="12"/>
  <c r="AK82" i="12"/>
  <c r="N85" i="12"/>
  <c r="AH87" i="12"/>
  <c r="AF90" i="12"/>
  <c r="L96" i="12"/>
  <c r="AB81" i="12"/>
  <c r="Q83" i="12"/>
  <c r="AK85" i="12"/>
  <c r="W88" i="12"/>
  <c r="V92" i="12"/>
  <c r="G98" i="12"/>
  <c r="O82" i="12"/>
  <c r="AH84" i="12"/>
  <c r="L87" i="12"/>
  <c r="AL89" i="12"/>
  <c r="AK94" i="12"/>
  <c r="L80" i="12"/>
  <c r="AL81" i="12"/>
  <c r="N84" i="12"/>
  <c r="M87" i="12"/>
  <c r="F92" i="12"/>
  <c r="M98" i="12"/>
  <c r="O81" i="12"/>
  <c r="U83" i="12"/>
  <c r="O86" i="12"/>
  <c r="V90" i="12"/>
  <c r="V97" i="12"/>
  <c r="AA84" i="12"/>
  <c r="AB91" i="12"/>
  <c r="AI82" i="12"/>
  <c r="Y98" i="12"/>
  <c r="Y90" i="12"/>
  <c r="G100" i="12"/>
  <c r="G92" i="12"/>
  <c r="M108" i="12"/>
  <c r="R93" i="12"/>
  <c r="I84" i="12"/>
  <c r="I92" i="12"/>
  <c r="Q105" i="12"/>
  <c r="G94" i="12"/>
  <c r="AH94" i="12"/>
  <c r="R102" i="12"/>
  <c r="AK107" i="12"/>
  <c r="N103" i="12"/>
  <c r="AE103" i="12"/>
  <c r="T97" i="12"/>
  <c r="AH104" i="12"/>
  <c r="J99" i="12"/>
  <c r="X106" i="12"/>
  <c r="J80" i="12"/>
  <c r="AE80" i="12"/>
  <c r="R81" i="12"/>
  <c r="N83" i="12"/>
  <c r="AH85" i="12"/>
  <c r="T88" i="12"/>
  <c r="AH91" i="12"/>
  <c r="AK96" i="12"/>
  <c r="K81" i="12"/>
  <c r="G83" i="12"/>
  <c r="Y85" i="12"/>
  <c r="J88" i="12"/>
  <c r="P91" i="12"/>
  <c r="F97" i="12"/>
  <c r="AJ81" i="12"/>
  <c r="AB83" i="12"/>
  <c r="J86" i="12"/>
  <c r="AJ88" i="12"/>
  <c r="F93" i="12"/>
  <c r="AE101" i="12"/>
  <c r="W82" i="12"/>
  <c r="F85" i="12"/>
  <c r="Y87" i="12"/>
  <c r="P90" i="12"/>
  <c r="AC95" i="12"/>
  <c r="T80" i="12"/>
  <c r="H82" i="12"/>
  <c r="X84" i="12"/>
  <c r="Z87" i="12"/>
  <c r="AB92" i="12"/>
  <c r="K99" i="12"/>
  <c r="W81" i="12"/>
  <c r="AF83" i="12"/>
  <c r="AA86" i="12"/>
  <c r="Z91" i="12"/>
  <c r="AA99" i="12"/>
  <c r="J85" i="12"/>
  <c r="AH92" i="12"/>
  <c r="AB84" i="12"/>
  <c r="M84" i="12"/>
  <c r="M92" i="12"/>
  <c r="S103" i="12"/>
  <c r="Y93" i="12"/>
  <c r="N87" i="12"/>
  <c r="M95" i="12"/>
  <c r="AA85" i="12"/>
  <c r="AA93" i="12"/>
  <c r="K101" i="12"/>
  <c r="AA95" i="12"/>
  <c r="N96" i="12"/>
  <c r="AJ103" i="12"/>
  <c r="J97" i="12"/>
  <c r="X104" i="12"/>
  <c r="S105" i="12"/>
  <c r="AD98" i="12"/>
  <c r="N106" i="12"/>
  <c r="AB100" i="12"/>
  <c r="L108" i="12"/>
  <c r="S80" i="12"/>
  <c r="Z80" i="12"/>
  <c r="R80" i="12"/>
  <c r="Z81" i="12"/>
  <c r="Y83" i="12"/>
  <c r="G86" i="12"/>
  <c r="AH88" i="12"/>
  <c r="R92" i="12"/>
  <c r="AI97" i="12"/>
  <c r="S81" i="12"/>
  <c r="P83" i="12"/>
  <c r="AJ85" i="12"/>
  <c r="V88" i="12"/>
  <c r="AJ91" i="12"/>
  <c r="AL97" i="12"/>
  <c r="F82" i="12"/>
  <c r="AL83" i="12"/>
  <c r="W86" i="12"/>
  <c r="L89" i="12"/>
  <c r="AB93" i="12"/>
  <c r="S106" i="12"/>
  <c r="AE82" i="12"/>
  <c r="Q85" i="12"/>
  <c r="AK87" i="12"/>
  <c r="AL90" i="12"/>
  <c r="T96" i="12"/>
  <c r="AB80" i="12"/>
  <c r="P82" i="12"/>
  <c r="AI84" i="12"/>
  <c r="N88" i="12"/>
  <c r="L93" i="12"/>
  <c r="AG102" i="12"/>
  <c r="AE81" i="12"/>
  <c r="O84" i="12"/>
  <c r="P87" i="12"/>
  <c r="J92" i="12"/>
  <c r="Q103" i="12"/>
  <c r="U85" i="12"/>
  <c r="P93" i="12"/>
  <c r="V85" i="12"/>
  <c r="AC84" i="12"/>
  <c r="AC92" i="12"/>
  <c r="G105" i="12"/>
  <c r="K94" i="12"/>
  <c r="AD87" i="12"/>
  <c r="AH95" i="12"/>
  <c r="M86" i="12"/>
  <c r="M94" i="12"/>
  <c r="G102" i="12"/>
  <c r="K96" i="12"/>
  <c r="AD96" i="12"/>
  <c r="N104" i="12"/>
  <c r="Z97" i="12"/>
  <c r="J105" i="12"/>
  <c r="AI105" i="12"/>
  <c r="H99" i="12"/>
  <c r="AD106" i="12"/>
  <c r="F101" i="12"/>
  <c r="AB108" i="12"/>
  <c r="AF101" i="12"/>
  <c r="AI80" i="12"/>
  <c r="K80" i="12"/>
  <c r="AH80" i="12"/>
  <c r="AH81" i="12"/>
  <c r="AJ83" i="12"/>
  <c r="S86" i="12"/>
  <c r="H89" i="12"/>
  <c r="AL92" i="12"/>
  <c r="AF98" i="12"/>
  <c r="AA81" i="12"/>
  <c r="Z83" i="12"/>
  <c r="H86" i="12"/>
  <c r="AI88" i="12"/>
  <c r="T92" i="12"/>
  <c r="AI98" i="12"/>
  <c r="N82" i="12"/>
  <c r="K84" i="12"/>
  <c r="AI86" i="12"/>
  <c r="X89" i="12"/>
  <c r="J94" i="12"/>
  <c r="M81" i="12"/>
  <c r="I83" i="12"/>
  <c r="AB85" i="12"/>
  <c r="L88" i="12"/>
  <c r="T91" i="12"/>
  <c r="M97" i="12"/>
  <c r="AJ80" i="12"/>
  <c r="X82" i="12"/>
  <c r="H85" i="12"/>
  <c r="AA88" i="12"/>
  <c r="AF93" i="12"/>
  <c r="M80" i="12"/>
  <c r="I82" i="12"/>
  <c r="Z84" i="12"/>
  <c r="AB87" i="12"/>
  <c r="N93" i="12"/>
  <c r="AF81" i="12"/>
  <c r="AD86" i="12"/>
  <c r="J95" i="12"/>
  <c r="AF87" i="12"/>
  <c r="I86" i="12"/>
  <c r="I94" i="12"/>
  <c r="I100" i="12"/>
  <c r="P96" i="12"/>
  <c r="J89" i="12"/>
  <c r="P98" i="12"/>
  <c r="W87" i="12"/>
  <c r="H96" i="12"/>
  <c r="U105" i="12"/>
  <c r="H98" i="12"/>
  <c r="J98" i="12"/>
  <c r="X105" i="12"/>
  <c r="F99" i="12"/>
  <c r="AB106" i="12"/>
  <c r="O107" i="12"/>
  <c r="Z100" i="12"/>
  <c r="J108" i="12"/>
  <c r="P102" i="12"/>
  <c r="F80" i="12"/>
  <c r="AA80" i="12"/>
  <c r="H80" i="12"/>
  <c r="L82" i="12"/>
  <c r="H84" i="12"/>
  <c r="AF86" i="12"/>
  <c r="U89" i="12"/>
  <c r="V93" i="12"/>
  <c r="AK100" i="12"/>
  <c r="AI81" i="12"/>
  <c r="AK83" i="12"/>
  <c r="V86" i="12"/>
  <c r="I89" i="12"/>
  <c r="X93" i="12"/>
  <c r="O101" i="12"/>
  <c r="V82" i="12"/>
  <c r="V84" i="12"/>
  <c r="J87" i="12"/>
  <c r="AK89" i="12"/>
  <c r="AI94" i="12"/>
  <c r="U81" i="12"/>
  <c r="R83" i="12"/>
  <c r="AL85" i="12"/>
  <c r="Z88" i="12"/>
  <c r="Z92" i="12"/>
  <c r="I98" i="12"/>
  <c r="F81" i="12"/>
  <c r="AF82" i="12"/>
  <c r="R85" i="12"/>
  <c r="N89" i="12"/>
  <c r="P94" i="12"/>
  <c r="U80" i="12"/>
  <c r="Q82" i="12"/>
  <c r="AJ84" i="12"/>
  <c r="O88" i="12"/>
  <c r="AJ93" i="12"/>
  <c r="R82" i="12"/>
  <c r="AC87" i="12"/>
  <c r="Y97" i="12"/>
  <c r="S88" i="12"/>
  <c r="Y86" i="12"/>
  <c r="Y94" i="12"/>
  <c r="S101" i="12"/>
  <c r="N97" i="12"/>
  <c r="Z89" i="12"/>
  <c r="S99" i="12"/>
  <c r="I88" i="12"/>
  <c r="AC96" i="12"/>
  <c r="K107" i="12"/>
  <c r="AG98" i="12"/>
  <c r="Z98" i="12"/>
  <c r="J106" i="12"/>
  <c r="V99" i="12"/>
  <c r="F107" i="12"/>
  <c r="AE107" i="12"/>
  <c r="L101" i="12"/>
  <c r="Z108" i="12"/>
  <c r="AF102" i="12"/>
  <c r="V80" i="12"/>
  <c r="N80" i="12"/>
  <c r="P80" i="12"/>
  <c r="T82" i="12"/>
  <c r="S84" i="12"/>
  <c r="H87" i="12"/>
  <c r="AG89" i="12"/>
  <c r="F94" i="12"/>
  <c r="I80" i="12"/>
  <c r="M82" i="12"/>
  <c r="J84" i="12"/>
  <c r="AH86" i="12"/>
  <c r="V89" i="12"/>
  <c r="H94" i="12"/>
  <c r="Y105" i="12"/>
  <c r="AD82" i="12"/>
  <c r="AF84" i="12"/>
  <c r="X87" i="12"/>
  <c r="O90" i="12"/>
  <c r="Z95" i="12"/>
  <c r="AC81" i="12"/>
  <c r="AC83" i="12"/>
  <c r="K86" i="12"/>
  <c r="AL88" i="12"/>
  <c r="H93" i="12"/>
  <c r="G99" i="12"/>
  <c r="N81" i="12"/>
  <c r="J83" i="12"/>
  <c r="AC85" i="12"/>
  <c r="AB89" i="12"/>
  <c r="AE95" i="12"/>
  <c r="AC80" i="12"/>
  <c r="Y82" i="12"/>
  <c r="I85" i="12"/>
  <c r="AB88" i="12"/>
  <c r="R94" i="12"/>
  <c r="AH82" i="12"/>
  <c r="AD88" i="12"/>
  <c r="AK103" i="12"/>
  <c r="Z90" i="12"/>
  <c r="M88" i="12"/>
  <c r="X96" i="12"/>
  <c r="AG105" i="12"/>
  <c r="K100" i="12"/>
  <c r="F91" i="12"/>
  <c r="W102" i="12"/>
  <c r="AA89" i="12"/>
  <c r="AK99" i="12"/>
  <c r="Y91" i="12"/>
  <c r="AC101" i="12"/>
  <c r="F100" i="12"/>
  <c r="AB107" i="12"/>
  <c r="AF100" i="12"/>
  <c r="P108" i="12"/>
  <c r="AL94" i="12"/>
  <c r="V102" i="12"/>
  <c r="W106" i="12"/>
  <c r="T104" i="12"/>
  <c r="AL80" i="12"/>
  <c r="AD80" i="12"/>
  <c r="X80" i="12"/>
  <c r="AB82" i="12"/>
  <c r="AD84" i="12"/>
  <c r="T87" i="12"/>
  <c r="J90" i="12"/>
  <c r="AA94" i="12"/>
  <c r="Q80" i="12"/>
  <c r="U82" i="12"/>
  <c r="T84" i="12"/>
  <c r="I87" i="12"/>
  <c r="AJ89" i="12"/>
  <c r="AF94" i="12"/>
  <c r="L81" i="12"/>
  <c r="AL82" i="12"/>
  <c r="P85" i="12"/>
  <c r="AJ87" i="12"/>
  <c r="AH90" i="12"/>
  <c r="O96" i="12"/>
  <c r="AK81" i="12"/>
  <c r="L84" i="12"/>
  <c r="X86" i="12"/>
  <c r="M89" i="12"/>
  <c r="AD93" i="12"/>
  <c r="K102" i="12"/>
  <c r="V81" i="12"/>
  <c r="T83" i="12"/>
  <c r="N86" i="12"/>
  <c r="R90" i="12"/>
  <c r="W96" i="12"/>
  <c r="AK80" i="12"/>
  <c r="AG82" i="12"/>
  <c r="T85" i="12"/>
  <c r="P89" i="12"/>
  <c r="AK95" i="12"/>
  <c r="L83" i="12"/>
  <c r="Q89" i="12"/>
  <c r="I81" i="12"/>
  <c r="AF91" i="12"/>
  <c r="AC88" i="12"/>
  <c r="K97" i="12"/>
  <c r="K90" i="12"/>
  <c r="U101" i="12"/>
  <c r="V91" i="12"/>
  <c r="K104" i="12"/>
  <c r="M90" i="12"/>
  <c r="AE100" i="12"/>
  <c r="K92" i="12"/>
  <c r="AE102" i="12"/>
  <c r="V100" i="12"/>
  <c r="F108" i="12"/>
  <c r="R101" i="12"/>
  <c r="AF108" i="12"/>
  <c r="P95" i="12"/>
  <c r="AL102" i="12"/>
  <c r="I107" i="12"/>
  <c r="AJ104" i="12"/>
  <c r="AC54" i="12"/>
  <c r="P74" i="11"/>
  <c r="K69" i="11"/>
  <c r="G26" i="8" s="1"/>
  <c r="I41" i="12"/>
  <c r="Y41" i="12"/>
  <c r="M41" i="12"/>
  <c r="AK62" i="12"/>
  <c r="AG51" i="8" s="1"/>
  <c r="AG67" i="12"/>
  <c r="AC56" i="8" s="1"/>
  <c r="AA56" i="12"/>
  <c r="AF74" i="11"/>
  <c r="K56" i="12"/>
  <c r="U61" i="12"/>
  <c r="Q50" i="8" s="1"/>
  <c r="AG71" i="12"/>
  <c r="AC60" i="8" s="1"/>
  <c r="X49" i="11"/>
  <c r="T6" i="8" s="1"/>
  <c r="AG49" i="12"/>
  <c r="AC38" i="8" s="1"/>
  <c r="Q41" i="12"/>
  <c r="X73" i="11"/>
  <c r="J74" i="12"/>
  <c r="F63" i="8" s="1"/>
  <c r="AG41" i="11"/>
  <c r="AA41" i="11"/>
  <c r="J41" i="11"/>
  <c r="N73" i="12"/>
  <c r="J62" i="8" s="1"/>
  <c r="AG59" i="12"/>
  <c r="AC48" i="8" s="1"/>
  <c r="AG69" i="12"/>
  <c r="AC58" i="8" s="1"/>
  <c r="AG57" i="12"/>
  <c r="AC46" i="8" s="1"/>
  <c r="AG73" i="12"/>
  <c r="AC62" i="8" s="1"/>
  <c r="AG65" i="12"/>
  <c r="AC54" i="8" s="1"/>
  <c r="AG61" i="12"/>
  <c r="AC50" i="8" s="1"/>
  <c r="AE57" i="12"/>
  <c r="AA46" i="8" s="1"/>
  <c r="Z73" i="12"/>
  <c r="V62" i="8" s="1"/>
  <c r="I66" i="12"/>
  <c r="E55" i="8" s="1"/>
  <c r="H59" i="12"/>
  <c r="D48" i="8" s="1"/>
  <c r="T59" i="12"/>
  <c r="P48" i="8" s="1"/>
  <c r="AB41" i="12"/>
  <c r="AG63" i="12"/>
  <c r="AC52" i="8" s="1"/>
  <c r="P64" i="11"/>
  <c r="L21" i="8" s="1"/>
  <c r="P63" i="11"/>
  <c r="L20" i="8" s="1"/>
  <c r="P53" i="11"/>
  <c r="L10" i="8" s="1"/>
  <c r="P57" i="11"/>
  <c r="L14" i="8" s="1"/>
  <c r="P62" i="11"/>
  <c r="L19" i="8" s="1"/>
  <c r="P58" i="11"/>
  <c r="L15" i="8" s="1"/>
  <c r="P69" i="11"/>
  <c r="L26" i="8" s="1"/>
  <c r="P70" i="11"/>
  <c r="L27" i="8" s="1"/>
  <c r="P67" i="11"/>
  <c r="L24" i="8" s="1"/>
  <c r="Y41" i="11"/>
  <c r="P59" i="11"/>
  <c r="L16" i="8" s="1"/>
  <c r="P47" i="11"/>
  <c r="L4" i="8" s="1"/>
  <c r="AL41" i="12"/>
  <c r="V61" i="12"/>
  <c r="R50" i="8" s="1"/>
  <c r="AJ41" i="12"/>
  <c r="H71" i="11"/>
  <c r="D28" i="8" s="1"/>
  <c r="AF69" i="12"/>
  <c r="AB58" i="8" s="1"/>
  <c r="AB73" i="12"/>
  <c r="X62" i="8" s="1"/>
  <c r="U56" i="12"/>
  <c r="W68" i="12"/>
  <c r="S57" i="8" s="1"/>
  <c r="AJ67" i="12"/>
  <c r="AF56" i="8" s="1"/>
  <c r="J60" i="12"/>
  <c r="L41" i="12"/>
  <c r="F62" i="12"/>
  <c r="B51" i="8" s="1"/>
  <c r="AI57" i="11"/>
  <c r="AE14" i="8" s="1"/>
  <c r="F41" i="11"/>
  <c r="O65" i="12"/>
  <c r="K54" i="8" s="1"/>
  <c r="Q73" i="12"/>
  <c r="M62" i="8" s="1"/>
  <c r="R59" i="12"/>
  <c r="N48" i="8" s="1"/>
  <c r="AD57" i="11"/>
  <c r="Z14" i="8" s="1"/>
  <c r="X64" i="11"/>
  <c r="T21" i="8" s="1"/>
  <c r="AC60" i="12"/>
  <c r="AJ71" i="12"/>
  <c r="AF60" i="8" s="1"/>
  <c r="V66" i="12"/>
  <c r="R55" i="8" s="1"/>
  <c r="X41" i="11"/>
  <c r="M51" i="11"/>
  <c r="I8" i="8" s="1"/>
  <c r="AJ57" i="12"/>
  <c r="AF46" i="8" s="1"/>
  <c r="T41" i="12"/>
  <c r="AD65" i="12"/>
  <c r="Z54" i="8" s="1"/>
  <c r="H71" i="12"/>
  <c r="D60" i="8" s="1"/>
  <c r="AJ65" i="12"/>
  <c r="AF54" i="8" s="1"/>
  <c r="V59" i="12"/>
  <c r="R48" i="8" s="1"/>
  <c r="AJ61" i="12"/>
  <c r="AF50" i="8" s="1"/>
  <c r="AJ69" i="12"/>
  <c r="AF58" i="8" s="1"/>
  <c r="L70" i="12"/>
  <c r="H59" i="8" s="1"/>
  <c r="F56" i="11"/>
  <c r="AJ73" i="12"/>
  <c r="AF62" i="8" s="1"/>
  <c r="V63" i="12"/>
  <c r="R52" i="8" s="1"/>
  <c r="AJ59" i="12"/>
  <c r="AF48" i="8" s="1"/>
  <c r="Q74" i="12"/>
  <c r="M63" i="8" s="1"/>
  <c r="X69" i="11"/>
  <c r="T26" i="8" s="1"/>
  <c r="AI41" i="12"/>
  <c r="F56" i="12"/>
  <c r="G59" i="12"/>
  <c r="C48" i="8" s="1"/>
  <c r="M56" i="12"/>
  <c r="AJ68" i="12"/>
  <c r="AF57" i="8" s="1"/>
  <c r="AA41" i="12"/>
  <c r="AJ63" i="12"/>
  <c r="AF52" i="8" s="1"/>
  <c r="AB61" i="12"/>
  <c r="X50" i="8" s="1"/>
  <c r="AL71" i="12"/>
  <c r="AH60" i="8" s="1"/>
  <c r="J57" i="12"/>
  <c r="F46" i="8" s="1"/>
  <c r="Q49" i="11"/>
  <c r="M6" i="8" s="1"/>
  <c r="P70" i="12"/>
  <c r="L59" i="8" s="1"/>
  <c r="R69" i="12"/>
  <c r="N58" i="8" s="1"/>
  <c r="L67" i="12"/>
  <c r="H56" i="8" s="1"/>
  <c r="M65" i="12"/>
  <c r="I54" i="8" s="1"/>
  <c r="G63" i="12"/>
  <c r="C52" i="8" s="1"/>
  <c r="N57" i="12"/>
  <c r="J46" i="8" s="1"/>
  <c r="L53" i="12"/>
  <c r="X69" i="12"/>
  <c r="T58" i="8" s="1"/>
  <c r="AE59" i="12"/>
  <c r="AA48" i="8" s="1"/>
  <c r="H48" i="12"/>
  <c r="D37" i="8" s="1"/>
  <c r="U73" i="12"/>
  <c r="Q62" i="8" s="1"/>
  <c r="I71" i="12"/>
  <c r="E60" i="8" s="1"/>
  <c r="V69" i="12"/>
  <c r="R58" i="8" s="1"/>
  <c r="U67" i="12"/>
  <c r="Q56" i="8" s="1"/>
  <c r="AK65" i="12"/>
  <c r="AG54" i="8" s="1"/>
  <c r="I63" i="12"/>
  <c r="E52" i="8" s="1"/>
  <c r="K61" i="12"/>
  <c r="G50" i="8" s="1"/>
  <c r="AB59" i="12"/>
  <c r="X48" i="8" s="1"/>
  <c r="AG72" i="12"/>
  <c r="AC61" i="8" s="1"/>
  <c r="AG58" i="12"/>
  <c r="AC47" i="8" s="1"/>
  <c r="W73" i="12"/>
  <c r="S62" i="8" s="1"/>
  <c r="K73" i="12"/>
  <c r="G62" i="8" s="1"/>
  <c r="AK73" i="12"/>
  <c r="AG62" i="8" s="1"/>
  <c r="N67" i="12"/>
  <c r="J56" i="8" s="1"/>
  <c r="AL65" i="12"/>
  <c r="AH54" i="8" s="1"/>
  <c r="AI61" i="12"/>
  <c r="AE50" i="8" s="1"/>
  <c r="J59" i="12"/>
  <c r="F48" i="8" s="1"/>
  <c r="P41" i="12"/>
  <c r="AD57" i="12"/>
  <c r="Z46" i="8" s="1"/>
  <c r="W72" i="12"/>
  <c r="S61" i="8" s="1"/>
  <c r="H58" i="12"/>
  <c r="D47" i="8" s="1"/>
  <c r="K41" i="12"/>
  <c r="AD63" i="11"/>
  <c r="Z20" i="8" s="1"/>
  <c r="R67" i="11"/>
  <c r="N24" i="8" s="1"/>
  <c r="O55" i="12"/>
  <c r="K44" i="8" s="1"/>
  <c r="L71" i="12"/>
  <c r="H60" i="8" s="1"/>
  <c r="U69" i="12"/>
  <c r="Q58" i="8" s="1"/>
  <c r="H67" i="12"/>
  <c r="D56" i="8" s="1"/>
  <c r="I65" i="12"/>
  <c r="E54" i="8" s="1"/>
  <c r="W65" i="12"/>
  <c r="S54" i="8" s="1"/>
  <c r="R63" i="12"/>
  <c r="N52" i="8" s="1"/>
  <c r="F61" i="12"/>
  <c r="B50" i="8" s="1"/>
  <c r="L64" i="12"/>
  <c r="H53" i="8" s="1"/>
  <c r="AB60" i="12"/>
  <c r="G61" i="12"/>
  <c r="C50" i="8" s="1"/>
  <c r="R73" i="12"/>
  <c r="N62" i="8" s="1"/>
  <c r="AC69" i="12"/>
  <c r="Y58" i="8" s="1"/>
  <c r="I67" i="12"/>
  <c r="E56" i="8" s="1"/>
  <c r="AF65" i="12"/>
  <c r="AB54" i="8" s="1"/>
  <c r="L63" i="12"/>
  <c r="H52" i="8" s="1"/>
  <c r="AF61" i="12"/>
  <c r="AB50" i="8" s="1"/>
  <c r="AE41" i="12"/>
  <c r="N68" i="12"/>
  <c r="J57" i="8" s="1"/>
  <c r="T66" i="12"/>
  <c r="P55" i="8" s="1"/>
  <c r="AC47" i="12"/>
  <c r="Y36" i="8" s="1"/>
  <c r="R67" i="12"/>
  <c r="N56" i="8" s="1"/>
  <c r="AB62" i="11"/>
  <c r="X19" i="8" s="1"/>
  <c r="Y74" i="12"/>
  <c r="U63" i="8" s="1"/>
  <c r="V73" i="12"/>
  <c r="R62" i="8" s="1"/>
  <c r="Z71" i="12"/>
  <c r="V60" i="8" s="1"/>
  <c r="U71" i="12"/>
  <c r="Q60" i="8" s="1"/>
  <c r="K65" i="12"/>
  <c r="G54" i="8" s="1"/>
  <c r="R70" i="12"/>
  <c r="N59" i="8" s="1"/>
  <c r="G52" i="12"/>
  <c r="C41" i="8" s="1"/>
  <c r="K69" i="12"/>
  <c r="G58" i="8" s="1"/>
  <c r="I61" i="12"/>
  <c r="E50" i="8" s="1"/>
  <c r="AC67" i="11"/>
  <c r="Y24" i="8" s="1"/>
  <c r="J47" i="11"/>
  <c r="F4" i="8" s="1"/>
  <c r="K59" i="12"/>
  <c r="G48" i="8" s="1"/>
  <c r="R71" i="12"/>
  <c r="N60" i="8" s="1"/>
  <c r="Y69" i="12"/>
  <c r="U58" i="8" s="1"/>
  <c r="J67" i="12"/>
  <c r="F56" i="8" s="1"/>
  <c r="AI65" i="12"/>
  <c r="AE54" i="8" s="1"/>
  <c r="U63" i="12"/>
  <c r="Q52" i="8" s="1"/>
  <c r="U59" i="12"/>
  <c r="Q48" i="8" s="1"/>
  <c r="L61" i="12"/>
  <c r="H50" i="8" s="1"/>
  <c r="AA59" i="12"/>
  <c r="W48" i="8" s="1"/>
  <c r="AK74" i="12"/>
  <c r="AG63" i="8" s="1"/>
  <c r="AH58" i="12"/>
  <c r="AD47" i="8" s="1"/>
  <c r="AH41" i="12"/>
  <c r="AH53" i="12"/>
  <c r="AH51" i="12"/>
  <c r="AD40" i="8" s="1"/>
  <c r="AH55" i="12"/>
  <c r="AD44" i="8" s="1"/>
  <c r="AH52" i="12"/>
  <c r="AD41" i="8" s="1"/>
  <c r="AH62" i="12"/>
  <c r="AD51" i="8" s="1"/>
  <c r="AH47" i="12"/>
  <c r="AD36" i="8" s="1"/>
  <c r="AH49" i="12"/>
  <c r="AD38" i="8" s="1"/>
  <c r="AH48" i="12"/>
  <c r="AD37" i="8" s="1"/>
  <c r="AH66" i="12"/>
  <c r="AD55" i="8" s="1"/>
  <c r="AH70" i="12"/>
  <c r="AD59" i="8" s="1"/>
  <c r="AH46" i="12"/>
  <c r="AD35" i="8" s="1"/>
  <c r="AH54" i="12"/>
  <c r="AD73" i="12"/>
  <c r="Z62" i="8" s="1"/>
  <c r="X73" i="12"/>
  <c r="T62" i="8" s="1"/>
  <c r="AH71" i="12"/>
  <c r="AD60" i="8" s="1"/>
  <c r="AD69" i="12"/>
  <c r="Z58" i="8" s="1"/>
  <c r="AD61" i="12"/>
  <c r="Z50" i="8" s="1"/>
  <c r="AH57" i="12"/>
  <c r="AD46" i="8" s="1"/>
  <c r="X59" i="12"/>
  <c r="T48" i="8" s="1"/>
  <c r="S47" i="12"/>
  <c r="O36" i="8" s="1"/>
  <c r="S51" i="12"/>
  <c r="O40" i="8" s="1"/>
  <c r="S62" i="12"/>
  <c r="O51" i="8" s="1"/>
  <c r="S49" i="12"/>
  <c r="O38" i="8" s="1"/>
  <c r="S48" i="12"/>
  <c r="O37" i="8" s="1"/>
  <c r="S64" i="12"/>
  <c r="O53" i="8" s="1"/>
  <c r="S52" i="12"/>
  <c r="O41" i="8" s="1"/>
  <c r="S55" i="12"/>
  <c r="O44" i="8" s="1"/>
  <c r="S46" i="12"/>
  <c r="O35" i="8" s="1"/>
  <c r="S60" i="12"/>
  <c r="S50" i="12"/>
  <c r="O39" i="8" s="1"/>
  <c r="S58" i="12"/>
  <c r="O47" i="8" s="1"/>
  <c r="S72" i="12"/>
  <c r="O61" i="8" s="1"/>
  <c r="O74" i="12"/>
  <c r="K63" i="8" s="1"/>
  <c r="AE64" i="12"/>
  <c r="AA53" i="8" s="1"/>
  <c r="AA63" i="11"/>
  <c r="W20" i="8" s="1"/>
  <c r="V64" i="11"/>
  <c r="R21" i="8" s="1"/>
  <c r="X59" i="11"/>
  <c r="T16" i="8" s="1"/>
  <c r="X54" i="11"/>
  <c r="T11" i="8" s="1"/>
  <c r="G57" i="12"/>
  <c r="C46" i="8" s="1"/>
  <c r="AI59" i="12"/>
  <c r="AE48" i="8" s="1"/>
  <c r="Z50" i="12"/>
  <c r="V39" i="8" s="1"/>
  <c r="Z58" i="12"/>
  <c r="V47" i="8" s="1"/>
  <c r="Z41" i="12"/>
  <c r="Z53" i="12"/>
  <c r="Z68" i="12"/>
  <c r="V57" i="8" s="1"/>
  <c r="Z72" i="12"/>
  <c r="V61" i="8" s="1"/>
  <c r="Z51" i="12"/>
  <c r="V40" i="8" s="1"/>
  <c r="Z55" i="12"/>
  <c r="V44" i="8" s="1"/>
  <c r="Z74" i="12"/>
  <c r="V63" i="8" s="1"/>
  <c r="Z62" i="12"/>
  <c r="V51" i="8" s="1"/>
  <c r="Z47" i="12"/>
  <c r="V36" i="8" s="1"/>
  <c r="Z49" i="12"/>
  <c r="V38" i="8" s="1"/>
  <c r="Z48" i="12"/>
  <c r="V37" i="8" s="1"/>
  <c r="Z52" i="12"/>
  <c r="V41" i="8" s="1"/>
  <c r="Z64" i="12"/>
  <c r="V53" i="8" s="1"/>
  <c r="Z66" i="12"/>
  <c r="V55" i="8" s="1"/>
  <c r="Z70" i="12"/>
  <c r="V59" i="8" s="1"/>
  <c r="AF52" i="12"/>
  <c r="AB41" i="8" s="1"/>
  <c r="AF56" i="12"/>
  <c r="AF47" i="12"/>
  <c r="AB36" i="8" s="1"/>
  <c r="AF51" i="12"/>
  <c r="AB40" i="8" s="1"/>
  <c r="AF55" i="12"/>
  <c r="AB44" i="8" s="1"/>
  <c r="AF54" i="12"/>
  <c r="AF60" i="12"/>
  <c r="AF70" i="12"/>
  <c r="AB59" i="8" s="1"/>
  <c r="AF74" i="12"/>
  <c r="AB63" i="8" s="1"/>
  <c r="AF49" i="12"/>
  <c r="AB38" i="8" s="1"/>
  <c r="AF53" i="12"/>
  <c r="AF48" i="12"/>
  <c r="AB37" i="8" s="1"/>
  <c r="AF58" i="12"/>
  <c r="AB47" i="8" s="1"/>
  <c r="AF66" i="12"/>
  <c r="AB55" i="8" s="1"/>
  <c r="AF68" i="12"/>
  <c r="AB57" i="8" s="1"/>
  <c r="AF46" i="12"/>
  <c r="AB35" i="8" s="1"/>
  <c r="AF62" i="12"/>
  <c r="AB51" i="8" s="1"/>
  <c r="AF72" i="12"/>
  <c r="AB61" i="8" s="1"/>
  <c r="O73" i="12"/>
  <c r="K62" i="8" s="1"/>
  <c r="AL73" i="12"/>
  <c r="AH62" i="8" s="1"/>
  <c r="AF73" i="12"/>
  <c r="AB62" i="8" s="1"/>
  <c r="K71" i="12"/>
  <c r="G60" i="8" s="1"/>
  <c r="S71" i="12"/>
  <c r="O60" i="8" s="1"/>
  <c r="P71" i="12"/>
  <c r="L60" i="8" s="1"/>
  <c r="T71" i="12"/>
  <c r="P60" i="8" s="1"/>
  <c r="G69" i="12"/>
  <c r="C58" i="8" s="1"/>
  <c r="O69" i="12"/>
  <c r="K58" i="8" s="1"/>
  <c r="AL69" i="12"/>
  <c r="AH58" i="8" s="1"/>
  <c r="AK69" i="12"/>
  <c r="AG58" i="8" s="1"/>
  <c r="V67" i="12"/>
  <c r="R56" i="8" s="1"/>
  <c r="P67" i="12"/>
  <c r="L56" i="8" s="1"/>
  <c r="T67" i="12"/>
  <c r="P56" i="8" s="1"/>
  <c r="J65" i="12"/>
  <c r="F54" i="8" s="1"/>
  <c r="L65" i="12"/>
  <c r="H54" i="8" s="1"/>
  <c r="F65" i="12"/>
  <c r="B54" i="8" s="1"/>
  <c r="AE65" i="12"/>
  <c r="AA54" i="8" s="1"/>
  <c r="AC63" i="12"/>
  <c r="Y52" i="8" s="1"/>
  <c r="O63" i="12"/>
  <c r="K52" i="8" s="1"/>
  <c r="Q63" i="12"/>
  <c r="M52" i="8" s="1"/>
  <c r="T63" i="12"/>
  <c r="P52" i="8" s="1"/>
  <c r="J61" i="12"/>
  <c r="F50" i="8" s="1"/>
  <c r="M61" i="12"/>
  <c r="I50" i="8" s="1"/>
  <c r="AL61" i="12"/>
  <c r="AH50" i="8" s="1"/>
  <c r="AC59" i="12"/>
  <c r="Y48" i="8" s="1"/>
  <c r="O59" i="12"/>
  <c r="K48" i="8" s="1"/>
  <c r="I57" i="12"/>
  <c r="E46" i="8" s="1"/>
  <c r="K57" i="12"/>
  <c r="G46" i="8" s="1"/>
  <c r="V57" i="12"/>
  <c r="R46" i="8" s="1"/>
  <c r="Z60" i="12"/>
  <c r="U60" i="12"/>
  <c r="H41" i="12"/>
  <c r="O57" i="12"/>
  <c r="K46" i="8" s="1"/>
  <c r="W41" i="12"/>
  <c r="M60" i="12"/>
  <c r="K54" i="12"/>
  <c r="K55" i="12"/>
  <c r="G44" i="8" s="1"/>
  <c r="K47" i="12"/>
  <c r="G36" i="8" s="1"/>
  <c r="K62" i="12"/>
  <c r="G51" i="8" s="1"/>
  <c r="K49" i="12"/>
  <c r="G38" i="8" s="1"/>
  <c r="K53" i="12"/>
  <c r="K48" i="12"/>
  <c r="G37" i="8" s="1"/>
  <c r="K64" i="12"/>
  <c r="G53" i="8" s="1"/>
  <c r="K68" i="12"/>
  <c r="G57" i="8" s="1"/>
  <c r="K46" i="12"/>
  <c r="G35" i="8" s="1"/>
  <c r="K60" i="12"/>
  <c r="K66" i="12"/>
  <c r="G55" i="8" s="1"/>
  <c r="K50" i="12"/>
  <c r="G39" i="8" s="1"/>
  <c r="K52" i="12"/>
  <c r="G41" i="8" s="1"/>
  <c r="K51" i="12"/>
  <c r="G40" i="8" s="1"/>
  <c r="H74" i="12"/>
  <c r="D63" i="8" s="1"/>
  <c r="AG74" i="12"/>
  <c r="AC63" i="8" s="1"/>
  <c r="AE74" i="12"/>
  <c r="AA63" i="8" s="1"/>
  <c r="T72" i="12"/>
  <c r="P61" i="8" s="1"/>
  <c r="J72" i="12"/>
  <c r="F61" i="8" s="1"/>
  <c r="AE72" i="12"/>
  <c r="AA61" i="8" s="1"/>
  <c r="AC70" i="12"/>
  <c r="Y59" i="8" s="1"/>
  <c r="K70" i="12"/>
  <c r="G59" i="8" s="1"/>
  <c r="AK68" i="12"/>
  <c r="AG57" i="8" s="1"/>
  <c r="AE68" i="12"/>
  <c r="AA57" i="8" s="1"/>
  <c r="G66" i="12"/>
  <c r="C55" i="8" s="1"/>
  <c r="H64" i="12"/>
  <c r="D53" i="8" s="1"/>
  <c r="W60" i="12"/>
  <c r="AF59" i="12"/>
  <c r="AB48" i="8" s="1"/>
  <c r="P53" i="12"/>
  <c r="F49" i="12"/>
  <c r="B38" i="8" s="1"/>
  <c r="O47" i="12"/>
  <c r="K36" i="8" s="1"/>
  <c r="AI62" i="12"/>
  <c r="AE51" i="8" s="1"/>
  <c r="AE52" i="12"/>
  <c r="AA41" i="8" s="1"/>
  <c r="T48" i="12"/>
  <c r="P37" i="8" s="1"/>
  <c r="N58" i="11"/>
  <c r="J15" i="8" s="1"/>
  <c r="AK67" i="11"/>
  <c r="AG24" i="8" s="1"/>
  <c r="AL41" i="11"/>
  <c r="X70" i="11"/>
  <c r="T27" i="8" s="1"/>
  <c r="X62" i="11"/>
  <c r="T19" i="8" s="1"/>
  <c r="AA63" i="12"/>
  <c r="W52" i="8" s="1"/>
  <c r="Z56" i="12"/>
  <c r="K63" i="12"/>
  <c r="G52" i="8" s="1"/>
  <c r="W57" i="12"/>
  <c r="S46" i="8" s="1"/>
  <c r="R46" i="12"/>
  <c r="N35" i="8" s="1"/>
  <c r="R54" i="12"/>
  <c r="R50" i="12"/>
  <c r="N39" i="8" s="1"/>
  <c r="R58" i="12"/>
  <c r="N47" i="8" s="1"/>
  <c r="R41" i="12"/>
  <c r="R53" i="12"/>
  <c r="R68" i="12"/>
  <c r="N57" i="8" s="1"/>
  <c r="R72" i="12"/>
  <c r="N61" i="8" s="1"/>
  <c r="R51" i="12"/>
  <c r="N40" i="8" s="1"/>
  <c r="R55" i="12"/>
  <c r="N44" i="8" s="1"/>
  <c r="R62" i="12"/>
  <c r="N51" i="8" s="1"/>
  <c r="R47" i="12"/>
  <c r="N36" i="8" s="1"/>
  <c r="R49" i="12"/>
  <c r="N38" i="8" s="1"/>
  <c r="R48" i="12"/>
  <c r="N37" i="8" s="1"/>
  <c r="R52" i="12"/>
  <c r="N41" i="8" s="1"/>
  <c r="R64" i="12"/>
  <c r="N53" i="8" s="1"/>
  <c r="X50" i="12"/>
  <c r="T39" i="8" s="1"/>
  <c r="X52" i="12"/>
  <c r="T41" i="8" s="1"/>
  <c r="X56" i="12"/>
  <c r="X47" i="12"/>
  <c r="T36" i="8" s="1"/>
  <c r="X55" i="12"/>
  <c r="T44" i="8" s="1"/>
  <c r="X68" i="12"/>
  <c r="T57" i="8" s="1"/>
  <c r="X70" i="12"/>
  <c r="T59" i="8" s="1"/>
  <c r="X74" i="12"/>
  <c r="T63" i="8" s="1"/>
  <c r="X54" i="12"/>
  <c r="X51" i="12"/>
  <c r="T40" i="8" s="1"/>
  <c r="X53" i="12"/>
  <c r="X60" i="12"/>
  <c r="X49" i="12"/>
  <c r="T38" i="8" s="1"/>
  <c r="X48" i="12"/>
  <c r="T37" i="8" s="1"/>
  <c r="X58" i="12"/>
  <c r="T47" i="8" s="1"/>
  <c r="X64" i="12"/>
  <c r="T53" i="8" s="1"/>
  <c r="X66" i="12"/>
  <c r="T55" i="8" s="1"/>
  <c r="X72" i="12"/>
  <c r="T61" i="8" s="1"/>
  <c r="AE73" i="12"/>
  <c r="AA62" i="8" s="1"/>
  <c r="G73" i="12"/>
  <c r="C62" i="8" s="1"/>
  <c r="M73" i="12"/>
  <c r="I62" i="8" s="1"/>
  <c r="I73" i="12"/>
  <c r="E62" i="8" s="1"/>
  <c r="AA71" i="12"/>
  <c r="W60" i="8" s="1"/>
  <c r="AI71" i="12"/>
  <c r="AE60" i="8" s="1"/>
  <c r="X71" i="12"/>
  <c r="T60" i="8" s="1"/>
  <c r="AB71" i="12"/>
  <c r="X60" i="8" s="1"/>
  <c r="W69" i="12"/>
  <c r="S58" i="8" s="1"/>
  <c r="AE69" i="12"/>
  <c r="AA58" i="8" s="1"/>
  <c r="L69" i="12"/>
  <c r="H58" i="8" s="1"/>
  <c r="H69" i="12"/>
  <c r="D58" i="8" s="1"/>
  <c r="AD67" i="12"/>
  <c r="Z56" i="8" s="1"/>
  <c r="X67" i="12"/>
  <c r="T56" i="8" s="1"/>
  <c r="Z67" i="12"/>
  <c r="V56" i="8" s="1"/>
  <c r="AB67" i="12"/>
  <c r="X56" i="8" s="1"/>
  <c r="R65" i="12"/>
  <c r="N54" i="8" s="1"/>
  <c r="T65" i="12"/>
  <c r="P54" i="8" s="1"/>
  <c r="N65" i="12"/>
  <c r="J54" i="8" s="1"/>
  <c r="H65" i="12"/>
  <c r="D54" i="8" s="1"/>
  <c r="AK63" i="12"/>
  <c r="AG52" i="8" s="1"/>
  <c r="W63" i="12"/>
  <c r="S52" i="8" s="1"/>
  <c r="Y63" i="12"/>
  <c r="U52" i="8" s="1"/>
  <c r="AB63" i="12"/>
  <c r="X52" i="8" s="1"/>
  <c r="R61" i="12"/>
  <c r="N50" i="8" s="1"/>
  <c r="H61" i="12"/>
  <c r="D50" i="8" s="1"/>
  <c r="AK59" i="12"/>
  <c r="AG48" i="8" s="1"/>
  <c r="W59" i="12"/>
  <c r="S48" i="8" s="1"/>
  <c r="Z59" i="12"/>
  <c r="V48" i="8" s="1"/>
  <c r="Q57" i="12"/>
  <c r="M46" i="8" s="1"/>
  <c r="S57" i="12"/>
  <c r="O46" i="8" s="1"/>
  <c r="AK56" i="12"/>
  <c r="AH56" i="12"/>
  <c r="O41" i="12"/>
  <c r="S59" i="12"/>
  <c r="O48" i="8" s="1"/>
  <c r="AL52" i="12"/>
  <c r="AH41" i="8" s="1"/>
  <c r="I74" i="12"/>
  <c r="E63" i="8" s="1"/>
  <c r="T74" i="12"/>
  <c r="P63" i="8" s="1"/>
  <c r="AK72" i="12"/>
  <c r="AG61" i="8" s="1"/>
  <c r="AH72" i="12"/>
  <c r="AD61" i="8" s="1"/>
  <c r="S70" i="12"/>
  <c r="O59" i="8" s="1"/>
  <c r="Y68" i="12"/>
  <c r="U57" i="8" s="1"/>
  <c r="H66" i="12"/>
  <c r="D55" i="8" s="1"/>
  <c r="AF64" i="12"/>
  <c r="AB53" i="8" s="1"/>
  <c r="Y60" i="12"/>
  <c r="AG55" i="12"/>
  <c r="AC44" i="8" s="1"/>
  <c r="F53" i="12"/>
  <c r="AE49" i="12"/>
  <c r="AA38" i="8" s="1"/>
  <c r="Q47" i="12"/>
  <c r="M36" i="8" s="1"/>
  <c r="AE54" i="12"/>
  <c r="L52" i="12"/>
  <c r="H41" i="8" s="1"/>
  <c r="N48" i="12"/>
  <c r="J37" i="8" s="1"/>
  <c r="X63" i="11"/>
  <c r="T20" i="8" s="1"/>
  <c r="X52" i="11"/>
  <c r="T9" i="8" s="1"/>
  <c r="AE61" i="12"/>
  <c r="AA50" i="8" s="1"/>
  <c r="W61" i="12"/>
  <c r="S50" i="8" s="1"/>
  <c r="S56" i="12"/>
  <c r="J46" i="12"/>
  <c r="F35" i="8" s="1"/>
  <c r="J52" i="12"/>
  <c r="F41" i="8" s="1"/>
  <c r="J54" i="12"/>
  <c r="J51" i="12"/>
  <c r="F40" i="8" s="1"/>
  <c r="J50" i="12"/>
  <c r="F39" i="8" s="1"/>
  <c r="J58" i="12"/>
  <c r="F47" i="8" s="1"/>
  <c r="J41" i="12"/>
  <c r="J53" i="12"/>
  <c r="J55" i="12"/>
  <c r="F44" i="8" s="1"/>
  <c r="J62" i="12"/>
  <c r="F51" i="8" s="1"/>
  <c r="J47" i="12"/>
  <c r="F36" i="8" s="1"/>
  <c r="J49" i="12"/>
  <c r="F38" i="8" s="1"/>
  <c r="J68" i="12"/>
  <c r="F57" i="8" s="1"/>
  <c r="P46" i="12"/>
  <c r="L35" i="8" s="1"/>
  <c r="P62" i="12"/>
  <c r="L51" i="8" s="1"/>
  <c r="P50" i="12"/>
  <c r="L39" i="8" s="1"/>
  <c r="P52" i="12"/>
  <c r="L41" i="8" s="1"/>
  <c r="P56" i="12"/>
  <c r="P47" i="12"/>
  <c r="L36" i="8" s="1"/>
  <c r="P54" i="12"/>
  <c r="P51" i="12"/>
  <c r="L40" i="8" s="1"/>
  <c r="P60" i="12"/>
  <c r="P49" i="12"/>
  <c r="L38" i="8" s="1"/>
  <c r="P48" i="12"/>
  <c r="L37" i="8" s="1"/>
  <c r="P58" i="12"/>
  <c r="L47" i="8" s="1"/>
  <c r="P55" i="12"/>
  <c r="L44" i="8" s="1"/>
  <c r="P64" i="12"/>
  <c r="L53" i="8" s="1"/>
  <c r="P68" i="12"/>
  <c r="L57" i="8" s="1"/>
  <c r="N71" i="12"/>
  <c r="J60" i="8" s="1"/>
  <c r="F71" i="12"/>
  <c r="B60" i="8" s="1"/>
  <c r="AF71" i="12"/>
  <c r="AB60" i="8" s="1"/>
  <c r="J69" i="12"/>
  <c r="F58" i="8" s="1"/>
  <c r="T69" i="12"/>
  <c r="P58" i="8" s="1"/>
  <c r="P69" i="12"/>
  <c r="L58" i="8" s="1"/>
  <c r="M67" i="12"/>
  <c r="I56" i="8" s="1"/>
  <c r="AL67" i="12"/>
  <c r="AH56" i="8" s="1"/>
  <c r="AF67" i="12"/>
  <c r="AB56" i="8" s="1"/>
  <c r="AH67" i="12"/>
  <c r="AD56" i="8" s="1"/>
  <c r="Z65" i="12"/>
  <c r="V54" i="8" s="1"/>
  <c r="AB65" i="12"/>
  <c r="X54" i="8" s="1"/>
  <c r="V65" i="12"/>
  <c r="R54" i="8" s="1"/>
  <c r="P65" i="12"/>
  <c r="L54" i="8" s="1"/>
  <c r="F63" i="12"/>
  <c r="B52" i="8" s="1"/>
  <c r="AE63" i="12"/>
  <c r="AA52" i="8" s="1"/>
  <c r="Z61" i="12"/>
  <c r="V50" i="8" s="1"/>
  <c r="AC61" i="12"/>
  <c r="Y50" i="8" s="1"/>
  <c r="P61" i="12"/>
  <c r="L50" i="8" s="1"/>
  <c r="F59" i="12"/>
  <c r="B48" i="8" s="1"/>
  <c r="AH59" i="12"/>
  <c r="AD48" i="8" s="1"/>
  <c r="Y57" i="12"/>
  <c r="U46" i="8" s="1"/>
  <c r="AA57" i="12"/>
  <c r="W46" i="8" s="1"/>
  <c r="AL57" i="12"/>
  <c r="AH46" i="8" s="1"/>
  <c r="R56" i="12"/>
  <c r="T57" i="12"/>
  <c r="P46" i="8" s="1"/>
  <c r="G41" i="12"/>
  <c r="M57" i="12"/>
  <c r="I46" i="8" s="1"/>
  <c r="AD58" i="12"/>
  <c r="Z47" i="8" s="1"/>
  <c r="AD41" i="12"/>
  <c r="AD54" i="12"/>
  <c r="AD62" i="12"/>
  <c r="Z51" i="8" s="1"/>
  <c r="AD52" i="12"/>
  <c r="Z41" i="8" s="1"/>
  <c r="AD47" i="12"/>
  <c r="Z36" i="8" s="1"/>
  <c r="AD55" i="12"/>
  <c r="Z44" i="8" s="1"/>
  <c r="AD60" i="12"/>
  <c r="AD74" i="12"/>
  <c r="Z63" i="8" s="1"/>
  <c r="AD68" i="12"/>
  <c r="Z57" i="8" s="1"/>
  <c r="AD49" i="12"/>
  <c r="Z38" i="8" s="1"/>
  <c r="AD53" i="12"/>
  <c r="AD56" i="12"/>
  <c r="AD64" i="12"/>
  <c r="Z53" i="8" s="1"/>
  <c r="AD48" i="12"/>
  <c r="Z37" i="8" s="1"/>
  <c r="AD51" i="12"/>
  <c r="Z40" i="8" s="1"/>
  <c r="AD46" i="12"/>
  <c r="Z35" i="8" s="1"/>
  <c r="AD66" i="12"/>
  <c r="Z55" i="8" s="1"/>
  <c r="AD70" i="12"/>
  <c r="Z59" i="8" s="1"/>
  <c r="AJ58" i="12"/>
  <c r="AF47" i="8" s="1"/>
  <c r="AJ56" i="12"/>
  <c r="AJ54" i="12"/>
  <c r="AJ47" i="12"/>
  <c r="AF36" i="8" s="1"/>
  <c r="AJ72" i="12"/>
  <c r="AF61" i="8" s="1"/>
  <c r="AJ62" i="12"/>
  <c r="AF51" i="8" s="1"/>
  <c r="AJ49" i="12"/>
  <c r="AF38" i="8" s="1"/>
  <c r="AJ52" i="12"/>
  <c r="AF41" i="8" s="1"/>
  <c r="AJ64" i="12"/>
  <c r="AF53" i="8" s="1"/>
  <c r="AJ48" i="12"/>
  <c r="AF37" i="8" s="1"/>
  <c r="AJ53" i="12"/>
  <c r="AJ55" i="12"/>
  <c r="AF44" i="8" s="1"/>
  <c r="AJ46" i="12"/>
  <c r="AF35" i="8" s="1"/>
  <c r="AJ51" i="12"/>
  <c r="AF40" i="8" s="1"/>
  <c r="AJ60" i="12"/>
  <c r="AJ66" i="12"/>
  <c r="AF55" i="8" s="1"/>
  <c r="AJ70" i="12"/>
  <c r="AF59" i="8" s="1"/>
  <c r="AJ74" i="12"/>
  <c r="AF63" i="8" s="1"/>
  <c r="F74" i="12"/>
  <c r="B63" i="8" s="1"/>
  <c r="R74" i="12"/>
  <c r="N63" i="8" s="1"/>
  <c r="H72" i="12"/>
  <c r="D61" i="8" s="1"/>
  <c r="K72" i="12"/>
  <c r="G61" i="8" s="1"/>
  <c r="AG70" i="12"/>
  <c r="AC59" i="8" s="1"/>
  <c r="N70" i="12"/>
  <c r="J59" i="8" s="1"/>
  <c r="M68" i="12"/>
  <c r="I57" i="8" s="1"/>
  <c r="S66" i="12"/>
  <c r="O55" i="8" s="1"/>
  <c r="P66" i="12"/>
  <c r="L55" i="8" s="1"/>
  <c r="AG64" i="12"/>
  <c r="AC53" i="8" s="1"/>
  <c r="AC55" i="12"/>
  <c r="Y44" i="8" s="1"/>
  <c r="X62" i="12"/>
  <c r="T51" i="8" s="1"/>
  <c r="S54" i="12"/>
  <c r="X46" i="12"/>
  <c r="T35" i="8" s="1"/>
  <c r="O74" i="11"/>
  <c r="X68" i="11"/>
  <c r="T25" i="8" s="1"/>
  <c r="AA66" i="11"/>
  <c r="W23" i="8" s="1"/>
  <c r="S63" i="12"/>
  <c r="O52" i="8" s="1"/>
  <c r="AH60" i="12"/>
  <c r="Y52" i="12"/>
  <c r="U41" i="8" s="1"/>
  <c r="Y58" i="12"/>
  <c r="U47" i="8" s="1"/>
  <c r="Y49" i="12"/>
  <c r="U38" i="8" s="1"/>
  <c r="Y48" i="12"/>
  <c r="U37" i="8" s="1"/>
  <c r="Y64" i="12"/>
  <c r="U53" i="8" s="1"/>
  <c r="Y62" i="12"/>
  <c r="U51" i="8" s="1"/>
  <c r="Y66" i="12"/>
  <c r="U55" i="8" s="1"/>
  <c r="Y46" i="12"/>
  <c r="U35" i="8" s="1"/>
  <c r="Y54" i="12"/>
  <c r="Y50" i="12"/>
  <c r="U39" i="8" s="1"/>
  <c r="Y53" i="12"/>
  <c r="Y55" i="12"/>
  <c r="U44" i="8" s="1"/>
  <c r="Y56" i="12"/>
  <c r="Y47" i="12"/>
  <c r="U36" i="8" s="1"/>
  <c r="AE48" i="12"/>
  <c r="AA37" i="8" s="1"/>
  <c r="AE58" i="12"/>
  <c r="AA47" i="8" s="1"/>
  <c r="AE46" i="12"/>
  <c r="AA35" i="8" s="1"/>
  <c r="AE66" i="12"/>
  <c r="AA55" i="8" s="1"/>
  <c r="AE70" i="12"/>
  <c r="AA59" i="8" s="1"/>
  <c r="AE50" i="12"/>
  <c r="AA39" i="8" s="1"/>
  <c r="AE62" i="12"/>
  <c r="AA51" i="8" s="1"/>
  <c r="AE51" i="12"/>
  <c r="AA40" i="8" s="1"/>
  <c r="AE56" i="12"/>
  <c r="AE47" i="12"/>
  <c r="AA36" i="8" s="1"/>
  <c r="AE55" i="12"/>
  <c r="AA44" i="8" s="1"/>
  <c r="AE53" i="12"/>
  <c r="AE60" i="12"/>
  <c r="AK64" i="12"/>
  <c r="AG53" i="8" s="1"/>
  <c r="AK48" i="12"/>
  <c r="AG37" i="8" s="1"/>
  <c r="AK46" i="12"/>
  <c r="AG35" i="8" s="1"/>
  <c r="AK51" i="12"/>
  <c r="AG40" i="8" s="1"/>
  <c r="AK53" i="12"/>
  <c r="AK66" i="12"/>
  <c r="AG55" i="8" s="1"/>
  <c r="AK50" i="12"/>
  <c r="AG39" i="8" s="1"/>
  <c r="AK52" i="12"/>
  <c r="AG41" i="8" s="1"/>
  <c r="AK58" i="12"/>
  <c r="AG47" i="8" s="1"/>
  <c r="AK41" i="12"/>
  <c r="AK54" i="12"/>
  <c r="AK47" i="12"/>
  <c r="AG36" i="8" s="1"/>
  <c r="AK55" i="12"/>
  <c r="AG44" i="8" s="1"/>
  <c r="H53" i="12"/>
  <c r="H46" i="12"/>
  <c r="D35" i="8" s="1"/>
  <c r="H62" i="12"/>
  <c r="D51" i="8" s="1"/>
  <c r="H50" i="12"/>
  <c r="D39" i="8" s="1"/>
  <c r="H52" i="12"/>
  <c r="D41" i="8" s="1"/>
  <c r="H56" i="12"/>
  <c r="H47" i="12"/>
  <c r="D36" i="8" s="1"/>
  <c r="H55" i="12"/>
  <c r="D44" i="8" s="1"/>
  <c r="H54" i="12"/>
  <c r="H51" i="12"/>
  <c r="D40" i="8" s="1"/>
  <c r="H60" i="12"/>
  <c r="H49" i="12"/>
  <c r="D38" i="8" s="1"/>
  <c r="AH73" i="12"/>
  <c r="AD62" i="8" s="1"/>
  <c r="J73" i="12"/>
  <c r="F62" i="8" s="1"/>
  <c r="AC73" i="12"/>
  <c r="Y62" i="8" s="1"/>
  <c r="Y73" i="12"/>
  <c r="U62" i="8" s="1"/>
  <c r="AD71" i="12"/>
  <c r="Z60" i="8" s="1"/>
  <c r="V71" i="12"/>
  <c r="R60" i="8" s="1"/>
  <c r="M71" i="12"/>
  <c r="I60" i="8" s="1"/>
  <c r="Z69" i="12"/>
  <c r="V58" i="8" s="1"/>
  <c r="AH69" i="12"/>
  <c r="AD58" i="8" s="1"/>
  <c r="AB69" i="12"/>
  <c r="X58" i="8" s="1"/>
  <c r="G67" i="12"/>
  <c r="C56" i="8" s="1"/>
  <c r="K67" i="12"/>
  <c r="G56" i="8" s="1"/>
  <c r="AH65" i="12"/>
  <c r="AD54" i="8" s="1"/>
  <c r="X65" i="12"/>
  <c r="T54" i="8" s="1"/>
  <c r="N63" i="12"/>
  <c r="J52" i="8" s="1"/>
  <c r="H63" i="12"/>
  <c r="D52" i="8" s="1"/>
  <c r="J63" i="12"/>
  <c r="F52" i="8" s="1"/>
  <c r="AH61" i="12"/>
  <c r="AD50" i="8" s="1"/>
  <c r="AK61" i="12"/>
  <c r="AG50" i="8" s="1"/>
  <c r="X61" i="12"/>
  <c r="T50" i="8" s="1"/>
  <c r="N59" i="12"/>
  <c r="J48" i="8" s="1"/>
  <c r="I59" i="12"/>
  <c r="E48" i="8" s="1"/>
  <c r="L59" i="12"/>
  <c r="H48" i="8" s="1"/>
  <c r="AI57" i="12"/>
  <c r="AE46" i="8" s="1"/>
  <c r="H57" i="12"/>
  <c r="D46" i="8" s="1"/>
  <c r="AI56" i="12"/>
  <c r="AC56" i="12"/>
  <c r="V50" i="12"/>
  <c r="R39" i="8" s="1"/>
  <c r="V54" i="12"/>
  <c r="V58" i="12"/>
  <c r="R47" i="8" s="1"/>
  <c r="V41" i="12"/>
  <c r="V72" i="12"/>
  <c r="R61" i="8" s="1"/>
  <c r="V62" i="12"/>
  <c r="R51" i="8" s="1"/>
  <c r="V47" i="12"/>
  <c r="R36" i="8" s="1"/>
  <c r="V55" i="12"/>
  <c r="R44" i="8" s="1"/>
  <c r="V60" i="12"/>
  <c r="V52" i="12"/>
  <c r="R41" i="8" s="1"/>
  <c r="V49" i="12"/>
  <c r="R38" i="8" s="1"/>
  <c r="V53" i="12"/>
  <c r="V56" i="12"/>
  <c r="V64" i="12"/>
  <c r="R53" i="8" s="1"/>
  <c r="V48" i="12"/>
  <c r="R37" i="8" s="1"/>
  <c r="V51" i="12"/>
  <c r="R40" i="8" s="1"/>
  <c r="AB50" i="12"/>
  <c r="X39" i="8" s="1"/>
  <c r="AB58" i="12"/>
  <c r="X47" i="8" s="1"/>
  <c r="AB56" i="12"/>
  <c r="AB54" i="12"/>
  <c r="AB72" i="12"/>
  <c r="X61" i="8" s="1"/>
  <c r="AB47" i="12"/>
  <c r="X36" i="8" s="1"/>
  <c r="AB62" i="12"/>
  <c r="X51" i="8" s="1"/>
  <c r="AB49" i="12"/>
  <c r="X38" i="8" s="1"/>
  <c r="AB52" i="12"/>
  <c r="X41" i="8" s="1"/>
  <c r="AB64" i="12"/>
  <c r="X53" i="8" s="1"/>
  <c r="AB48" i="12"/>
  <c r="X37" i="8" s="1"/>
  <c r="AB53" i="12"/>
  <c r="AB55" i="12"/>
  <c r="X44" i="8" s="1"/>
  <c r="AB68" i="12"/>
  <c r="X57" i="8" s="1"/>
  <c r="AB70" i="12"/>
  <c r="X59" i="8" s="1"/>
  <c r="AB74" i="12"/>
  <c r="X63" i="8" s="1"/>
  <c r="L74" i="12"/>
  <c r="H63" i="8" s="1"/>
  <c r="N74" i="12"/>
  <c r="J63" i="8" s="1"/>
  <c r="AH74" i="12"/>
  <c r="AD63" i="8" s="1"/>
  <c r="Y72" i="12"/>
  <c r="U61" i="8" s="1"/>
  <c r="AI72" i="12"/>
  <c r="AE61" i="8" s="1"/>
  <c r="T70" i="12"/>
  <c r="P59" i="8" s="1"/>
  <c r="V70" i="12"/>
  <c r="R59" i="8" s="1"/>
  <c r="G68" i="12"/>
  <c r="C57" i="8" s="1"/>
  <c r="J64" i="12"/>
  <c r="F53" i="8" s="1"/>
  <c r="AC51" i="12"/>
  <c r="Y40" i="8" s="1"/>
  <c r="AI49" i="12"/>
  <c r="AE38" i="8" s="1"/>
  <c r="AF50" i="12"/>
  <c r="AB39" i="8" s="1"/>
  <c r="J48" i="12"/>
  <c r="F37" i="8" s="1"/>
  <c r="Z46" i="12"/>
  <c r="V35" i="8" s="1"/>
  <c r="X67" i="11"/>
  <c r="T24" i="8" s="1"/>
  <c r="X65" i="11"/>
  <c r="T22" i="8" s="1"/>
  <c r="S41" i="11"/>
  <c r="Y59" i="11"/>
  <c r="U16" i="8" s="1"/>
  <c r="P59" i="12"/>
  <c r="L48" i="8" s="1"/>
  <c r="S41" i="12"/>
  <c r="Q51" i="12"/>
  <c r="M40" i="8" s="1"/>
  <c r="Q60" i="12"/>
  <c r="Q49" i="12"/>
  <c r="M38" i="8" s="1"/>
  <c r="Q70" i="12"/>
  <c r="M59" i="8" s="1"/>
  <c r="Q48" i="12"/>
  <c r="M37" i="8" s="1"/>
  <c r="Q52" i="12"/>
  <c r="M41" i="8" s="1"/>
  <c r="Q54" i="12"/>
  <c r="Q58" i="12"/>
  <c r="M47" i="8" s="1"/>
  <c r="Q53" i="12"/>
  <c r="Q64" i="12"/>
  <c r="M53" i="8" s="1"/>
  <c r="Q66" i="12"/>
  <c r="M55" i="8" s="1"/>
  <c r="Q46" i="12"/>
  <c r="M35" i="8" s="1"/>
  <c r="Q62" i="12"/>
  <c r="M51" i="8" s="1"/>
  <c r="Q55" i="12"/>
  <c r="M44" i="8" s="1"/>
  <c r="Q50" i="12"/>
  <c r="M39" i="8" s="1"/>
  <c r="Q72" i="12"/>
  <c r="M61" i="8" s="1"/>
  <c r="Q56" i="12"/>
  <c r="W49" i="12"/>
  <c r="S38" i="8" s="1"/>
  <c r="W48" i="12"/>
  <c r="S37" i="8" s="1"/>
  <c r="W58" i="12"/>
  <c r="S47" i="8" s="1"/>
  <c r="W64" i="12"/>
  <c r="S53" i="8" s="1"/>
  <c r="W46" i="12"/>
  <c r="S35" i="8" s="1"/>
  <c r="W66" i="12"/>
  <c r="S55" i="8" s="1"/>
  <c r="W70" i="12"/>
  <c r="S59" i="8" s="1"/>
  <c r="W50" i="12"/>
  <c r="S39" i="8" s="1"/>
  <c r="W52" i="12"/>
  <c r="S41" i="8" s="1"/>
  <c r="W62" i="12"/>
  <c r="S51" i="8" s="1"/>
  <c r="W54" i="12"/>
  <c r="W56" i="12"/>
  <c r="W47" i="12"/>
  <c r="S36" i="8" s="1"/>
  <c r="W53" i="12"/>
  <c r="W55" i="12"/>
  <c r="S44" i="8" s="1"/>
  <c r="W74" i="12"/>
  <c r="S63" i="8" s="1"/>
  <c r="AC62" i="12"/>
  <c r="Y51" i="8" s="1"/>
  <c r="AC49" i="12"/>
  <c r="Y38" i="8" s="1"/>
  <c r="AC53" i="12"/>
  <c r="AC64" i="12"/>
  <c r="Y53" i="8" s="1"/>
  <c r="AC48" i="12"/>
  <c r="Y37" i="8" s="1"/>
  <c r="AC46" i="12"/>
  <c r="Y35" i="8" s="1"/>
  <c r="AC66" i="12"/>
  <c r="Y55" i="8" s="1"/>
  <c r="AC68" i="12"/>
  <c r="Y57" i="8" s="1"/>
  <c r="AC50" i="12"/>
  <c r="Y39" i="8" s="1"/>
  <c r="AC52" i="12"/>
  <c r="Y41" i="8" s="1"/>
  <c r="AC58" i="12"/>
  <c r="Y47" i="8" s="1"/>
  <c r="AC41" i="12"/>
  <c r="S73" i="12"/>
  <c r="O62" i="8" s="1"/>
  <c r="O71" i="12"/>
  <c r="K60" i="8" s="1"/>
  <c r="Q71" i="12"/>
  <c r="M60" i="8" s="1"/>
  <c r="S69" i="12"/>
  <c r="O58" i="8" s="1"/>
  <c r="AC67" i="12"/>
  <c r="Y56" i="8" s="1"/>
  <c r="O67" i="12"/>
  <c r="K56" i="8" s="1"/>
  <c r="Q67" i="12"/>
  <c r="M56" i="8" s="1"/>
  <c r="S67" i="12"/>
  <c r="O56" i="8" s="1"/>
  <c r="P63" i="12"/>
  <c r="L52" i="8" s="1"/>
  <c r="Q59" i="12"/>
  <c r="M48" i="8" s="1"/>
  <c r="AC57" i="12"/>
  <c r="Y46" i="8" s="1"/>
  <c r="P57" i="12"/>
  <c r="L46" i="8" s="1"/>
  <c r="J56" i="12"/>
  <c r="N46" i="12"/>
  <c r="J35" i="8" s="1"/>
  <c r="N50" i="12"/>
  <c r="J39" i="8" s="1"/>
  <c r="N52" i="12"/>
  <c r="J41" i="8" s="1"/>
  <c r="N41" i="12"/>
  <c r="N72" i="12"/>
  <c r="J61" i="8" s="1"/>
  <c r="N58" i="12"/>
  <c r="J47" i="8" s="1"/>
  <c r="N47" i="12"/>
  <c r="J36" i="8" s="1"/>
  <c r="N51" i="12"/>
  <c r="J40" i="8" s="1"/>
  <c r="N55" i="12"/>
  <c r="J44" i="8" s="1"/>
  <c r="N60" i="12"/>
  <c r="N62" i="12"/>
  <c r="J51" i="8" s="1"/>
  <c r="N54" i="12"/>
  <c r="N49" i="12"/>
  <c r="J38" i="8" s="1"/>
  <c r="N53" i="12"/>
  <c r="N56" i="12"/>
  <c r="N64" i="12"/>
  <c r="J53" i="8" s="1"/>
  <c r="T46" i="12"/>
  <c r="P35" i="8" s="1"/>
  <c r="T60" i="12"/>
  <c r="T50" i="12"/>
  <c r="P39" i="8" s="1"/>
  <c r="T58" i="12"/>
  <c r="P47" i="8" s="1"/>
  <c r="T56" i="12"/>
  <c r="T54" i="12"/>
  <c r="T47" i="12"/>
  <c r="P36" i="8" s="1"/>
  <c r="T53" i="12"/>
  <c r="T62" i="12"/>
  <c r="P51" i="8" s="1"/>
  <c r="T49" i="12"/>
  <c r="P38" i="8" s="1"/>
  <c r="T51" i="12"/>
  <c r="P40" i="8" s="1"/>
  <c r="T52" i="12"/>
  <c r="P41" i="8" s="1"/>
  <c r="T64" i="12"/>
  <c r="P53" i="8" s="1"/>
  <c r="M74" i="12"/>
  <c r="I63" i="8" s="1"/>
  <c r="V74" i="12"/>
  <c r="R63" i="8" s="1"/>
  <c r="K74" i="12"/>
  <c r="G63" i="8" s="1"/>
  <c r="L72" i="12"/>
  <c r="H61" i="8" s="1"/>
  <c r="F72" i="12"/>
  <c r="B61" i="8" s="1"/>
  <c r="AK70" i="12"/>
  <c r="AG59" i="8" s="1"/>
  <c r="G70" i="12"/>
  <c r="C59" i="8" s="1"/>
  <c r="H68" i="12"/>
  <c r="D57" i="8" s="1"/>
  <c r="AH68" i="12"/>
  <c r="AD57" i="8" s="1"/>
  <c r="AB66" i="12"/>
  <c r="X55" i="8" s="1"/>
  <c r="J66" i="12"/>
  <c r="F55" i="8" s="1"/>
  <c r="AH64" i="12"/>
  <c r="AD53" i="8" s="1"/>
  <c r="G56" i="12"/>
  <c r="T55" i="12"/>
  <c r="P44" i="8" s="1"/>
  <c r="W51" i="12"/>
  <c r="S40" i="8" s="1"/>
  <c r="AK49" i="12"/>
  <c r="AG38" i="8" s="1"/>
  <c r="Z54" i="12"/>
  <c r="AH50" i="12"/>
  <c r="AD39" i="8" s="1"/>
  <c r="AB46" i="12"/>
  <c r="X35" i="8" s="1"/>
  <c r="X57" i="11"/>
  <c r="T14" i="8" s="1"/>
  <c r="X53" i="11"/>
  <c r="T10" i="8" s="1"/>
  <c r="X60" i="11"/>
  <c r="T17" i="8" s="1"/>
  <c r="X66" i="11"/>
  <c r="T23" i="8" s="1"/>
  <c r="X58" i="11"/>
  <c r="T15" i="8" s="1"/>
  <c r="AK60" i="12"/>
  <c r="AB57" i="12"/>
  <c r="X46" i="8" s="1"/>
  <c r="I47" i="12"/>
  <c r="E36" i="8" s="1"/>
  <c r="I51" i="12"/>
  <c r="E40" i="8" s="1"/>
  <c r="I60" i="12"/>
  <c r="I68" i="12"/>
  <c r="E57" i="8" s="1"/>
  <c r="I70" i="12"/>
  <c r="E59" i="8" s="1"/>
  <c r="I54" i="12"/>
  <c r="I49" i="12"/>
  <c r="E38" i="8" s="1"/>
  <c r="I55" i="12"/>
  <c r="E44" i="8" s="1"/>
  <c r="I48" i="12"/>
  <c r="E37" i="8" s="1"/>
  <c r="I64" i="12"/>
  <c r="E53" i="8" s="1"/>
  <c r="I52" i="12"/>
  <c r="E41" i="8" s="1"/>
  <c r="I58" i="12"/>
  <c r="E47" i="8" s="1"/>
  <c r="I46" i="12"/>
  <c r="E35" i="8" s="1"/>
  <c r="I53" i="12"/>
  <c r="I116" i="12" s="1"/>
  <c r="I72" i="12"/>
  <c r="E61" i="8" s="1"/>
  <c r="I50" i="12"/>
  <c r="E39" i="8" s="1"/>
  <c r="I62" i="12"/>
  <c r="E51" i="8" s="1"/>
  <c r="O51" i="12"/>
  <c r="K40" i="8" s="1"/>
  <c r="O61" i="12"/>
  <c r="K50" i="8" s="1"/>
  <c r="O60" i="12"/>
  <c r="O49" i="12"/>
  <c r="K38" i="8" s="1"/>
  <c r="O53" i="12"/>
  <c r="O68" i="12"/>
  <c r="K57" i="8" s="1"/>
  <c r="O48" i="12"/>
  <c r="K37" i="8" s="1"/>
  <c r="O58" i="12"/>
  <c r="K47" i="8" s="1"/>
  <c r="O64" i="12"/>
  <c r="K53" i="8" s="1"/>
  <c r="O46" i="12"/>
  <c r="K35" i="8" s="1"/>
  <c r="O66" i="12"/>
  <c r="K55" i="8" s="1"/>
  <c r="O50" i="12"/>
  <c r="K39" i="8" s="1"/>
  <c r="O54" i="12"/>
  <c r="O62" i="12"/>
  <c r="K51" i="8" s="1"/>
  <c r="O72" i="12"/>
  <c r="K61" i="8" s="1"/>
  <c r="O52" i="12"/>
  <c r="K41" i="8" s="1"/>
  <c r="O56" i="12"/>
  <c r="U52" i="12"/>
  <c r="Q41" i="8" s="1"/>
  <c r="U54" i="12"/>
  <c r="U47" i="12"/>
  <c r="Q36" i="8" s="1"/>
  <c r="U55" i="12"/>
  <c r="Q44" i="8" s="1"/>
  <c r="U62" i="12"/>
  <c r="Q51" i="8" s="1"/>
  <c r="U49" i="12"/>
  <c r="Q38" i="8" s="1"/>
  <c r="U53" i="12"/>
  <c r="U72" i="12"/>
  <c r="Q61" i="8" s="1"/>
  <c r="U51" i="12"/>
  <c r="Q40" i="8" s="1"/>
  <c r="U64" i="12"/>
  <c r="Q53" i="8" s="1"/>
  <c r="U48" i="12"/>
  <c r="Q37" i="8" s="1"/>
  <c r="U46" i="12"/>
  <c r="Q35" i="8" s="1"/>
  <c r="U50" i="12"/>
  <c r="Q39" i="8" s="1"/>
  <c r="U68" i="12"/>
  <c r="Q57" i="8" s="1"/>
  <c r="U70" i="12"/>
  <c r="Q59" i="8" s="1"/>
  <c r="U58" i="12"/>
  <c r="Q47" i="8" s="1"/>
  <c r="U41" i="12"/>
  <c r="U57" i="12"/>
  <c r="Q46" i="8" s="1"/>
  <c r="AA73" i="12"/>
  <c r="W62" i="8" s="1"/>
  <c r="AI73" i="12"/>
  <c r="AE62" i="8" s="1"/>
  <c r="L73" i="12"/>
  <c r="H62" i="8" s="1"/>
  <c r="H73" i="12"/>
  <c r="D62" i="8" s="1"/>
  <c r="AE71" i="12"/>
  <c r="AA60" i="8" s="1"/>
  <c r="G71" i="12"/>
  <c r="C60" i="8" s="1"/>
  <c r="Y71" i="12"/>
  <c r="U60" i="8" s="1"/>
  <c r="AC71" i="12"/>
  <c r="Y60" i="8" s="1"/>
  <c r="AA69" i="12"/>
  <c r="W58" i="8" s="1"/>
  <c r="AI69" i="12"/>
  <c r="AE58" i="8" s="1"/>
  <c r="M69" i="12"/>
  <c r="I58" i="8" s="1"/>
  <c r="I69" i="12"/>
  <c r="E58" i="8" s="1"/>
  <c r="AK67" i="12"/>
  <c r="AG56" i="8" s="1"/>
  <c r="W67" i="12"/>
  <c r="S56" i="8" s="1"/>
  <c r="Y67" i="12"/>
  <c r="U56" i="8" s="1"/>
  <c r="AA67" i="12"/>
  <c r="W56" i="8" s="1"/>
  <c r="Q65" i="12"/>
  <c r="M54" i="8" s="1"/>
  <c r="S65" i="12"/>
  <c r="O54" i="8" s="1"/>
  <c r="U65" i="12"/>
  <c r="Q54" i="8" s="1"/>
  <c r="G65" i="12"/>
  <c r="C54" i="8" s="1"/>
  <c r="AD63" i="12"/>
  <c r="Z52" i="8" s="1"/>
  <c r="X63" i="12"/>
  <c r="T52" i="8" s="1"/>
  <c r="Z63" i="12"/>
  <c r="V52" i="8" s="1"/>
  <c r="Q61" i="12"/>
  <c r="M50" i="8" s="1"/>
  <c r="S61" i="12"/>
  <c r="O50" i="8" s="1"/>
  <c r="N61" i="12"/>
  <c r="J50" i="8" s="1"/>
  <c r="AD59" i="12"/>
  <c r="Z48" i="8" s="1"/>
  <c r="Y59" i="12"/>
  <c r="U48" i="8" s="1"/>
  <c r="R57" i="12"/>
  <c r="N46" i="8" s="1"/>
  <c r="AK57" i="12"/>
  <c r="AG46" i="8" s="1"/>
  <c r="X57" i="12"/>
  <c r="T46" i="8" s="1"/>
  <c r="AI48" i="12"/>
  <c r="AE37" i="8" s="1"/>
  <c r="F48" i="12"/>
  <c r="B37" i="8" s="1"/>
  <c r="L48" i="12"/>
  <c r="H37" i="8" s="1"/>
  <c r="AC74" i="12"/>
  <c r="Y63" i="8" s="1"/>
  <c r="AL74" i="12"/>
  <c r="AH63" i="8" s="1"/>
  <c r="S74" i="12"/>
  <c r="O63" i="8" s="1"/>
  <c r="AC72" i="12"/>
  <c r="Y61" i="8" s="1"/>
  <c r="AD72" i="12"/>
  <c r="Z61" i="8" s="1"/>
  <c r="H70" i="12"/>
  <c r="D59" i="8" s="1"/>
  <c r="O70" i="12"/>
  <c r="K59" i="8" s="1"/>
  <c r="Q68" i="12"/>
  <c r="M57" i="8" s="1"/>
  <c r="S68" i="12"/>
  <c r="O57" i="8" s="1"/>
  <c r="U66" i="12"/>
  <c r="Q55" i="8" s="1"/>
  <c r="R66" i="12"/>
  <c r="N55" i="8" s="1"/>
  <c r="I56" i="12"/>
  <c r="Y51" i="12"/>
  <c r="U40" i="8" s="1"/>
  <c r="K58" i="12"/>
  <c r="G47" i="8" s="1"/>
  <c r="AJ50" i="12"/>
  <c r="AF39" i="8" s="1"/>
  <c r="V46" i="12"/>
  <c r="R35" i="8" s="1"/>
  <c r="X74" i="11"/>
  <c r="X61" i="11"/>
  <c r="T18" i="8" s="1"/>
  <c r="L57" i="12"/>
  <c r="H46" i="8" s="1"/>
  <c r="T61" i="12"/>
  <c r="P50" i="8" s="1"/>
  <c r="G47" i="12"/>
  <c r="C36" i="8" s="1"/>
  <c r="G55" i="12"/>
  <c r="C44" i="8" s="1"/>
  <c r="G51" i="12"/>
  <c r="C40" i="8" s="1"/>
  <c r="G60" i="12"/>
  <c r="G49" i="12"/>
  <c r="C38" i="8" s="1"/>
  <c r="G48" i="12"/>
  <c r="C37" i="8" s="1"/>
  <c r="G58" i="12"/>
  <c r="C47" i="8" s="1"/>
  <c r="G53" i="12"/>
  <c r="G64" i="12"/>
  <c r="C53" i="8" s="1"/>
  <c r="G46" i="12"/>
  <c r="C35" i="8" s="1"/>
  <c r="G54" i="12"/>
  <c r="G50" i="12"/>
  <c r="C39" i="8" s="1"/>
  <c r="G62" i="12"/>
  <c r="C51" i="8" s="1"/>
  <c r="G72" i="12"/>
  <c r="C61" i="8" s="1"/>
  <c r="M54" i="12"/>
  <c r="M51" i="12"/>
  <c r="I40" i="8" s="1"/>
  <c r="M47" i="12"/>
  <c r="I36" i="8" s="1"/>
  <c r="M55" i="12"/>
  <c r="I44" i="8" s="1"/>
  <c r="M72" i="12"/>
  <c r="I61" i="8" s="1"/>
  <c r="M62" i="12"/>
  <c r="I51" i="8" s="1"/>
  <c r="M49" i="12"/>
  <c r="I38" i="8" s="1"/>
  <c r="M64" i="12"/>
  <c r="I53" i="8" s="1"/>
  <c r="M48" i="12"/>
  <c r="I37" i="8" s="1"/>
  <c r="M52" i="12"/>
  <c r="I41" i="8" s="1"/>
  <c r="M53" i="12"/>
  <c r="M46" i="12"/>
  <c r="I35" i="8" s="1"/>
  <c r="M66" i="12"/>
  <c r="I55" i="8" s="1"/>
  <c r="M70" i="12"/>
  <c r="I59" i="8" s="1"/>
  <c r="M50" i="12"/>
  <c r="I39" i="8" s="1"/>
  <c r="F73" i="12"/>
  <c r="B62" i="8" s="1"/>
  <c r="T73" i="12"/>
  <c r="P62" i="8" s="1"/>
  <c r="P73" i="12"/>
  <c r="L62" i="8" s="1"/>
  <c r="J71" i="12"/>
  <c r="F60" i="8" s="1"/>
  <c r="W71" i="12"/>
  <c r="S60" i="8" s="1"/>
  <c r="AK71" i="12"/>
  <c r="AG60" i="8" s="1"/>
  <c r="N69" i="12"/>
  <c r="J58" i="8" s="1"/>
  <c r="F69" i="12"/>
  <c r="B58" i="8" s="1"/>
  <c r="Q69" i="12"/>
  <c r="M58" i="8" s="1"/>
  <c r="F67" i="12"/>
  <c r="B56" i="8" s="1"/>
  <c r="AE67" i="12"/>
  <c r="AA56" i="8" s="1"/>
  <c r="AI67" i="12"/>
  <c r="AE56" i="8" s="1"/>
  <c r="Y65" i="12"/>
  <c r="U54" i="8" s="1"/>
  <c r="AA65" i="12"/>
  <c r="W54" i="8" s="1"/>
  <c r="AC65" i="12"/>
  <c r="Y54" i="8" s="1"/>
  <c r="M63" i="12"/>
  <c r="I52" i="8" s="1"/>
  <c r="AL63" i="12"/>
  <c r="AH52" i="8" s="1"/>
  <c r="AF63" i="12"/>
  <c r="AB52" i="8" s="1"/>
  <c r="AH63" i="12"/>
  <c r="AD52" i="8" s="1"/>
  <c r="Y61" i="12"/>
  <c r="U50" i="8" s="1"/>
  <c r="AA61" i="12"/>
  <c r="W50" i="8" s="1"/>
  <c r="M59" i="12"/>
  <c r="I48" i="8" s="1"/>
  <c r="AL59" i="12"/>
  <c r="AH48" i="8" s="1"/>
  <c r="Z57" i="12"/>
  <c r="V46" i="8" s="1"/>
  <c r="F57" i="12"/>
  <c r="B46" i="8" s="1"/>
  <c r="AF57" i="12"/>
  <c r="AB46" i="8" s="1"/>
  <c r="X41" i="12"/>
  <c r="R60" i="12"/>
  <c r="AA62" i="12"/>
  <c r="W51" i="8" s="1"/>
  <c r="AA49" i="12"/>
  <c r="W38" i="8" s="1"/>
  <c r="AA53" i="12"/>
  <c r="AA48" i="12"/>
  <c r="W37" i="8" s="1"/>
  <c r="AA52" i="12"/>
  <c r="W41" i="8" s="1"/>
  <c r="AA64" i="12"/>
  <c r="W53" i="8" s="1"/>
  <c r="AA70" i="12"/>
  <c r="W59" i="8" s="1"/>
  <c r="AA46" i="12"/>
  <c r="W35" i="8" s="1"/>
  <c r="AA51" i="12"/>
  <c r="W40" i="8" s="1"/>
  <c r="AA55" i="12"/>
  <c r="W44" i="8" s="1"/>
  <c r="AA60" i="12"/>
  <c r="AA66" i="12"/>
  <c r="W55" i="8" s="1"/>
  <c r="AA50" i="12"/>
  <c r="W39" i="8" s="1"/>
  <c r="AA58" i="12"/>
  <c r="W47" i="8" s="1"/>
  <c r="AA72" i="12"/>
  <c r="W61" i="8" s="1"/>
  <c r="AA54" i="12"/>
  <c r="AA68" i="12"/>
  <c r="W57" i="8" s="1"/>
  <c r="AA74" i="12"/>
  <c r="W63" i="8" s="1"/>
  <c r="AG48" i="12"/>
  <c r="AC37" i="8" s="1"/>
  <c r="AG62" i="12"/>
  <c r="AC51" i="8" s="1"/>
  <c r="AG66" i="12"/>
  <c r="AC55" i="8" s="1"/>
  <c r="AG46" i="12"/>
  <c r="AC35" i="8" s="1"/>
  <c r="AG68" i="12"/>
  <c r="AC57" i="8" s="1"/>
  <c r="AG50" i="12"/>
  <c r="AC39" i="8" s="1"/>
  <c r="AG52" i="12"/>
  <c r="AC41" i="8" s="1"/>
  <c r="AG41" i="12"/>
  <c r="AG53" i="12"/>
  <c r="AG116" i="12" s="1"/>
  <c r="AG56" i="12"/>
  <c r="AG54" i="12"/>
  <c r="AG47" i="12"/>
  <c r="AC36" i="8" s="1"/>
  <c r="AG51" i="12"/>
  <c r="AC40" i="8" s="1"/>
  <c r="AG60" i="12"/>
  <c r="U74" i="12"/>
  <c r="Q63" i="8" s="1"/>
  <c r="P74" i="12"/>
  <c r="L63" i="8" s="1"/>
  <c r="G74" i="12"/>
  <c r="C63" i="8" s="1"/>
  <c r="AI74" i="12"/>
  <c r="AE63" i="8" s="1"/>
  <c r="P72" i="12"/>
  <c r="L61" i="8" s="1"/>
  <c r="AL72" i="12"/>
  <c r="AH61" i="8" s="1"/>
  <c r="Y70" i="12"/>
  <c r="U59" i="8" s="1"/>
  <c r="J70" i="12"/>
  <c r="F59" i="8" s="1"/>
  <c r="T68" i="12"/>
  <c r="P57" i="8" s="1"/>
  <c r="V68" i="12"/>
  <c r="R57" i="8" s="1"/>
  <c r="N66" i="12"/>
  <c r="J55" i="8" s="1"/>
  <c r="F64" i="12"/>
  <c r="B53" i="8" s="1"/>
  <c r="S53" i="12"/>
  <c r="AB51" i="12"/>
  <c r="X40" i="8" s="1"/>
  <c r="AA47" i="12"/>
  <c r="W36" i="8" s="1"/>
  <c r="M58" i="12"/>
  <c r="I47" i="8" s="1"/>
  <c r="AI52" i="12"/>
  <c r="AE41" i="8" s="1"/>
  <c r="AD50" i="12"/>
  <c r="Z39" i="8" s="1"/>
  <c r="L49" i="12"/>
  <c r="H38" i="8" s="1"/>
  <c r="AI47" i="12"/>
  <c r="AE36" i="8" s="1"/>
  <c r="L62" i="12"/>
  <c r="H51" i="8" s="1"/>
  <c r="AL62" i="12"/>
  <c r="AH51" i="8" s="1"/>
  <c r="F58" i="12"/>
  <c r="B47" i="8" s="1"/>
  <c r="F54" i="12"/>
  <c r="AL50" i="12"/>
  <c r="AH39" i="8" s="1"/>
  <c r="AL70" i="12"/>
  <c r="AH59" i="8" s="1"/>
  <c r="F68" i="12"/>
  <c r="B57" i="8" s="1"/>
  <c r="AI68" i="12"/>
  <c r="AE57" i="8" s="1"/>
  <c r="AL66" i="12"/>
  <c r="AH55" i="8" s="1"/>
  <c r="F60" i="12"/>
  <c r="AI55" i="12"/>
  <c r="AE44" i="8" s="1"/>
  <c r="F55" i="12"/>
  <c r="B44" i="8" s="1"/>
  <c r="F51" i="12"/>
  <c r="B40" i="8" s="1"/>
  <c r="L47" i="12"/>
  <c r="H36" i="8" s="1"/>
  <c r="F47" i="12"/>
  <c r="B36" i="8" s="1"/>
  <c r="AL58" i="12"/>
  <c r="AH47" i="8" s="1"/>
  <c r="AI54" i="12"/>
  <c r="AL46" i="12"/>
  <c r="AH35" i="8" s="1"/>
  <c r="AL51" i="12"/>
  <c r="AH40" i="8" s="1"/>
  <c r="AI58" i="12"/>
  <c r="AE47" i="8" s="1"/>
  <c r="L54" i="12"/>
  <c r="AL48" i="12"/>
  <c r="AH37" i="8" s="1"/>
  <c r="AL64" i="12"/>
  <c r="AH53" i="8" s="1"/>
  <c r="L56" i="12"/>
  <c r="AL56" i="12"/>
  <c r="AL53" i="12"/>
  <c r="L51" i="12"/>
  <c r="H40" i="8" s="1"/>
  <c r="AL49" i="12"/>
  <c r="AH38" i="8" s="1"/>
  <c r="F41" i="12"/>
  <c r="L58" i="12"/>
  <c r="H47" i="8" s="1"/>
  <c r="AL54" i="12"/>
  <c r="F52" i="12"/>
  <c r="B41" i="8" s="1"/>
  <c r="AI50" i="12"/>
  <c r="AE39" i="8" s="1"/>
  <c r="AL68" i="12"/>
  <c r="AH57" i="8" s="1"/>
  <c r="AI66" i="12"/>
  <c r="AE55" i="8" s="1"/>
  <c r="AI60" i="12"/>
  <c r="AI51" i="12"/>
  <c r="AE40" i="8" s="1"/>
  <c r="L50" i="12"/>
  <c r="H39" i="8" s="1"/>
  <c r="F50" i="12"/>
  <c r="B39" i="8" s="1"/>
  <c r="AI46" i="12"/>
  <c r="AE35" i="8" s="1"/>
  <c r="F70" i="12"/>
  <c r="B59" i="8" s="1"/>
  <c r="AI70" i="12"/>
  <c r="AE59" i="8" s="1"/>
  <c r="L68" i="12"/>
  <c r="H57" i="8" s="1"/>
  <c r="L66" i="12"/>
  <c r="H55" i="8" s="1"/>
  <c r="F66" i="12"/>
  <c r="B55" i="8" s="1"/>
  <c r="L60" i="12"/>
  <c r="AL60" i="12"/>
  <c r="AI63" i="12"/>
  <c r="AE52" i="8" s="1"/>
  <c r="AL55" i="12"/>
  <c r="AH44" i="8" s="1"/>
  <c r="AL47" i="12"/>
  <c r="AH36" i="8" s="1"/>
  <c r="L46" i="12"/>
  <c r="H35" i="8" s="1"/>
  <c r="F46" i="12"/>
  <c r="B35" i="8" s="1"/>
  <c r="AI64" i="12"/>
  <c r="AE53" i="8" s="1"/>
  <c r="L55" i="12"/>
  <c r="H44" i="8" s="1"/>
  <c r="AI53" i="12"/>
  <c r="AI116" i="12" s="1"/>
  <c r="T41" i="11"/>
  <c r="V63" i="11"/>
  <c r="R20" i="8" s="1"/>
  <c r="L57" i="11"/>
  <c r="H14" i="8" s="1"/>
  <c r="J68" i="11"/>
  <c r="F25" i="8" s="1"/>
  <c r="AH70" i="11"/>
  <c r="AD27" i="8" s="1"/>
  <c r="Q41" i="11"/>
  <c r="AC41" i="11"/>
  <c r="F67" i="11"/>
  <c r="B24" i="8" s="1"/>
  <c r="N63" i="11"/>
  <c r="J20" i="8" s="1"/>
  <c r="Y73" i="11"/>
  <c r="AG74" i="11"/>
  <c r="G63" i="11"/>
  <c r="C20" i="8" s="1"/>
  <c r="AJ56" i="11"/>
  <c r="AI62" i="11"/>
  <c r="AE19" i="8" s="1"/>
  <c r="K53" i="11"/>
  <c r="G10" i="8" s="1"/>
  <c r="H49" i="11"/>
  <c r="D6" i="8" s="1"/>
  <c r="G67" i="11"/>
  <c r="C24" i="8" s="1"/>
  <c r="K67" i="11"/>
  <c r="G24" i="8" s="1"/>
  <c r="M69" i="11"/>
  <c r="I26" i="8" s="1"/>
  <c r="K68" i="11"/>
  <c r="G25" i="8" s="1"/>
  <c r="F54" i="11"/>
  <c r="B11" i="8" s="1"/>
  <c r="I49" i="11"/>
  <c r="E6" i="8" s="1"/>
  <c r="AH47" i="11"/>
  <c r="AD4" i="8" s="1"/>
  <c r="S58" i="11"/>
  <c r="O15" i="8" s="1"/>
  <c r="R63" i="11"/>
  <c r="N20" i="8" s="1"/>
  <c r="Q63" i="11"/>
  <c r="M20" i="8" s="1"/>
  <c r="T51" i="11"/>
  <c r="P8" i="8" s="1"/>
  <c r="M49" i="11"/>
  <c r="I6" i="8" s="1"/>
  <c r="AL74" i="11"/>
  <c r="J60" i="11"/>
  <c r="F17" i="8" s="1"/>
  <c r="J67" i="11"/>
  <c r="F24" i="8" s="1"/>
  <c r="M47" i="11"/>
  <c r="I4" i="8" s="1"/>
  <c r="AB55" i="11"/>
  <c r="X12" i="8" s="1"/>
  <c r="Z72" i="11"/>
  <c r="AH63" i="11"/>
  <c r="AD20" i="8" s="1"/>
  <c r="J57" i="11"/>
  <c r="F14" i="8" s="1"/>
  <c r="AH54" i="11"/>
  <c r="AD11" i="8" s="1"/>
  <c r="J63" i="11"/>
  <c r="F20" i="8" s="1"/>
  <c r="AH49" i="11"/>
  <c r="AD6" i="8" s="1"/>
  <c r="AH67" i="11"/>
  <c r="AD24" i="8" s="1"/>
  <c r="AA57" i="11"/>
  <c r="W14" i="8" s="1"/>
  <c r="S74" i="11"/>
  <c r="AJ70" i="11"/>
  <c r="AF27" i="8" s="1"/>
  <c r="Y69" i="11"/>
  <c r="U26" i="8" s="1"/>
  <c r="AG49" i="11"/>
  <c r="AC6" i="8" s="1"/>
  <c r="AG64" i="11"/>
  <c r="AC21" i="8" s="1"/>
  <c r="M67" i="11"/>
  <c r="I24" i="8" s="1"/>
  <c r="AK59" i="11"/>
  <c r="AG16" i="8" s="1"/>
  <c r="AK47" i="11"/>
  <c r="AG4" i="8" s="1"/>
  <c r="AK57" i="11"/>
  <c r="AG14" i="8" s="1"/>
  <c r="O70" i="11"/>
  <c r="K27" i="8" s="1"/>
  <c r="AB61" i="11"/>
  <c r="X18" i="8" s="1"/>
  <c r="AJ74" i="11"/>
  <c r="Z66" i="11"/>
  <c r="V23" i="8" s="1"/>
  <c r="S62" i="11"/>
  <c r="O19" i="8" s="1"/>
  <c r="S61" i="11"/>
  <c r="O18" i="8" s="1"/>
  <c r="S53" i="11"/>
  <c r="O10" i="8" s="1"/>
  <c r="M53" i="11"/>
  <c r="I10" i="8" s="1"/>
  <c r="K57" i="11"/>
  <c r="G14" i="8" s="1"/>
  <c r="Q70" i="11"/>
  <c r="M27" i="8" s="1"/>
  <c r="S46" i="11"/>
  <c r="O67" i="11"/>
  <c r="K24" i="8" s="1"/>
  <c r="AA59" i="11"/>
  <c r="W16" i="8" s="1"/>
  <c r="M61" i="11"/>
  <c r="I18" i="8" s="1"/>
  <c r="O46" i="11"/>
  <c r="S66" i="11"/>
  <c r="O23" i="8" s="1"/>
  <c r="O59" i="11"/>
  <c r="K16" i="8" s="1"/>
  <c r="AI70" i="11"/>
  <c r="AE27" i="8" s="1"/>
  <c r="I41" i="11"/>
  <c r="K63" i="11"/>
  <c r="G20" i="8" s="1"/>
  <c r="T49" i="11"/>
  <c r="P6" i="8" s="1"/>
  <c r="AB41" i="11"/>
  <c r="S67" i="11"/>
  <c r="O24" i="8" s="1"/>
  <c r="N67" i="11"/>
  <c r="J24" i="8" s="1"/>
  <c r="G59" i="11"/>
  <c r="C16" i="8" s="1"/>
  <c r="Y47" i="11"/>
  <c r="U4" i="8" s="1"/>
  <c r="W41" i="11"/>
  <c r="AF69" i="11"/>
  <c r="AB26" i="8" s="1"/>
  <c r="AJ57" i="11"/>
  <c r="AF14" i="8" s="1"/>
  <c r="AE66" i="11"/>
  <c r="AA23" i="8" s="1"/>
  <c r="L74" i="11"/>
  <c r="S70" i="11"/>
  <c r="O27" i="8" s="1"/>
  <c r="Y64" i="11"/>
  <c r="U21" i="8" s="1"/>
  <c r="AF41" i="11"/>
  <c r="AK64" i="11"/>
  <c r="AG21" i="8" s="1"/>
  <c r="AD41" i="11"/>
  <c r="S59" i="11"/>
  <c r="O16" i="8" s="1"/>
  <c r="F50" i="11"/>
  <c r="M41" i="11"/>
  <c r="AK63" i="11"/>
  <c r="AG20" i="8" s="1"/>
  <c r="Y63" i="11"/>
  <c r="U20" i="8" s="1"/>
  <c r="AJ49" i="11"/>
  <c r="AF6" i="8" s="1"/>
  <c r="Z54" i="11"/>
  <c r="V11" i="8" s="1"/>
  <c r="J71" i="11"/>
  <c r="F28" i="8" s="1"/>
  <c r="AK74" i="11"/>
  <c r="K70" i="11"/>
  <c r="G27" i="8" s="1"/>
  <c r="AH64" i="11"/>
  <c r="AD21" i="8" s="1"/>
  <c r="AA62" i="11"/>
  <c r="W19" i="8" s="1"/>
  <c r="AH51" i="11"/>
  <c r="AD8" i="8" s="1"/>
  <c r="J50" i="11"/>
  <c r="K71" i="11"/>
  <c r="G28" i="8" s="1"/>
  <c r="Z63" i="11"/>
  <c r="V20" i="8" s="1"/>
  <c r="AB63" i="11"/>
  <c r="X20" i="8" s="1"/>
  <c r="S47" i="11"/>
  <c r="O4" i="8" s="1"/>
  <c r="AA67" i="11"/>
  <c r="W24" i="8" s="1"/>
  <c r="K59" i="11"/>
  <c r="G16" i="8" s="1"/>
  <c r="G41" i="11"/>
  <c r="M64" i="11"/>
  <c r="I21" i="8" s="1"/>
  <c r="Y57" i="11"/>
  <c r="U14" i="8" s="1"/>
  <c r="M60" i="11"/>
  <c r="I17" i="8" s="1"/>
  <c r="V59" i="11"/>
  <c r="R16" i="8" s="1"/>
  <c r="F70" i="11"/>
  <c r="B27" i="8" s="1"/>
  <c r="AJ64" i="11"/>
  <c r="AF21" i="8" s="1"/>
  <c r="G62" i="11"/>
  <c r="C19" i="8" s="1"/>
  <c r="AH56" i="11"/>
  <c r="S65" i="11"/>
  <c r="O22" i="8" s="1"/>
  <c r="S51" i="11"/>
  <c r="O8" i="8" s="1"/>
  <c r="S73" i="11"/>
  <c r="X71" i="11"/>
  <c r="T28" i="8" s="1"/>
  <c r="U59" i="11"/>
  <c r="Q16" i="8" s="1"/>
  <c r="S63" i="11"/>
  <c r="O20" i="8" s="1"/>
  <c r="AL63" i="11"/>
  <c r="AH20" i="8" s="1"/>
  <c r="AK49" i="11"/>
  <c r="AG6" i="8" s="1"/>
  <c r="T70" i="11"/>
  <c r="P27" i="8" s="1"/>
  <c r="AG67" i="11"/>
  <c r="AC24" i="8" s="1"/>
  <c r="AG59" i="11"/>
  <c r="AC16" i="8" s="1"/>
  <c r="AJ59" i="11"/>
  <c r="AF16" i="8" s="1"/>
  <c r="AH41" i="11"/>
  <c r="AG57" i="11"/>
  <c r="AC14" i="8" s="1"/>
  <c r="AG66" i="11"/>
  <c r="AC23" i="8" s="1"/>
  <c r="N64" i="11"/>
  <c r="J21" i="8" s="1"/>
  <c r="Z62" i="11"/>
  <c r="V19" i="8" s="1"/>
  <c r="S56" i="11"/>
  <c r="AG65" i="11"/>
  <c r="AC22" i="8" s="1"/>
  <c r="P73" i="11"/>
  <c r="I74" i="11"/>
  <c r="W63" i="11"/>
  <c r="S20" i="8" s="1"/>
  <c r="Z52" i="11"/>
  <c r="V9" i="8" s="1"/>
  <c r="AK66" i="11"/>
  <c r="AG23" i="8" s="1"/>
  <c r="AA73" i="11"/>
  <c r="S55" i="11"/>
  <c r="O12" i="8" s="1"/>
  <c r="V49" i="11"/>
  <c r="R6" i="8" s="1"/>
  <c r="AC68" i="11"/>
  <c r="Y25" i="8" s="1"/>
  <c r="AC71" i="11"/>
  <c r="Y28" i="8" s="1"/>
  <c r="AC65" i="11"/>
  <c r="Y22" i="8" s="1"/>
  <c r="AC50" i="11"/>
  <c r="AC63" i="11"/>
  <c r="Y20" i="8" s="1"/>
  <c r="AC61" i="11"/>
  <c r="Y18" i="8" s="1"/>
  <c r="AC52" i="11"/>
  <c r="Y9" i="8" s="1"/>
  <c r="AC60" i="11"/>
  <c r="Y17" i="8" s="1"/>
  <c r="AC64" i="11"/>
  <c r="Y21" i="8" s="1"/>
  <c r="AC66" i="11"/>
  <c r="Y23" i="8" s="1"/>
  <c r="AC56" i="11"/>
  <c r="W69" i="11"/>
  <c r="S26" i="8" s="1"/>
  <c r="AC69" i="11"/>
  <c r="Y26" i="8" s="1"/>
  <c r="W57" i="11"/>
  <c r="S14" i="8" s="1"/>
  <c r="R52" i="11"/>
  <c r="N9" i="8" s="1"/>
  <c r="R60" i="11"/>
  <c r="N17" i="8" s="1"/>
  <c r="R59" i="11"/>
  <c r="N16" i="8" s="1"/>
  <c r="R56" i="11"/>
  <c r="R65" i="11"/>
  <c r="N22" i="8" s="1"/>
  <c r="R58" i="11"/>
  <c r="N15" i="8" s="1"/>
  <c r="R57" i="11"/>
  <c r="N14" i="8" s="1"/>
  <c r="R47" i="11"/>
  <c r="N4" i="8" s="1"/>
  <c r="H74" i="11"/>
  <c r="R74" i="11"/>
  <c r="I68" i="11"/>
  <c r="E25" i="8" s="1"/>
  <c r="W58" i="11"/>
  <c r="S15" i="8" s="1"/>
  <c r="L51" i="11"/>
  <c r="H8" i="8" s="1"/>
  <c r="AF73" i="11"/>
  <c r="AL53" i="11"/>
  <c r="AH10" i="8" s="1"/>
  <c r="AC55" i="11"/>
  <c r="Y12" i="8" s="1"/>
  <c r="AC72" i="11"/>
  <c r="I59" i="11"/>
  <c r="E16" i="8" s="1"/>
  <c r="T47" i="11"/>
  <c r="P4" i="8" s="1"/>
  <c r="O50" i="11"/>
  <c r="O72" i="11"/>
  <c r="O63" i="11"/>
  <c r="K20" i="8" s="1"/>
  <c r="O64" i="11"/>
  <c r="K21" i="8" s="1"/>
  <c r="O57" i="11"/>
  <c r="K14" i="8" s="1"/>
  <c r="O48" i="11"/>
  <c r="K5" i="8" s="1"/>
  <c r="O71" i="11"/>
  <c r="K28" i="8" s="1"/>
  <c r="O47" i="11"/>
  <c r="K4" i="8" s="1"/>
  <c r="O73" i="11"/>
  <c r="O52" i="11"/>
  <c r="K9" i="8" s="1"/>
  <c r="O58" i="11"/>
  <c r="K15" i="8" s="1"/>
  <c r="O49" i="11"/>
  <c r="K6" i="8" s="1"/>
  <c r="O60" i="11"/>
  <c r="K17" i="8" s="1"/>
  <c r="O62" i="11"/>
  <c r="K19" i="8" s="1"/>
  <c r="O66" i="11"/>
  <c r="K23" i="8" s="1"/>
  <c r="F63" i="11"/>
  <c r="B20" i="8" s="1"/>
  <c r="AI63" i="11"/>
  <c r="AE20" i="8" s="1"/>
  <c r="AG63" i="11"/>
  <c r="AC20" i="8" s="1"/>
  <c r="Y49" i="11"/>
  <c r="U6" i="8" s="1"/>
  <c r="AB49" i="11"/>
  <c r="X6" i="8" s="1"/>
  <c r="M70" i="11"/>
  <c r="I27" i="8" s="1"/>
  <c r="AJ51" i="11"/>
  <c r="AF8" i="8" s="1"/>
  <c r="K41" i="11"/>
  <c r="AD59" i="11"/>
  <c r="Z16" i="8" s="1"/>
  <c r="AD53" i="11"/>
  <c r="Z10" i="8" s="1"/>
  <c r="AD56" i="11"/>
  <c r="AD51" i="11"/>
  <c r="Z8" i="8" s="1"/>
  <c r="AD60" i="11"/>
  <c r="Z17" i="8" s="1"/>
  <c r="AD70" i="11"/>
  <c r="Z27" i="8" s="1"/>
  <c r="AD74" i="11"/>
  <c r="AD65" i="11"/>
  <c r="Z22" i="8" s="1"/>
  <c r="AD64" i="11"/>
  <c r="Z21" i="8" s="1"/>
  <c r="AD48" i="11"/>
  <c r="Z5" i="8" s="1"/>
  <c r="AD50" i="11"/>
  <c r="AD52" i="11"/>
  <c r="Z9" i="8" s="1"/>
  <c r="AD46" i="11"/>
  <c r="AD55" i="11"/>
  <c r="Z12" i="8" s="1"/>
  <c r="AD73" i="11"/>
  <c r="AD54" i="11"/>
  <c r="Z11" i="8" s="1"/>
  <c r="AD71" i="11"/>
  <c r="Z28" i="8" s="1"/>
  <c r="AD49" i="11"/>
  <c r="Z6" i="8" s="1"/>
  <c r="AD61" i="11"/>
  <c r="Z18" i="8" s="1"/>
  <c r="AD68" i="11"/>
  <c r="Z25" i="8" s="1"/>
  <c r="AD69" i="11"/>
  <c r="Z26" i="8" s="1"/>
  <c r="AE67" i="11"/>
  <c r="AA24" i="8" s="1"/>
  <c r="Z67" i="11"/>
  <c r="V24" i="8" s="1"/>
  <c r="AD67" i="11"/>
  <c r="Z24" i="8" s="1"/>
  <c r="M59" i="11"/>
  <c r="I16" i="8" s="1"/>
  <c r="F59" i="11"/>
  <c r="B16" i="8" s="1"/>
  <c r="AF59" i="11"/>
  <c r="AB16" i="8" s="1"/>
  <c r="F47" i="11"/>
  <c r="B4" i="8" s="1"/>
  <c r="F49" i="11"/>
  <c r="B6" i="8" s="1"/>
  <c r="F69" i="11"/>
  <c r="B26" i="8" s="1"/>
  <c r="J69" i="11"/>
  <c r="F26" i="8" s="1"/>
  <c r="Z57" i="11"/>
  <c r="V14" i="8" s="1"/>
  <c r="M57" i="11"/>
  <c r="I14" i="8" s="1"/>
  <c r="AE57" i="11"/>
  <c r="AA14" i="8" s="1"/>
  <c r="AI49" i="11"/>
  <c r="AE6" i="8" s="1"/>
  <c r="Z61" i="11"/>
  <c r="V18" i="8" s="1"/>
  <c r="F74" i="11"/>
  <c r="B31" i="8" s="1"/>
  <c r="AH74" i="11"/>
  <c r="N70" i="11"/>
  <c r="J27" i="8" s="1"/>
  <c r="AF70" i="11"/>
  <c r="AB27" i="8" s="1"/>
  <c r="M68" i="11"/>
  <c r="I25" i="8" s="1"/>
  <c r="AA68" i="11"/>
  <c r="W25" i="8" s="1"/>
  <c r="AF68" i="11"/>
  <c r="AB25" i="8" s="1"/>
  <c r="F66" i="11"/>
  <c r="B23" i="8" s="1"/>
  <c r="AH66" i="11"/>
  <c r="AD23" i="8" s="1"/>
  <c r="Z60" i="11"/>
  <c r="V17" i="8" s="1"/>
  <c r="O54" i="11"/>
  <c r="K11" i="8" s="1"/>
  <c r="J52" i="11"/>
  <c r="F9" i="8" s="1"/>
  <c r="U65" i="11"/>
  <c r="Q22" i="8" s="1"/>
  <c r="O61" i="11"/>
  <c r="K18" i="8" s="1"/>
  <c r="R41" i="11"/>
  <c r="AC51" i="11"/>
  <c r="Y8" i="8" s="1"/>
  <c r="L55" i="11"/>
  <c r="H12" i="8" s="1"/>
  <c r="O53" i="11"/>
  <c r="K10" i="8" s="1"/>
  <c r="F55" i="11"/>
  <c r="B12" i="8" s="1"/>
  <c r="Z46" i="11"/>
  <c r="U72" i="11"/>
  <c r="AE50" i="11"/>
  <c r="H48" i="11"/>
  <c r="D5" i="8" s="1"/>
  <c r="H73" i="11"/>
  <c r="H62" i="11"/>
  <c r="D19" i="8" s="1"/>
  <c r="H64" i="11"/>
  <c r="D21" i="8" s="1"/>
  <c r="H66" i="11"/>
  <c r="D23" i="8" s="1"/>
  <c r="H51" i="11"/>
  <c r="D8" i="8" s="1"/>
  <c r="H56" i="11"/>
  <c r="H72" i="11"/>
  <c r="H50" i="11"/>
  <c r="H46" i="11"/>
  <c r="H55" i="11"/>
  <c r="D12" i="8" s="1"/>
  <c r="H61" i="11"/>
  <c r="D18" i="8" s="1"/>
  <c r="H54" i="11"/>
  <c r="D11" i="8" s="1"/>
  <c r="H67" i="11"/>
  <c r="D24" i="8" s="1"/>
  <c r="H47" i="11"/>
  <c r="D4" i="8" s="1"/>
  <c r="Y55" i="11"/>
  <c r="U12" i="8" s="1"/>
  <c r="Y54" i="11"/>
  <c r="U11" i="8" s="1"/>
  <c r="Y62" i="11"/>
  <c r="U19" i="8" s="1"/>
  <c r="Y71" i="11"/>
  <c r="U28" i="8" s="1"/>
  <c r="Y61" i="11"/>
  <c r="U18" i="8" s="1"/>
  <c r="Y52" i="11"/>
  <c r="U9" i="8" s="1"/>
  <c r="Y46" i="11"/>
  <c r="Y65" i="11"/>
  <c r="U22" i="8" s="1"/>
  <c r="Y51" i="11"/>
  <c r="U8" i="8" s="1"/>
  <c r="Y56" i="11"/>
  <c r="Y66" i="11"/>
  <c r="U23" i="8" s="1"/>
  <c r="Y68" i="11"/>
  <c r="U25" i="8" s="1"/>
  <c r="Y74" i="11"/>
  <c r="Y67" i="11"/>
  <c r="U24" i="8" s="1"/>
  <c r="G68" i="11"/>
  <c r="C25" i="8" s="1"/>
  <c r="G72" i="11"/>
  <c r="G46" i="11"/>
  <c r="G53" i="11"/>
  <c r="C10" i="8" s="1"/>
  <c r="G51" i="11"/>
  <c r="C8" i="8" s="1"/>
  <c r="G56" i="11"/>
  <c r="G60" i="11"/>
  <c r="C17" i="8" s="1"/>
  <c r="G70" i="11"/>
  <c r="C27" i="8" s="1"/>
  <c r="G61" i="11"/>
  <c r="C18" i="8" s="1"/>
  <c r="G50" i="11"/>
  <c r="G55" i="11"/>
  <c r="C12" i="8" s="1"/>
  <c r="G73" i="11"/>
  <c r="G54" i="11"/>
  <c r="C11" i="8" s="1"/>
  <c r="G48" i="11"/>
  <c r="C5" i="8" s="1"/>
  <c r="G65" i="11"/>
  <c r="C22" i="8" s="1"/>
  <c r="G58" i="11"/>
  <c r="C15" i="8" s="1"/>
  <c r="G52" i="11"/>
  <c r="C9" i="8" s="1"/>
  <c r="H63" i="11"/>
  <c r="D20" i="8" s="1"/>
  <c r="L63" i="11"/>
  <c r="H20" i="8" s="1"/>
  <c r="W67" i="11"/>
  <c r="S24" i="8" s="1"/>
  <c r="G49" i="11"/>
  <c r="C6" i="8" s="1"/>
  <c r="O41" i="11"/>
  <c r="V72" i="11"/>
  <c r="V56" i="11"/>
  <c r="V52" i="11"/>
  <c r="R9" i="8" s="1"/>
  <c r="V58" i="11"/>
  <c r="R15" i="8" s="1"/>
  <c r="V48" i="11"/>
  <c r="R5" i="8" s="1"/>
  <c r="V46" i="11"/>
  <c r="V62" i="11"/>
  <c r="R19" i="8" s="1"/>
  <c r="V66" i="11"/>
  <c r="R23" i="8" s="1"/>
  <c r="V53" i="11"/>
  <c r="R10" i="8" s="1"/>
  <c r="V51" i="11"/>
  <c r="R8" i="8" s="1"/>
  <c r="V60" i="11"/>
  <c r="R17" i="8" s="1"/>
  <c r="V65" i="11"/>
  <c r="R22" i="8" s="1"/>
  <c r="V50" i="11"/>
  <c r="V55" i="11"/>
  <c r="R12" i="8" s="1"/>
  <c r="V73" i="11"/>
  <c r="V54" i="11"/>
  <c r="R11" i="8" s="1"/>
  <c r="AL67" i="11"/>
  <c r="AH24" i="8" s="1"/>
  <c r="W59" i="11"/>
  <c r="S16" i="8" s="1"/>
  <c r="L59" i="11"/>
  <c r="H16" i="8" s="1"/>
  <c r="V47" i="11"/>
  <c r="R4" i="8" s="1"/>
  <c r="V41" i="11"/>
  <c r="M56" i="11"/>
  <c r="M66" i="11"/>
  <c r="I23" i="8" s="1"/>
  <c r="M65" i="11"/>
  <c r="I22" i="8" s="1"/>
  <c r="M50" i="11"/>
  <c r="M55" i="11"/>
  <c r="I12" i="8" s="1"/>
  <c r="M73" i="11"/>
  <c r="M54" i="11"/>
  <c r="I11" i="8" s="1"/>
  <c r="M72" i="11"/>
  <c r="M46" i="11"/>
  <c r="M71" i="11"/>
  <c r="I28" i="8" s="1"/>
  <c r="M52" i="11"/>
  <c r="I9" i="8" s="1"/>
  <c r="M58" i="11"/>
  <c r="I15" i="8" s="1"/>
  <c r="M48" i="11"/>
  <c r="I5" i="8" s="1"/>
  <c r="M62" i="11"/>
  <c r="I19" i="8" s="1"/>
  <c r="M74" i="11"/>
  <c r="G69" i="11"/>
  <c r="C26" i="8" s="1"/>
  <c r="N69" i="11"/>
  <c r="J26" i="8" s="1"/>
  <c r="R69" i="11"/>
  <c r="N26" i="8" s="1"/>
  <c r="AH57" i="11"/>
  <c r="AD14" i="8" s="1"/>
  <c r="AC57" i="11"/>
  <c r="Y14" i="8" s="1"/>
  <c r="AB47" i="11"/>
  <c r="X4" i="8" s="1"/>
  <c r="N74" i="11"/>
  <c r="K74" i="11"/>
  <c r="V70" i="11"/>
  <c r="R27" i="8" s="1"/>
  <c r="R70" i="11"/>
  <c r="N27" i="8" s="1"/>
  <c r="AG68" i="11"/>
  <c r="AC25" i="8" s="1"/>
  <c r="L68" i="11"/>
  <c r="H25" i="8" s="1"/>
  <c r="AD66" i="11"/>
  <c r="Z23" i="8" s="1"/>
  <c r="AB66" i="11"/>
  <c r="X23" i="8" s="1"/>
  <c r="AE64" i="11"/>
  <c r="AA21" i="8" s="1"/>
  <c r="L62" i="11"/>
  <c r="H19" i="8" s="1"/>
  <c r="Y60" i="11"/>
  <c r="U17" i="8" s="1"/>
  <c r="AL60" i="11"/>
  <c r="AH17" i="8" s="1"/>
  <c r="AE54" i="11"/>
  <c r="AA11" i="8" s="1"/>
  <c r="AK65" i="11"/>
  <c r="AG22" i="8" s="1"/>
  <c r="AL61" i="11"/>
  <c r="AH18" i="8" s="1"/>
  <c r="P46" i="11"/>
  <c r="P71" i="11"/>
  <c r="L28" i="8" s="1"/>
  <c r="P65" i="11"/>
  <c r="L22" i="8" s="1"/>
  <c r="P52" i="11"/>
  <c r="L9" i="8" s="1"/>
  <c r="P66" i="11"/>
  <c r="L23" i="8" s="1"/>
  <c r="P51" i="11"/>
  <c r="L8" i="8" s="1"/>
  <c r="P56" i="11"/>
  <c r="P60" i="11"/>
  <c r="L17" i="8" s="1"/>
  <c r="P68" i="11"/>
  <c r="L25" i="8" s="1"/>
  <c r="P72" i="11"/>
  <c r="P50" i="11"/>
  <c r="P55" i="11"/>
  <c r="L12" i="8" s="1"/>
  <c r="P49" i="11"/>
  <c r="L6" i="8" s="1"/>
  <c r="P61" i="11"/>
  <c r="L18" i="8" s="1"/>
  <c r="P54" i="11"/>
  <c r="L11" i="8" s="1"/>
  <c r="P41" i="11"/>
  <c r="AL51" i="11"/>
  <c r="AH8" i="8" s="1"/>
  <c r="AE49" i="11"/>
  <c r="AA6" i="8" s="1"/>
  <c r="AE73" i="11"/>
  <c r="I53" i="11"/>
  <c r="E10" i="8" s="1"/>
  <c r="AG48" i="11"/>
  <c r="AC5" i="8" s="1"/>
  <c r="O55" i="11"/>
  <c r="K12" i="8" s="1"/>
  <c r="AC46" i="11"/>
  <c r="AI72" i="11"/>
  <c r="O65" i="11"/>
  <c r="K22" i="8" s="1"/>
  <c r="AE63" i="11"/>
  <c r="AA20" i="8" s="1"/>
  <c r="T63" i="11"/>
  <c r="P20" i="8" s="1"/>
  <c r="J49" i="11"/>
  <c r="F6" i="8" s="1"/>
  <c r="AF47" i="11"/>
  <c r="AB4" i="8" s="1"/>
  <c r="N56" i="11"/>
  <c r="N71" i="11"/>
  <c r="J28" i="8" s="1"/>
  <c r="N68" i="11"/>
  <c r="J25" i="8" s="1"/>
  <c r="N72" i="11"/>
  <c r="N46" i="11"/>
  <c r="N47" i="11"/>
  <c r="J4" i="8" s="1"/>
  <c r="N48" i="11"/>
  <c r="J5" i="8" s="1"/>
  <c r="N62" i="11"/>
  <c r="J19" i="8" s="1"/>
  <c r="N66" i="11"/>
  <c r="J23" i="8" s="1"/>
  <c r="N53" i="11"/>
  <c r="J10" i="8" s="1"/>
  <c r="N51" i="11"/>
  <c r="J8" i="8" s="1"/>
  <c r="N61" i="11"/>
  <c r="J18" i="8" s="1"/>
  <c r="N60" i="11"/>
  <c r="J17" i="8" s="1"/>
  <c r="N49" i="11"/>
  <c r="J6" i="8" s="1"/>
  <c r="N65" i="11"/>
  <c r="J22" i="8" s="1"/>
  <c r="N50" i="11"/>
  <c r="N55" i="11"/>
  <c r="J12" i="8" s="1"/>
  <c r="N73" i="11"/>
  <c r="N54" i="11"/>
  <c r="J11" i="8" s="1"/>
  <c r="N57" i="11"/>
  <c r="J14" i="8" s="1"/>
  <c r="AI67" i="11"/>
  <c r="AE24" i="8" s="1"/>
  <c r="AF67" i="11"/>
  <c r="AB24" i="8" s="1"/>
  <c r="L67" i="11"/>
  <c r="H24" i="8" s="1"/>
  <c r="N59" i="11"/>
  <c r="J16" i="8" s="1"/>
  <c r="AL59" i="11"/>
  <c r="AH16" i="8" s="1"/>
  <c r="T59" i="11"/>
  <c r="P16" i="8" s="1"/>
  <c r="AD47" i="11"/>
  <c r="Z4" i="8" s="1"/>
  <c r="L69" i="11"/>
  <c r="H26" i="8" s="1"/>
  <c r="V69" i="11"/>
  <c r="R26" i="8" s="1"/>
  <c r="AH69" i="11"/>
  <c r="AD26" i="8" s="1"/>
  <c r="AL57" i="11"/>
  <c r="AH14" i="8" s="1"/>
  <c r="AJ61" i="11"/>
  <c r="AF18" i="8" s="1"/>
  <c r="AJ66" i="11"/>
  <c r="AF23" i="8" s="1"/>
  <c r="AJ71" i="11"/>
  <c r="AF28" i="8" s="1"/>
  <c r="AJ53" i="11"/>
  <c r="AF10" i="8" s="1"/>
  <c r="AJ62" i="11"/>
  <c r="AF19" i="8" s="1"/>
  <c r="AJ68" i="11"/>
  <c r="AF25" i="8" s="1"/>
  <c r="AJ48" i="11"/>
  <c r="AF5" i="8" s="1"/>
  <c r="AJ72" i="11"/>
  <c r="AJ65" i="11"/>
  <c r="AF22" i="8" s="1"/>
  <c r="AJ50" i="11"/>
  <c r="AJ47" i="11"/>
  <c r="AF4" i="8" s="1"/>
  <c r="AJ73" i="11"/>
  <c r="AJ54" i="11"/>
  <c r="AF11" i="8" s="1"/>
  <c r="AJ60" i="11"/>
  <c r="AF17" i="8" s="1"/>
  <c r="AJ52" i="11"/>
  <c r="AF9" i="8" s="1"/>
  <c r="AJ69" i="11"/>
  <c r="AF26" i="8" s="1"/>
  <c r="AJ58" i="11"/>
  <c r="AF15" i="8" s="1"/>
  <c r="V74" i="11"/>
  <c r="U70" i="11"/>
  <c r="Q27" i="8" s="1"/>
  <c r="AL70" i="11"/>
  <c r="AH27" i="8" s="1"/>
  <c r="O68" i="11"/>
  <c r="K25" i="8" s="1"/>
  <c r="T68" i="11"/>
  <c r="P25" i="8" s="1"/>
  <c r="U66" i="11"/>
  <c r="Q23" i="8" s="1"/>
  <c r="G66" i="11"/>
  <c r="C23" i="8" s="1"/>
  <c r="R64" i="11"/>
  <c r="N21" i="8" s="1"/>
  <c r="AK62" i="11"/>
  <c r="AG19" i="8" s="1"/>
  <c r="AK60" i="11"/>
  <c r="AG17" i="8" s="1"/>
  <c r="AD58" i="11"/>
  <c r="Z15" i="8" s="1"/>
  <c r="U56" i="11"/>
  <c r="L52" i="11"/>
  <c r="H9" i="8" s="1"/>
  <c r="H65" i="11"/>
  <c r="D22" i="8" s="1"/>
  <c r="H41" i="11"/>
  <c r="O51" i="11"/>
  <c r="K8" i="8" s="1"/>
  <c r="AA64" i="11"/>
  <c r="W21" i="8" s="1"/>
  <c r="AA70" i="11"/>
  <c r="W27" i="8" s="1"/>
  <c r="AA69" i="11"/>
  <c r="W26" i="8" s="1"/>
  <c r="AA65" i="11"/>
  <c r="W22" i="8" s="1"/>
  <c r="AA52" i="11"/>
  <c r="W9" i="8" s="1"/>
  <c r="AA47" i="11"/>
  <c r="W4" i="8" s="1"/>
  <c r="AA61" i="11"/>
  <c r="W18" i="8" s="1"/>
  <c r="AA74" i="11"/>
  <c r="Y53" i="11"/>
  <c r="U10" i="8" s="1"/>
  <c r="R61" i="11"/>
  <c r="N18" i="8" s="1"/>
  <c r="Y48" i="11"/>
  <c r="U5" i="8" s="1"/>
  <c r="AE55" i="11"/>
  <c r="AA12" i="8" s="1"/>
  <c r="R46" i="11"/>
  <c r="AD72" i="11"/>
  <c r="AK48" i="11"/>
  <c r="AG5" i="8" s="1"/>
  <c r="U67" i="11"/>
  <c r="Q24" i="8" s="1"/>
  <c r="W50" i="11"/>
  <c r="W55" i="11"/>
  <c r="S12" i="8" s="1"/>
  <c r="W73" i="11"/>
  <c r="W54" i="11"/>
  <c r="S11" i="8" s="1"/>
  <c r="W48" i="11"/>
  <c r="S5" i="8" s="1"/>
  <c r="W72" i="11"/>
  <c r="W71" i="11"/>
  <c r="S28" i="8" s="1"/>
  <c r="W52" i="11"/>
  <c r="S9" i="8" s="1"/>
  <c r="W60" i="11"/>
  <c r="S17" i="8" s="1"/>
  <c r="W49" i="11"/>
  <c r="S6" i="8" s="1"/>
  <c r="W47" i="11"/>
  <c r="S4" i="8" s="1"/>
  <c r="W46" i="11"/>
  <c r="W53" i="11"/>
  <c r="S10" i="8" s="1"/>
  <c r="W51" i="11"/>
  <c r="S8" i="8" s="1"/>
  <c r="W61" i="11"/>
  <c r="S18" i="8" s="1"/>
  <c r="W65" i="11"/>
  <c r="S22" i="8" s="1"/>
  <c r="W56" i="11"/>
  <c r="W70" i="11"/>
  <c r="S27" i="8" s="1"/>
  <c r="W74" i="11"/>
  <c r="V67" i="11"/>
  <c r="R24" i="8" s="1"/>
  <c r="R49" i="11"/>
  <c r="N6" i="8" s="1"/>
  <c r="U49" i="11"/>
  <c r="Q6" i="8" s="1"/>
  <c r="AI41" i="11"/>
  <c r="AE41" i="11"/>
  <c r="F52" i="11"/>
  <c r="B9" i="8" s="1"/>
  <c r="F48" i="11"/>
  <c r="F72" i="11"/>
  <c r="B29" i="8" s="1"/>
  <c r="F46" i="11"/>
  <c r="F58" i="11"/>
  <c r="B15" i="8" s="1"/>
  <c r="F62" i="11"/>
  <c r="B19" i="8" s="1"/>
  <c r="F53" i="11"/>
  <c r="B10" i="8" s="1"/>
  <c r="F51" i="11"/>
  <c r="F60" i="11"/>
  <c r="B17" i="8" s="1"/>
  <c r="F61" i="11"/>
  <c r="B18" i="8" s="1"/>
  <c r="F65" i="11"/>
  <c r="F64" i="11"/>
  <c r="B21" i="8" s="1"/>
  <c r="I67" i="11"/>
  <c r="E24" i="8" s="1"/>
  <c r="T67" i="11"/>
  <c r="P24" i="8" s="1"/>
  <c r="AL47" i="11"/>
  <c r="AH4" i="8" s="1"/>
  <c r="H57" i="11"/>
  <c r="D14" i="8" s="1"/>
  <c r="AF46" i="11"/>
  <c r="AF64" i="11"/>
  <c r="AB21" i="8" s="1"/>
  <c r="AF66" i="11"/>
  <c r="AB23" i="8" s="1"/>
  <c r="AF72" i="11"/>
  <c r="AF50" i="11"/>
  <c r="AF55" i="11"/>
  <c r="AB12" i="8" s="1"/>
  <c r="AF61" i="11"/>
  <c r="AB18" i="8" s="1"/>
  <c r="AF54" i="11"/>
  <c r="AB11" i="8" s="1"/>
  <c r="AF62" i="11"/>
  <c r="AB19" i="8" s="1"/>
  <c r="AF48" i="11"/>
  <c r="AB5" i="8" s="1"/>
  <c r="AF60" i="11"/>
  <c r="AB17" i="8" s="1"/>
  <c r="AF53" i="11"/>
  <c r="AB10" i="8" s="1"/>
  <c r="AF71" i="11"/>
  <c r="AB28" i="8" s="1"/>
  <c r="AF49" i="11"/>
  <c r="AB6" i="8" s="1"/>
  <c r="AF65" i="11"/>
  <c r="AB22" i="8" s="1"/>
  <c r="AF52" i="11"/>
  <c r="AB9" i="8" s="1"/>
  <c r="Z74" i="11"/>
  <c r="Z58" i="11"/>
  <c r="V15" i="8" s="1"/>
  <c r="Z68" i="11"/>
  <c r="V25" i="8" s="1"/>
  <c r="Z41" i="11"/>
  <c r="Z69" i="11"/>
  <c r="V26" i="8" s="1"/>
  <c r="T69" i="11"/>
  <c r="P26" i="8" s="1"/>
  <c r="AL69" i="11"/>
  <c r="AH26" i="8" s="1"/>
  <c r="F57" i="11"/>
  <c r="B14" i="8" s="1"/>
  <c r="AB64" i="11"/>
  <c r="X21" i="8" s="1"/>
  <c r="AB48" i="11"/>
  <c r="X5" i="8" s="1"/>
  <c r="AB46" i="11"/>
  <c r="AB56" i="11"/>
  <c r="AB58" i="11"/>
  <c r="X15" i="8" s="1"/>
  <c r="AB70" i="11"/>
  <c r="X27" i="8" s="1"/>
  <c r="AB74" i="11"/>
  <c r="AB51" i="11"/>
  <c r="X8" i="8" s="1"/>
  <c r="AB59" i="11"/>
  <c r="X16" i="8" s="1"/>
  <c r="AB71" i="11"/>
  <c r="X28" i="8" s="1"/>
  <c r="AB53" i="11"/>
  <c r="X10" i="8" s="1"/>
  <c r="AB68" i="11"/>
  <c r="X25" i="8" s="1"/>
  <c r="AB72" i="11"/>
  <c r="AB65" i="11"/>
  <c r="X22" i="8" s="1"/>
  <c r="AB50" i="11"/>
  <c r="AB73" i="11"/>
  <c r="AB54" i="11"/>
  <c r="X11" i="8" s="1"/>
  <c r="AB60" i="11"/>
  <c r="X17" i="8" s="1"/>
  <c r="AB67" i="11"/>
  <c r="X24" i="8" s="1"/>
  <c r="AI74" i="11"/>
  <c r="Y70" i="11"/>
  <c r="U27" i="8" s="1"/>
  <c r="L70" i="11"/>
  <c r="H27" i="8" s="1"/>
  <c r="Q68" i="11"/>
  <c r="M25" i="8" s="1"/>
  <c r="F68" i="11"/>
  <c r="B25" i="8" s="1"/>
  <c r="W66" i="11"/>
  <c r="S23" i="8" s="1"/>
  <c r="AC62" i="11"/>
  <c r="Y19" i="8" s="1"/>
  <c r="Q60" i="11"/>
  <c r="M17" i="8" s="1"/>
  <c r="Q54" i="11"/>
  <c r="M11" i="8" s="1"/>
  <c r="AB52" i="11"/>
  <c r="X9" i="8" s="1"/>
  <c r="AK61" i="11"/>
  <c r="AG18" i="8" s="1"/>
  <c r="AI50" i="11"/>
  <c r="AF51" i="11"/>
  <c r="AB8" i="8" s="1"/>
  <c r="L73" i="11"/>
  <c r="N52" i="11"/>
  <c r="J9" i="8" s="1"/>
  <c r="K51" i="11"/>
  <c r="G8" i="8" s="1"/>
  <c r="K65" i="11"/>
  <c r="G22" i="8" s="1"/>
  <c r="K56" i="11"/>
  <c r="K61" i="11"/>
  <c r="G18" i="8" s="1"/>
  <c r="K66" i="11"/>
  <c r="G23" i="8" s="1"/>
  <c r="K54" i="11"/>
  <c r="G11" i="8" s="1"/>
  <c r="K58" i="11"/>
  <c r="G15" i="8" s="1"/>
  <c r="K62" i="11"/>
  <c r="G19" i="8" s="1"/>
  <c r="K52" i="11"/>
  <c r="G9" i="8" s="1"/>
  <c r="Q48" i="11"/>
  <c r="M5" i="8" s="1"/>
  <c r="Q72" i="11"/>
  <c r="Q53" i="11"/>
  <c r="M10" i="8" s="1"/>
  <c r="Q65" i="11"/>
  <c r="M22" i="8" s="1"/>
  <c r="Q50" i="11"/>
  <c r="Q73" i="11"/>
  <c r="Q57" i="11"/>
  <c r="M14" i="8" s="1"/>
  <c r="Q58" i="11"/>
  <c r="M15" i="8" s="1"/>
  <c r="Q71" i="11"/>
  <c r="M28" i="8" s="1"/>
  <c r="Q52" i="11"/>
  <c r="M9" i="8" s="1"/>
  <c r="Q46" i="11"/>
  <c r="Q61" i="11"/>
  <c r="M18" i="8" s="1"/>
  <c r="Q62" i="11"/>
  <c r="M19" i="8" s="1"/>
  <c r="Q64" i="11"/>
  <c r="M21" i="8" s="1"/>
  <c r="Q66" i="11"/>
  <c r="M23" i="8" s="1"/>
  <c r="Q59" i="11"/>
  <c r="M16" i="8" s="1"/>
  <c r="Z71" i="11"/>
  <c r="V28" i="8" s="1"/>
  <c r="Q55" i="11"/>
  <c r="M12" i="8" s="1"/>
  <c r="AK46" i="11"/>
  <c r="AC48" i="11"/>
  <c r="Y5" i="8" s="1"/>
  <c r="U68" i="11"/>
  <c r="Q25" i="8" s="1"/>
  <c r="U57" i="11"/>
  <c r="Q14" i="8" s="1"/>
  <c r="U47" i="11"/>
  <c r="Q4" i="8" s="1"/>
  <c r="I73" i="11"/>
  <c r="I51" i="11"/>
  <c r="E8" i="8" s="1"/>
  <c r="I61" i="11"/>
  <c r="E18" i="8" s="1"/>
  <c r="I56" i="11"/>
  <c r="I64" i="11"/>
  <c r="E21" i="8" s="1"/>
  <c r="I65" i="11"/>
  <c r="E22" i="8" s="1"/>
  <c r="I54" i="11"/>
  <c r="E11" i="8" s="1"/>
  <c r="I60" i="11"/>
  <c r="E17" i="8" s="1"/>
  <c r="I71" i="11"/>
  <c r="E28" i="8" s="1"/>
  <c r="I52" i="11"/>
  <c r="E9" i="8" s="1"/>
  <c r="I58" i="11"/>
  <c r="E15" i="8" s="1"/>
  <c r="H53" i="11"/>
  <c r="D10" i="8" s="1"/>
  <c r="AL62" i="11"/>
  <c r="AH19" i="8" s="1"/>
  <c r="AL66" i="11"/>
  <c r="AH23" i="8" s="1"/>
  <c r="AL65" i="11"/>
  <c r="AH22" i="8" s="1"/>
  <c r="AL64" i="11"/>
  <c r="AH21" i="8" s="1"/>
  <c r="AL50" i="11"/>
  <c r="AL46" i="11"/>
  <c r="AL55" i="11"/>
  <c r="AH12" i="8" s="1"/>
  <c r="AL73" i="11"/>
  <c r="AL54" i="11"/>
  <c r="AH11" i="8" s="1"/>
  <c r="AL48" i="11"/>
  <c r="AH5" i="8" s="1"/>
  <c r="AL56" i="11"/>
  <c r="AL71" i="11"/>
  <c r="AH28" i="8" s="1"/>
  <c r="AL72" i="11"/>
  <c r="AL58" i="11"/>
  <c r="AH15" i="8" s="1"/>
  <c r="K49" i="11"/>
  <c r="G6" i="8" s="1"/>
  <c r="U63" i="11"/>
  <c r="Q20" i="8" s="1"/>
  <c r="M63" i="11"/>
  <c r="I20" i="8" s="1"/>
  <c r="AF63" i="11"/>
  <c r="AB20" i="8" s="1"/>
  <c r="AJ63" i="11"/>
  <c r="AF20" i="8" s="1"/>
  <c r="Z49" i="11"/>
  <c r="V6" i="8" s="1"/>
  <c r="AC49" i="11"/>
  <c r="Y6" i="8" s="1"/>
  <c r="AI60" i="11"/>
  <c r="AE17" i="8" s="1"/>
  <c r="G47" i="11"/>
  <c r="C4" i="8" s="1"/>
  <c r="L41" i="11"/>
  <c r="AG61" i="11"/>
  <c r="AC18" i="8" s="1"/>
  <c r="AG62" i="11"/>
  <c r="AC19" i="8" s="1"/>
  <c r="AG60" i="11"/>
  <c r="AC17" i="8" s="1"/>
  <c r="AG69" i="11"/>
  <c r="AC26" i="8" s="1"/>
  <c r="AG47" i="11"/>
  <c r="AC4" i="8" s="1"/>
  <c r="AG73" i="11"/>
  <c r="AG51" i="11"/>
  <c r="AC8" i="8" s="1"/>
  <c r="AG56" i="11"/>
  <c r="AG58" i="11"/>
  <c r="AC15" i="8" s="1"/>
  <c r="AG70" i="11"/>
  <c r="AC27" i="8" s="1"/>
  <c r="Q67" i="11"/>
  <c r="M24" i="8" s="1"/>
  <c r="AJ67" i="11"/>
  <c r="AF24" i="8" s="1"/>
  <c r="AE59" i="11"/>
  <c r="AA16" i="8" s="1"/>
  <c r="AI59" i="11"/>
  <c r="AE16" i="8" s="1"/>
  <c r="AC59" i="11"/>
  <c r="Y16" i="8" s="1"/>
  <c r="AJ55" i="11"/>
  <c r="AF12" i="8" s="1"/>
  <c r="O69" i="11"/>
  <c r="K26" i="8" s="1"/>
  <c r="AB69" i="11"/>
  <c r="X26" i="8" s="1"/>
  <c r="H69" i="11"/>
  <c r="D26" i="8" s="1"/>
  <c r="I57" i="11"/>
  <c r="E14" i="8" s="1"/>
  <c r="V57" i="11"/>
  <c r="R14" i="8" s="1"/>
  <c r="Y58" i="11"/>
  <c r="U15" i="8" s="1"/>
  <c r="T55" i="11"/>
  <c r="P12" i="8" s="1"/>
  <c r="G74" i="11"/>
  <c r="Q74" i="11"/>
  <c r="I70" i="11"/>
  <c r="E27" i="8" s="1"/>
  <c r="AE70" i="11"/>
  <c r="AA27" i="8" s="1"/>
  <c r="W68" i="11"/>
  <c r="S25" i="8" s="1"/>
  <c r="V68" i="11"/>
  <c r="R25" i="8" s="1"/>
  <c r="I66" i="11"/>
  <c r="E23" i="8" s="1"/>
  <c r="G64" i="11"/>
  <c r="C21" i="8" s="1"/>
  <c r="K64" i="11"/>
  <c r="G21" i="8" s="1"/>
  <c r="AD62" i="11"/>
  <c r="Z19" i="8" s="1"/>
  <c r="H60" i="11"/>
  <c r="D17" i="8" s="1"/>
  <c r="H58" i="11"/>
  <c r="D15" i="8" s="1"/>
  <c r="O56" i="11"/>
  <c r="AA54" i="11"/>
  <c r="W11" i="8" s="1"/>
  <c r="AG54" i="11"/>
  <c r="AC11" i="8" s="1"/>
  <c r="AA72" i="11"/>
  <c r="Q51" i="11"/>
  <c r="M8" i="8" s="1"/>
  <c r="AH62" i="11"/>
  <c r="AD19" i="8" s="1"/>
  <c r="AH53" i="11"/>
  <c r="AD10" i="8" s="1"/>
  <c r="AH65" i="11"/>
  <c r="AD22" i="8" s="1"/>
  <c r="AH58" i="11"/>
  <c r="AD15" i="8" s="1"/>
  <c r="AH68" i="11"/>
  <c r="AD25" i="8" s="1"/>
  <c r="AH72" i="11"/>
  <c r="AH55" i="11"/>
  <c r="AD12" i="8" s="1"/>
  <c r="AH73" i="11"/>
  <c r="AH48" i="11"/>
  <c r="AD5" i="8" s="1"/>
  <c r="AH61" i="11"/>
  <c r="AD18" i="8" s="1"/>
  <c r="AH50" i="11"/>
  <c r="AH71" i="11"/>
  <c r="AD28" i="8" s="1"/>
  <c r="AH52" i="11"/>
  <c r="AD9" i="8" s="1"/>
  <c r="AH60" i="11"/>
  <c r="AD17" i="8" s="1"/>
  <c r="AH59" i="11"/>
  <c r="AD16" i="8" s="1"/>
  <c r="AC73" i="11"/>
  <c r="AA53" i="11"/>
  <c r="W10" i="8" s="1"/>
  <c r="I55" i="11"/>
  <c r="E12" i="8" s="1"/>
  <c r="F71" i="11"/>
  <c r="B28" i="8" s="1"/>
  <c r="AG55" i="11"/>
  <c r="AC12" i="8" s="1"/>
  <c r="AH46" i="11"/>
  <c r="I48" i="11"/>
  <c r="E5" i="8" s="1"/>
  <c r="L49" i="11"/>
  <c r="H6" i="8" s="1"/>
  <c r="AI58" i="11"/>
  <c r="AE15" i="8" s="1"/>
  <c r="AI56" i="11"/>
  <c r="I63" i="11"/>
  <c r="E20" i="8" s="1"/>
  <c r="T64" i="11"/>
  <c r="P21" i="8" s="1"/>
  <c r="T65" i="11"/>
  <c r="P22" i="8" s="1"/>
  <c r="T58" i="11"/>
  <c r="P15" i="8" s="1"/>
  <c r="H59" i="11"/>
  <c r="D16" i="8" s="1"/>
  <c r="I47" i="11"/>
  <c r="E4" i="8" s="1"/>
  <c r="R54" i="11"/>
  <c r="N11" i="8" s="1"/>
  <c r="AI69" i="11"/>
  <c r="AE26" i="8" s="1"/>
  <c r="AE60" i="11"/>
  <c r="AA17" i="8" s="1"/>
  <c r="AE48" i="11"/>
  <c r="AA5" i="8" s="1"/>
  <c r="AE52" i="11"/>
  <c r="AA9" i="8" s="1"/>
  <c r="AE61" i="11"/>
  <c r="AA18" i="8" s="1"/>
  <c r="AE47" i="11"/>
  <c r="AA4" i="8" s="1"/>
  <c r="AE69" i="11"/>
  <c r="AA26" i="8" s="1"/>
  <c r="AE58" i="11"/>
  <c r="AA15" i="8" s="1"/>
  <c r="AE62" i="11"/>
  <c r="AA19" i="8" s="1"/>
  <c r="AE72" i="11"/>
  <c r="AE46" i="11"/>
  <c r="AE53" i="11"/>
  <c r="AA10" i="8" s="1"/>
  <c r="AE51" i="11"/>
  <c r="AA8" i="8" s="1"/>
  <c r="AE56" i="11"/>
  <c r="AE71" i="11"/>
  <c r="AA28" i="8" s="1"/>
  <c r="AE68" i="11"/>
  <c r="AA25" i="8" s="1"/>
  <c r="L58" i="11"/>
  <c r="H15" i="8" s="1"/>
  <c r="L48" i="11"/>
  <c r="H5" i="8" s="1"/>
  <c r="L61" i="11"/>
  <c r="H18" i="8" s="1"/>
  <c r="L66" i="11"/>
  <c r="H23" i="8" s="1"/>
  <c r="L46" i="11"/>
  <c r="L47" i="11"/>
  <c r="H4" i="8" s="1"/>
  <c r="L56" i="11"/>
  <c r="L60" i="11"/>
  <c r="H17" i="8" s="1"/>
  <c r="L71" i="11"/>
  <c r="H28" i="8" s="1"/>
  <c r="L53" i="11"/>
  <c r="H10" i="8" s="1"/>
  <c r="L72" i="11"/>
  <c r="L65" i="11"/>
  <c r="H22" i="8" s="1"/>
  <c r="L64" i="11"/>
  <c r="H21" i="8" s="1"/>
  <c r="T74" i="11"/>
  <c r="AC70" i="11"/>
  <c r="Y27" i="8" s="1"/>
  <c r="H70" i="11"/>
  <c r="D27" i="8" s="1"/>
  <c r="AL68" i="11"/>
  <c r="AH25" i="8" s="1"/>
  <c r="U64" i="11"/>
  <c r="Q21" i="8" s="1"/>
  <c r="AI64" i="11"/>
  <c r="AE21" i="8" s="1"/>
  <c r="T62" i="11"/>
  <c r="P19" i="8" s="1"/>
  <c r="T60" i="11"/>
  <c r="P17" i="8" s="1"/>
  <c r="AC58" i="11"/>
  <c r="Y15" i="8" s="1"/>
  <c r="AF56" i="11"/>
  <c r="L54" i="11"/>
  <c r="H11" i="8" s="1"/>
  <c r="F73" i="11"/>
  <c r="B30" i="8" s="1"/>
  <c r="V71" i="11"/>
  <c r="R28" i="8" s="1"/>
  <c r="Y50" i="11"/>
  <c r="P48" i="11"/>
  <c r="L5" i="8" s="1"/>
  <c r="Z59" i="11"/>
  <c r="V16" i="8" s="1"/>
  <c r="AC47" i="11"/>
  <c r="Y4" i="8" s="1"/>
  <c r="Q47" i="11"/>
  <c r="M4" i="8" s="1"/>
  <c r="AL49" i="11"/>
  <c r="AH6" i="8" s="1"/>
  <c r="AK50" i="11"/>
  <c r="AK55" i="11"/>
  <c r="AG12" i="8" s="1"/>
  <c r="AK73" i="11"/>
  <c r="AK54" i="11"/>
  <c r="AG11" i="8" s="1"/>
  <c r="AK72" i="11"/>
  <c r="AK71" i="11"/>
  <c r="AG28" i="8" s="1"/>
  <c r="AK52" i="11"/>
  <c r="AG9" i="8" s="1"/>
  <c r="AK68" i="11"/>
  <c r="AG25" i="8" s="1"/>
  <c r="AK69" i="11"/>
  <c r="AG26" i="8" s="1"/>
  <c r="AK56" i="11"/>
  <c r="AK58" i="11"/>
  <c r="AG15" i="8" s="1"/>
  <c r="AK53" i="11"/>
  <c r="AG10" i="8" s="1"/>
  <c r="AK51" i="11"/>
  <c r="AG8" i="8" s="1"/>
  <c r="AK70" i="11"/>
  <c r="AG27" i="8" s="1"/>
  <c r="Q69" i="11"/>
  <c r="M26" i="8" s="1"/>
  <c r="U69" i="11"/>
  <c r="Q26" i="8" s="1"/>
  <c r="AB57" i="11"/>
  <c r="X14" i="8" s="1"/>
  <c r="G57" i="11"/>
  <c r="C14" i="8" s="1"/>
  <c r="AL52" i="11"/>
  <c r="AH9" i="8" s="1"/>
  <c r="J64" i="11"/>
  <c r="F21" i="8" s="1"/>
  <c r="J70" i="11"/>
  <c r="F27" i="8" s="1"/>
  <c r="J54" i="11"/>
  <c r="F11" i="8" s="1"/>
  <c r="J62" i="11"/>
  <c r="F19" i="8" s="1"/>
  <c r="J51" i="11"/>
  <c r="F8" i="8" s="1"/>
  <c r="J56" i="11"/>
  <c r="J53" i="11"/>
  <c r="F10" i="8" s="1"/>
  <c r="J61" i="11"/>
  <c r="F18" i="8" s="1"/>
  <c r="J65" i="11"/>
  <c r="F22" i="8" s="1"/>
  <c r="J58" i="11"/>
  <c r="F15" i="8" s="1"/>
  <c r="J59" i="11"/>
  <c r="F16" i="8" s="1"/>
  <c r="AC74" i="11"/>
  <c r="AE74" i="11"/>
  <c r="J74" i="11"/>
  <c r="R68" i="11"/>
  <c r="N25" i="8" s="1"/>
  <c r="H68" i="11"/>
  <c r="D25" i="8" s="1"/>
  <c r="AI66" i="11"/>
  <c r="AE23" i="8" s="1"/>
  <c r="J66" i="11"/>
  <c r="F23" i="8" s="1"/>
  <c r="W64" i="11"/>
  <c r="S21" i="8" s="1"/>
  <c r="I62" i="11"/>
  <c r="E19" i="8" s="1"/>
  <c r="W62" i="11"/>
  <c r="S19" i="8" s="1"/>
  <c r="K60" i="11"/>
  <c r="G17" i="8" s="1"/>
  <c r="AF58" i="11"/>
  <c r="AB15" i="8" s="1"/>
  <c r="Q56" i="11"/>
  <c r="AC54" i="11"/>
  <c r="Y11" i="8" s="1"/>
  <c r="H52" i="11"/>
  <c r="D9" i="8" s="1"/>
  <c r="AE65" i="11"/>
  <c r="AA22" i="8" s="1"/>
  <c r="V61" i="11"/>
  <c r="R18" i="8" s="1"/>
  <c r="I69" i="11"/>
  <c r="E26" i="8" s="1"/>
  <c r="K46" i="11"/>
  <c r="R50" i="11"/>
  <c r="AC53" i="11"/>
  <c r="Y10" i="8" s="1"/>
  <c r="G71" i="11"/>
  <c r="C28" i="8" s="1"/>
  <c r="AI55" i="11"/>
  <c r="AE12" i="8" s="1"/>
  <c r="AJ46" i="11"/>
  <c r="AF57" i="11"/>
  <c r="AB14" i="8" s="1"/>
  <c r="L50" i="11"/>
  <c r="U74" i="11"/>
  <c r="S69" i="11"/>
  <c r="O26" i="8" s="1"/>
  <c r="T57" i="11"/>
  <c r="P14" i="8" s="1"/>
  <c r="S49" i="11"/>
  <c r="O6" i="8" s="1"/>
  <c r="Z70" i="11"/>
  <c r="V27" i="8" s="1"/>
  <c r="AI68" i="11"/>
  <c r="AE25" i="8" s="1"/>
  <c r="R66" i="11"/>
  <c r="N23" i="8" s="1"/>
  <c r="Z64" i="11"/>
  <c r="V21" i="8" s="1"/>
  <c r="U62" i="11"/>
  <c r="Q19" i="8" s="1"/>
  <c r="U60" i="11"/>
  <c r="Q17" i="8" s="1"/>
  <c r="AA58" i="11"/>
  <c r="W15" i="8" s="1"/>
  <c r="AA56" i="11"/>
  <c r="T54" i="11"/>
  <c r="P11" i="8" s="1"/>
  <c r="AA51" i="11"/>
  <c r="W8" i="8" s="1"/>
  <c r="K73" i="11"/>
  <c r="T73" i="11"/>
  <c r="J73" i="11"/>
  <c r="AG53" i="11"/>
  <c r="AC10" i="8" s="1"/>
  <c r="AI53" i="11"/>
  <c r="AE10" i="8" s="1"/>
  <c r="AA49" i="11"/>
  <c r="W6" i="8" s="1"/>
  <c r="J55" i="11"/>
  <c r="F12" i="8" s="1"/>
  <c r="X46" i="11"/>
  <c r="AA46" i="11"/>
  <c r="I72" i="11"/>
  <c r="J72" i="11"/>
  <c r="T50" i="11"/>
  <c r="J48" i="11"/>
  <c r="F5" i="8" s="1"/>
  <c r="U48" i="11"/>
  <c r="Q5" i="8" s="1"/>
  <c r="X48" i="11"/>
  <c r="T5" i="8" s="1"/>
  <c r="AI51" i="11"/>
  <c r="AE8" i="8" s="1"/>
  <c r="Z47" i="11"/>
  <c r="V4" i="8" s="1"/>
  <c r="R73" i="11"/>
  <c r="N41" i="11"/>
  <c r="R55" i="11"/>
  <c r="N12" i="8" s="1"/>
  <c r="U46" i="11"/>
  <c r="AI46" i="11"/>
  <c r="R72" i="11"/>
  <c r="T72" i="11"/>
  <c r="Z50" i="11"/>
  <c r="Z48" i="11"/>
  <c r="V5" i="8" s="1"/>
  <c r="R48" i="11"/>
  <c r="N5" i="8" s="1"/>
  <c r="S60" i="11"/>
  <c r="O17" i="8" s="1"/>
  <c r="S52" i="11"/>
  <c r="O9" i="8" s="1"/>
  <c r="U52" i="11"/>
  <c r="Q9" i="8" s="1"/>
  <c r="U61" i="11"/>
  <c r="Q18" i="8" s="1"/>
  <c r="U41" i="11"/>
  <c r="Z73" i="11"/>
  <c r="R53" i="11"/>
  <c r="N10" i="8" s="1"/>
  <c r="T53" i="11"/>
  <c r="P10" i="8" s="1"/>
  <c r="U71" i="11"/>
  <c r="Q28" i="8" s="1"/>
  <c r="AI71" i="11"/>
  <c r="AE28" i="8" s="1"/>
  <c r="T71" i="11"/>
  <c r="P28" i="8" s="1"/>
  <c r="X55" i="11"/>
  <c r="T12" i="8" s="1"/>
  <c r="Z55" i="11"/>
  <c r="V12" i="8" s="1"/>
  <c r="AG46" i="11"/>
  <c r="AG50" i="11"/>
  <c r="X50" i="11"/>
  <c r="K48" i="11"/>
  <c r="G5" i="8" s="1"/>
  <c r="S64" i="11"/>
  <c r="O21" i="8" s="1"/>
  <c r="T56" i="11"/>
  <c r="Z65" i="11"/>
  <c r="V22" i="8" s="1"/>
  <c r="R51" i="11"/>
  <c r="N8" i="8" s="1"/>
  <c r="AI47" i="11"/>
  <c r="AE4" i="8" s="1"/>
  <c r="AI73" i="11"/>
  <c r="Z53" i="11"/>
  <c r="V10" i="8" s="1"/>
  <c r="S71" i="11"/>
  <c r="O28" i="8" s="1"/>
  <c r="X47" i="11"/>
  <c r="T4" i="8" s="1"/>
  <c r="J46" i="11"/>
  <c r="I46" i="11"/>
  <c r="T46" i="11"/>
  <c r="AI65" i="11"/>
  <c r="AE22" i="8" s="1"/>
  <c r="AG72" i="11"/>
  <c r="X72" i="11"/>
  <c r="I50" i="11"/>
  <c r="K50" i="11"/>
  <c r="S48" i="11"/>
  <c r="O5" i="8" s="1"/>
  <c r="S57" i="11"/>
  <c r="O14" i="8" s="1"/>
  <c r="T66" i="11"/>
  <c r="P23" i="8" s="1"/>
  <c r="R62" i="11"/>
  <c r="N19" i="8" s="1"/>
  <c r="AA60" i="11"/>
  <c r="W17" i="8" s="1"/>
  <c r="U58" i="11"/>
  <c r="Q15" i="8" s="1"/>
  <c r="X56" i="11"/>
  <c r="Z56" i="11"/>
  <c r="S54" i="11"/>
  <c r="O11" i="8" s="1"/>
  <c r="U54" i="11"/>
  <c r="Q11" i="8" s="1"/>
  <c r="AG52" i="11"/>
  <c r="AC9" i="8" s="1"/>
  <c r="AI52" i="11"/>
  <c r="AE9" i="8" s="1"/>
  <c r="AI61" i="11"/>
  <c r="AE18" i="8" s="1"/>
  <c r="T61" i="11"/>
  <c r="P18" i="8" s="1"/>
  <c r="X51" i="11"/>
  <c r="T8" i="8" s="1"/>
  <c r="Z51" i="11"/>
  <c r="V8" i="8" s="1"/>
  <c r="U73" i="11"/>
  <c r="K47" i="11"/>
  <c r="G4" i="8" s="1"/>
  <c r="AA71" i="11"/>
  <c r="W28" i="8" s="1"/>
  <c r="AG71" i="11"/>
  <c r="AC28" i="8" s="1"/>
  <c r="U55" i="11"/>
  <c r="Q12" i="8" s="1"/>
  <c r="K55" i="11"/>
  <c r="G12" i="8" s="1"/>
  <c r="K72" i="11"/>
  <c r="S50" i="11"/>
  <c r="U50" i="11"/>
  <c r="AA48" i="11"/>
  <c r="W5" i="8" s="1"/>
  <c r="Y72" i="11"/>
  <c r="S72" i="11"/>
  <c r="AA50" i="11"/>
  <c r="T48" i="11"/>
  <c r="P5" i="8" s="1"/>
  <c r="AI48" i="11"/>
  <c r="AE5" i="8" s="1"/>
  <c r="S68" i="11"/>
  <c r="O25" i="8" s="1"/>
  <c r="AI54" i="11"/>
  <c r="AE11" i="8" s="1"/>
  <c r="T52" i="11"/>
  <c r="P9" i="8" s="1"/>
  <c r="U51" i="11"/>
  <c r="Q8" i="8" s="1"/>
  <c r="U53" i="11"/>
  <c r="Q10" i="8" s="1"/>
  <c r="R71" i="11"/>
  <c r="N28" i="8" s="1"/>
  <c r="AA55" i="11"/>
  <c r="W12" i="8" s="1"/>
  <c r="D34" i="4"/>
  <c r="AA116" i="12" l="1"/>
  <c r="O116" i="12"/>
  <c r="W116" i="12"/>
  <c r="AE116" i="12"/>
  <c r="AJ116" i="12"/>
  <c r="AD116" i="12"/>
  <c r="AB116" i="12"/>
  <c r="AH116" i="12"/>
  <c r="E43" i="8"/>
  <c r="I115" i="12"/>
  <c r="AB49" i="8"/>
  <c r="AF114" i="12"/>
  <c r="AG49" i="8"/>
  <c r="AK114" i="12"/>
  <c r="V43" i="8"/>
  <c r="Z115" i="12"/>
  <c r="P43" i="8"/>
  <c r="T115" i="12"/>
  <c r="N116" i="12"/>
  <c r="X43" i="8"/>
  <c r="AB115" i="12"/>
  <c r="V116" i="12"/>
  <c r="D49" i="8"/>
  <c r="H114" i="12"/>
  <c r="AA49" i="8"/>
  <c r="AE114" i="12"/>
  <c r="Y116" i="12"/>
  <c r="Z43" i="8"/>
  <c r="AD115" i="12"/>
  <c r="F43" i="8"/>
  <c r="J115" i="12"/>
  <c r="R116" i="12"/>
  <c r="F49" i="8"/>
  <c r="J114" i="12"/>
  <c r="Y43" i="8"/>
  <c r="AC115" i="12"/>
  <c r="H49" i="8"/>
  <c r="L114" i="12"/>
  <c r="C43" i="8"/>
  <c r="G115" i="12"/>
  <c r="J43" i="8"/>
  <c r="N115" i="12"/>
  <c r="R43" i="8"/>
  <c r="V115" i="12"/>
  <c r="D43" i="8"/>
  <c r="H115" i="12"/>
  <c r="H116" i="12"/>
  <c r="U43" i="8"/>
  <c r="Y115" i="12"/>
  <c r="AA43" i="8"/>
  <c r="AE115" i="12"/>
  <c r="T49" i="8"/>
  <c r="X114" i="12"/>
  <c r="I49" i="8"/>
  <c r="M114" i="12"/>
  <c r="AB43" i="8"/>
  <c r="AF115" i="12"/>
  <c r="L116" i="12"/>
  <c r="AH43" i="8"/>
  <c r="AL115" i="12"/>
  <c r="K43" i="8"/>
  <c r="O115" i="12"/>
  <c r="H43" i="8"/>
  <c r="L115" i="12"/>
  <c r="Q43" i="8"/>
  <c r="U115" i="12"/>
  <c r="K49" i="8"/>
  <c r="O114" i="12"/>
  <c r="R49" i="8"/>
  <c r="V114" i="12"/>
  <c r="AK116" i="12"/>
  <c r="AD49" i="8"/>
  <c r="AH114" i="12"/>
  <c r="Z49" i="8"/>
  <c r="AD114" i="12"/>
  <c r="J116" i="12"/>
  <c r="X116" i="12"/>
  <c r="AE49" i="8"/>
  <c r="AI114" i="12"/>
  <c r="AC49" i="8"/>
  <c r="AG114" i="12"/>
  <c r="W43" i="8"/>
  <c r="AA115" i="12"/>
  <c r="N49" i="8"/>
  <c r="R114" i="12"/>
  <c r="M116" i="12"/>
  <c r="E49" i="8"/>
  <c r="I114" i="12"/>
  <c r="P49" i="8"/>
  <c r="T114" i="12"/>
  <c r="J49" i="8"/>
  <c r="N114" i="12"/>
  <c r="AC116" i="12"/>
  <c r="S43" i="8"/>
  <c r="W115" i="12"/>
  <c r="N43" i="8"/>
  <c r="R115" i="12"/>
  <c r="P116" i="12"/>
  <c r="K116" i="12"/>
  <c r="O49" i="8"/>
  <c r="S114" i="12"/>
  <c r="AH49" i="8"/>
  <c r="AL114" i="12"/>
  <c r="W49" i="8"/>
  <c r="AA114" i="12"/>
  <c r="O43" i="8"/>
  <c r="S115" i="12"/>
  <c r="G116" i="12"/>
  <c r="AG43" i="8"/>
  <c r="AK115" i="12"/>
  <c r="AK117" i="12" s="1"/>
  <c r="AF43" i="8"/>
  <c r="AJ115" i="12"/>
  <c r="L49" i="8"/>
  <c r="P114" i="12"/>
  <c r="T43" i="8"/>
  <c r="X115" i="12"/>
  <c r="AF116" i="12"/>
  <c r="Z116" i="12"/>
  <c r="AD43" i="8"/>
  <c r="AH115" i="12"/>
  <c r="X49" i="8"/>
  <c r="AB114" i="12"/>
  <c r="C49" i="8"/>
  <c r="G114" i="12"/>
  <c r="AL116" i="12"/>
  <c r="I43" i="8"/>
  <c r="M115" i="12"/>
  <c r="U116" i="12"/>
  <c r="T116" i="12"/>
  <c r="M49" i="8"/>
  <c r="Q114" i="12"/>
  <c r="S49" i="8"/>
  <c r="W114" i="12"/>
  <c r="Q49" i="8"/>
  <c r="U114" i="12"/>
  <c r="M43" i="8"/>
  <c r="Q115" i="12"/>
  <c r="AF49" i="8"/>
  <c r="AJ114" i="12"/>
  <c r="G43" i="8"/>
  <c r="K115" i="12"/>
  <c r="AE43" i="8"/>
  <c r="AI115" i="12"/>
  <c r="AI117" i="12" s="1"/>
  <c r="S116" i="12"/>
  <c r="AC43" i="8"/>
  <c r="AG115" i="12"/>
  <c r="Q116" i="12"/>
  <c r="L43" i="8"/>
  <c r="P115" i="12"/>
  <c r="U49" i="8"/>
  <c r="Y114" i="12"/>
  <c r="G49" i="8"/>
  <c r="K114" i="12"/>
  <c r="V49" i="8"/>
  <c r="Z114" i="12"/>
  <c r="Y49" i="8"/>
  <c r="AC114" i="12"/>
  <c r="B43" i="8"/>
  <c r="F115" i="12"/>
  <c r="B49" i="8"/>
  <c r="F114" i="12"/>
  <c r="T7" i="8"/>
  <c r="X115" i="11"/>
  <c r="V7" i="8"/>
  <c r="Z115" i="11"/>
  <c r="AB7" i="8"/>
  <c r="AF115" i="11"/>
  <c r="AH7" i="8"/>
  <c r="AL115" i="11"/>
  <c r="I7" i="8"/>
  <c r="M115" i="11"/>
  <c r="F7" i="8"/>
  <c r="J115" i="11"/>
  <c r="Q7" i="8"/>
  <c r="U115" i="11"/>
  <c r="O7" i="8"/>
  <c r="S115" i="11"/>
  <c r="G7" i="8"/>
  <c r="K115" i="11"/>
  <c r="U7" i="8"/>
  <c r="Y115" i="11"/>
  <c r="AD7" i="8"/>
  <c r="AH115" i="11"/>
  <c r="S7" i="8"/>
  <c r="W115" i="11"/>
  <c r="AF7" i="8"/>
  <c r="AJ115" i="11"/>
  <c r="Y7" i="8"/>
  <c r="AC115" i="11"/>
  <c r="E7" i="8"/>
  <c r="I115" i="11"/>
  <c r="P7" i="8"/>
  <c r="T115" i="11"/>
  <c r="N7" i="8"/>
  <c r="R115" i="11"/>
  <c r="M7" i="8"/>
  <c r="Q115" i="11"/>
  <c r="J7" i="8"/>
  <c r="N115" i="11"/>
  <c r="D7" i="8"/>
  <c r="H115" i="11"/>
  <c r="Z7" i="8"/>
  <c r="AD115" i="11"/>
  <c r="AG7" i="8"/>
  <c r="AK115" i="11"/>
  <c r="AE7" i="8"/>
  <c r="AI115" i="11"/>
  <c r="X7" i="8"/>
  <c r="AB115" i="11"/>
  <c r="R7" i="8"/>
  <c r="V115" i="11"/>
  <c r="AA7" i="8"/>
  <c r="AE115" i="11"/>
  <c r="K7" i="8"/>
  <c r="O115" i="11"/>
  <c r="W7" i="8"/>
  <c r="AA115" i="11"/>
  <c r="AC7" i="8"/>
  <c r="AG115" i="11"/>
  <c r="H7" i="8"/>
  <c r="L115" i="11"/>
  <c r="L7" i="8"/>
  <c r="P115" i="11"/>
  <c r="C7" i="8"/>
  <c r="G115" i="11"/>
  <c r="B7" i="8"/>
  <c r="F115" i="11"/>
  <c r="F116" i="11" s="1"/>
  <c r="AA13" i="8"/>
  <c r="AH3" i="8"/>
  <c r="Q13" i="8"/>
  <c r="E3" i="8"/>
  <c r="H3" i="8"/>
  <c r="AD3" i="8"/>
  <c r="X3" i="8"/>
  <c r="P3" i="8"/>
  <c r="X13" i="8"/>
  <c r="S3" i="8"/>
  <c r="F3" i="8"/>
  <c r="P13" i="8"/>
  <c r="AE3" i="8"/>
  <c r="W13" i="8"/>
  <c r="K13" i="8"/>
  <c r="Y3" i="8"/>
  <c r="L13" i="8"/>
  <c r="C13" i="8"/>
  <c r="Z3" i="8"/>
  <c r="AD13" i="8"/>
  <c r="V13" i="8"/>
  <c r="Q3" i="8"/>
  <c r="M13" i="8"/>
  <c r="AA3" i="8"/>
  <c r="AH13" i="8"/>
  <c r="AB3" i="8"/>
  <c r="S13" i="8"/>
  <c r="J13" i="8"/>
  <c r="D3" i="8"/>
  <c r="T3" i="8"/>
  <c r="T13" i="8"/>
  <c r="AG13" i="8"/>
  <c r="I3" i="8"/>
  <c r="I13" i="8"/>
  <c r="R3" i="8"/>
  <c r="U13" i="8"/>
  <c r="Z13" i="8"/>
  <c r="Y13" i="8"/>
  <c r="K3" i="8"/>
  <c r="AF3" i="8"/>
  <c r="O3" i="8"/>
  <c r="G3" i="8"/>
  <c r="F13" i="8"/>
  <c r="AE13" i="8"/>
  <c r="C3" i="8"/>
  <c r="N13" i="8"/>
  <c r="AF13" i="8"/>
  <c r="AC13" i="8"/>
  <c r="E13" i="8"/>
  <c r="AG3" i="8"/>
  <c r="M3" i="8"/>
  <c r="D13" i="8"/>
  <c r="L3" i="8"/>
  <c r="R13" i="8"/>
  <c r="O13" i="8"/>
  <c r="AC3" i="8"/>
  <c r="W3" i="8"/>
  <c r="AB13" i="8"/>
  <c r="H13" i="8"/>
  <c r="G13" i="8"/>
  <c r="N3" i="8"/>
  <c r="J3" i="8"/>
  <c r="U3" i="8"/>
  <c r="V3" i="8"/>
  <c r="I42" i="8"/>
  <c r="C45" i="8"/>
  <c r="Y42" i="8"/>
  <c r="Y45" i="8"/>
  <c r="AA45" i="8"/>
  <c r="AG45" i="8"/>
  <c r="L42" i="8"/>
  <c r="G42" i="8"/>
  <c r="Q45" i="8"/>
  <c r="C42" i="8"/>
  <c r="E45" i="8"/>
  <c r="K45" i="8"/>
  <c r="AE45" i="8"/>
  <c r="D45" i="8"/>
  <c r="AF42" i="8"/>
  <c r="AB42" i="8"/>
  <c r="V42" i="8"/>
  <c r="AH42" i="8"/>
  <c r="Q42" i="8"/>
  <c r="P42" i="8"/>
  <c r="F45" i="8"/>
  <c r="U45" i="8"/>
  <c r="AF45" i="8"/>
  <c r="Z45" i="8"/>
  <c r="N45" i="8"/>
  <c r="AB45" i="8"/>
  <c r="AH45" i="8"/>
  <c r="O42" i="8"/>
  <c r="J45" i="8"/>
  <c r="M45" i="8"/>
  <c r="M42" i="8"/>
  <c r="R45" i="8"/>
  <c r="Z42" i="8"/>
  <c r="G45" i="8"/>
  <c r="H45" i="8"/>
  <c r="AC45" i="8"/>
  <c r="J42" i="8"/>
  <c r="X42" i="8"/>
  <c r="R42" i="8"/>
  <c r="U42" i="8"/>
  <c r="N42" i="8"/>
  <c r="V45" i="8"/>
  <c r="AD42" i="8"/>
  <c r="I45" i="8"/>
  <c r="AE42" i="8"/>
  <c r="AC42" i="8"/>
  <c r="W42" i="8"/>
  <c r="K42" i="8"/>
  <c r="E42" i="8"/>
  <c r="P45" i="8"/>
  <c r="S42" i="8"/>
  <c r="X45" i="8"/>
  <c r="AA42" i="8"/>
  <c r="L45" i="8"/>
  <c r="W45" i="8"/>
  <c r="D42" i="8"/>
  <c r="H42" i="8"/>
  <c r="S45" i="8"/>
  <c r="AG42" i="8"/>
  <c r="F42" i="8"/>
  <c r="O45" i="8"/>
  <c r="AD45" i="8"/>
  <c r="T42" i="8"/>
  <c r="T45" i="8"/>
  <c r="F116" i="12"/>
  <c r="B42" i="8"/>
  <c r="B45" i="8"/>
  <c r="B3" i="8"/>
  <c r="B13" i="8"/>
  <c r="B22" i="8"/>
  <c r="B5" i="8"/>
  <c r="B8" i="8"/>
  <c r="N37" i="4"/>
  <c r="V37" i="4"/>
  <c r="AD37" i="4"/>
  <c r="AL37" i="4"/>
  <c r="U37" i="4"/>
  <c r="G37" i="4"/>
  <c r="O37" i="4"/>
  <c r="W37" i="4"/>
  <c r="AE37" i="4"/>
  <c r="AC37" i="4"/>
  <c r="H37" i="4"/>
  <c r="P37" i="4"/>
  <c r="X37" i="4"/>
  <c r="AF37" i="4"/>
  <c r="M37" i="4"/>
  <c r="AK37" i="4"/>
  <c r="I37" i="4"/>
  <c r="Q37" i="4"/>
  <c r="Y37" i="4"/>
  <c r="AG37" i="4"/>
  <c r="J37" i="4"/>
  <c r="R37" i="4"/>
  <c r="Z37" i="4"/>
  <c r="AH37" i="4"/>
  <c r="K37" i="4"/>
  <c r="S37" i="4"/>
  <c r="AA37" i="4"/>
  <c r="AI37" i="4"/>
  <c r="L37" i="4"/>
  <c r="T37" i="4"/>
  <c r="AB37" i="4"/>
  <c r="AJ37" i="4"/>
  <c r="N35" i="4"/>
  <c r="V35" i="4"/>
  <c r="AD35" i="4"/>
  <c r="AL35" i="4"/>
  <c r="AC35" i="4"/>
  <c r="G35" i="4"/>
  <c r="O35" i="4"/>
  <c r="W35" i="4"/>
  <c r="AE35" i="4"/>
  <c r="M35" i="4"/>
  <c r="H35" i="4"/>
  <c r="P35" i="4"/>
  <c r="X35" i="4"/>
  <c r="AF35" i="4"/>
  <c r="U35" i="4"/>
  <c r="AK35" i="4"/>
  <c r="I35" i="4"/>
  <c r="Q35" i="4"/>
  <c r="Y35" i="4"/>
  <c r="AG35" i="4"/>
  <c r="J35" i="4"/>
  <c r="R35" i="4"/>
  <c r="Z35" i="4"/>
  <c r="AH35" i="4"/>
  <c r="K35" i="4"/>
  <c r="S35" i="4"/>
  <c r="AA35" i="4"/>
  <c r="AI35" i="4"/>
  <c r="L35" i="4"/>
  <c r="T35" i="4"/>
  <c r="AB35" i="4"/>
  <c r="AJ35" i="4"/>
  <c r="N36" i="4"/>
  <c r="V36" i="4"/>
  <c r="AD36" i="4"/>
  <c r="AL36" i="4"/>
  <c r="M36" i="4"/>
  <c r="AC36" i="4"/>
  <c r="AK36" i="4"/>
  <c r="G36" i="4"/>
  <c r="O36" i="4"/>
  <c r="W36" i="4"/>
  <c r="AE36" i="4"/>
  <c r="H36" i="4"/>
  <c r="P36" i="4"/>
  <c r="X36" i="4"/>
  <c r="AF36" i="4"/>
  <c r="U36" i="4"/>
  <c r="I36" i="4"/>
  <c r="Q36" i="4"/>
  <c r="Y36" i="4"/>
  <c r="AG36" i="4"/>
  <c r="J36" i="4"/>
  <c r="R36" i="4"/>
  <c r="Z36" i="4"/>
  <c r="AH36" i="4"/>
  <c r="K36" i="4"/>
  <c r="S36" i="4"/>
  <c r="AA36" i="4"/>
  <c r="AI36" i="4"/>
  <c r="L36" i="4"/>
  <c r="T36" i="4"/>
  <c r="AB36" i="4"/>
  <c r="AJ36" i="4"/>
  <c r="N34" i="4"/>
  <c r="V34" i="4"/>
  <c r="AD34" i="4"/>
  <c r="AL34" i="4"/>
  <c r="G34" i="4"/>
  <c r="O34" i="4"/>
  <c r="W34" i="4"/>
  <c r="AE34" i="4"/>
  <c r="H34" i="4"/>
  <c r="P34" i="4"/>
  <c r="X34" i="4"/>
  <c r="AF34" i="4"/>
  <c r="I34" i="4"/>
  <c r="Q34" i="4"/>
  <c r="Y34" i="4"/>
  <c r="AG34" i="4"/>
  <c r="AK34" i="4"/>
  <c r="J34" i="4"/>
  <c r="R34" i="4"/>
  <c r="Z34" i="4"/>
  <c r="AH34" i="4"/>
  <c r="AC34" i="4"/>
  <c r="K34" i="4"/>
  <c r="S34" i="4"/>
  <c r="AA34" i="4"/>
  <c r="AI34" i="4"/>
  <c r="U34" i="4"/>
  <c r="L34" i="4"/>
  <c r="T34" i="4"/>
  <c r="AB34" i="4"/>
  <c r="AJ34" i="4"/>
  <c r="M34" i="4"/>
  <c r="M117" i="12" l="1"/>
  <c r="Q117" i="12"/>
  <c r="F117" i="12"/>
  <c r="P117" i="12"/>
  <c r="AG117" i="12"/>
  <c r="H117" i="12"/>
  <c r="R117" i="12"/>
  <c r="AD117" i="12"/>
  <c r="AF117" i="12"/>
  <c r="L117" i="12"/>
  <c r="W117" i="12"/>
  <c r="J117" i="12"/>
  <c r="AH117" i="12"/>
  <c r="AJ117" i="12"/>
  <c r="G117" i="12"/>
  <c r="Z117" i="12"/>
  <c r="O117" i="12"/>
  <c r="K117" i="12"/>
  <c r="AB117" i="12"/>
  <c r="X117" i="12"/>
  <c r="AL117" i="12"/>
  <c r="V117" i="12"/>
  <c r="AC117" i="12"/>
  <c r="S117" i="12"/>
  <c r="AA117" i="12"/>
  <c r="AE117" i="12"/>
  <c r="U117" i="12"/>
  <c r="N117" i="12"/>
  <c r="T117" i="12"/>
  <c r="I117" i="12"/>
  <c r="Y117" i="12"/>
  <c r="G116" i="11"/>
  <c r="G118" i="11" s="1"/>
  <c r="G117" i="11"/>
  <c r="AA116" i="11"/>
  <c r="AA118" i="11" s="1"/>
  <c r="AA117" i="11"/>
  <c r="AB116" i="11"/>
  <c r="AB118" i="11" s="1"/>
  <c r="AB117" i="11"/>
  <c r="H116" i="11"/>
  <c r="H118" i="11" s="1"/>
  <c r="H117" i="11"/>
  <c r="T116" i="11"/>
  <c r="T118" i="11" s="1"/>
  <c r="T117" i="11"/>
  <c r="W116" i="11"/>
  <c r="W118" i="11" s="1"/>
  <c r="W117" i="11"/>
  <c r="S116" i="11"/>
  <c r="S118" i="11" s="1"/>
  <c r="S117" i="11"/>
  <c r="AL116" i="11"/>
  <c r="AL118" i="11" s="1"/>
  <c r="AL117" i="11"/>
  <c r="P116" i="11"/>
  <c r="P118" i="11" s="1"/>
  <c r="P117" i="11"/>
  <c r="O116" i="11"/>
  <c r="O118" i="11" s="1"/>
  <c r="O117" i="11"/>
  <c r="AI116" i="11"/>
  <c r="AI118" i="11" s="1"/>
  <c r="AI117" i="11"/>
  <c r="N116" i="11"/>
  <c r="N118" i="11" s="1"/>
  <c r="N117" i="11"/>
  <c r="I116" i="11"/>
  <c r="I118" i="11" s="1"/>
  <c r="I117" i="11"/>
  <c r="AH116" i="11"/>
  <c r="AH118" i="11" s="1"/>
  <c r="AH117" i="11"/>
  <c r="U116" i="11"/>
  <c r="U118" i="11" s="1"/>
  <c r="U117" i="11"/>
  <c r="AF116" i="11"/>
  <c r="AF118" i="11" s="1"/>
  <c r="AF117" i="11"/>
  <c r="L116" i="11"/>
  <c r="L118" i="11" s="1"/>
  <c r="L117" i="11"/>
  <c r="AE116" i="11"/>
  <c r="AE118" i="11" s="1"/>
  <c r="AE117" i="11"/>
  <c r="AK116" i="11"/>
  <c r="AK118" i="11" s="1"/>
  <c r="AK117" i="11"/>
  <c r="Q116" i="11"/>
  <c r="Q118" i="11" s="1"/>
  <c r="Q117" i="11"/>
  <c r="AC116" i="11"/>
  <c r="AC118" i="11" s="1"/>
  <c r="AC117" i="11"/>
  <c r="Y116" i="11"/>
  <c r="Y118" i="11" s="1"/>
  <c r="Y117" i="11"/>
  <c r="J116" i="11"/>
  <c r="J118" i="11" s="1"/>
  <c r="J117" i="11"/>
  <c r="Z116" i="11"/>
  <c r="Z118" i="11" s="1"/>
  <c r="Z117" i="11"/>
  <c r="AG116" i="11"/>
  <c r="AG118" i="11" s="1"/>
  <c r="AG117" i="11"/>
  <c r="V116" i="11"/>
  <c r="V118" i="11" s="1"/>
  <c r="V117" i="11"/>
  <c r="AD116" i="11"/>
  <c r="AD118" i="11" s="1"/>
  <c r="AD117" i="11"/>
  <c r="R116" i="11"/>
  <c r="R118" i="11" s="1"/>
  <c r="R117" i="11"/>
  <c r="AJ116" i="11"/>
  <c r="AJ118" i="11" s="1"/>
  <c r="AJ117" i="11"/>
  <c r="K116" i="11"/>
  <c r="K118" i="11" s="1"/>
  <c r="K117" i="11"/>
  <c r="M116" i="11"/>
  <c r="M118" i="11" s="1"/>
  <c r="M117" i="11"/>
  <c r="X116" i="11"/>
  <c r="X118" i="11" s="1"/>
  <c r="X117" i="11"/>
  <c r="F117" i="11"/>
  <c r="F118" i="11"/>
  <c r="F37" i="4"/>
  <c r="E37" i="4"/>
  <c r="E34" i="4"/>
  <c r="F35" i="4"/>
  <c r="E35" i="4"/>
  <c r="F36" i="4"/>
  <c r="E36" i="4"/>
  <c r="F34" i="4"/>
  <c r="B114" i="12" l="1"/>
  <c r="B115" i="12"/>
  <c r="E122" i="12" a="1"/>
  <c r="AL135" i="12" s="1"/>
  <c r="V29" i="8"/>
  <c r="AC30" i="8"/>
  <c r="N30" i="8"/>
  <c r="U29" i="8"/>
  <c r="AA30" i="8"/>
  <c r="Q30" i="8"/>
  <c r="J31" i="8"/>
  <c r="AD30" i="8"/>
  <c r="I30" i="8"/>
  <c r="AF30" i="8"/>
  <c r="P29" i="8"/>
  <c r="W30" i="8"/>
  <c r="L31" i="8"/>
  <c r="AB30" i="8"/>
  <c r="O31" i="8"/>
  <c r="AA29" i="8"/>
  <c r="AA31" i="8"/>
  <c r="Z31" i="8"/>
  <c r="Y30" i="8"/>
  <c r="L30" i="8"/>
  <c r="P30" i="8"/>
  <c r="N31" i="8"/>
  <c r="AG29" i="8"/>
  <c r="S31" i="8"/>
  <c r="R31" i="8"/>
  <c r="R29" i="8"/>
  <c r="Z30" i="8"/>
  <c r="T30" i="8"/>
  <c r="V30" i="8"/>
  <c r="X30" i="8"/>
  <c r="AD29" i="8"/>
  <c r="AD31" i="8"/>
  <c r="AB31" i="8"/>
  <c r="Z29" i="8"/>
  <c r="U31" i="8"/>
  <c r="J29" i="8"/>
  <c r="AG30" i="8"/>
  <c r="V31" i="8"/>
  <c r="AC29" i="8"/>
  <c r="AF29" i="8"/>
  <c r="AF31" i="8"/>
  <c r="W31" i="8"/>
  <c r="AH30" i="8"/>
  <c r="AE31" i="8"/>
  <c r="O29" i="8"/>
  <c r="AB29" i="8"/>
  <c r="G30" i="8"/>
  <c r="N29" i="8"/>
  <c r="K31" i="8"/>
  <c r="H31" i="8"/>
  <c r="K29" i="8"/>
  <c r="T31" i="8"/>
  <c r="K30" i="8"/>
  <c r="M30" i="8"/>
  <c r="O30" i="8"/>
  <c r="F29" i="8"/>
  <c r="G31" i="8"/>
  <c r="P31" i="8"/>
  <c r="W29" i="8"/>
  <c r="S29" i="8"/>
  <c r="L29" i="8"/>
  <c r="J30" i="8"/>
  <c r="S30" i="8"/>
  <c r="U30" i="8"/>
  <c r="H29" i="8"/>
  <c r="M31" i="8"/>
  <c r="Q31" i="8"/>
  <c r="G29" i="8"/>
  <c r="T29" i="8"/>
  <c r="AE30" i="8"/>
  <c r="AC31" i="8"/>
  <c r="AG31" i="8"/>
  <c r="Q29" i="8"/>
  <c r="AH29" i="8"/>
  <c r="AH31" i="8"/>
  <c r="R30" i="8"/>
  <c r="F30" i="8"/>
  <c r="H30" i="8"/>
  <c r="Y31" i="8"/>
  <c r="F31" i="8"/>
  <c r="Y29" i="8"/>
  <c r="M29" i="8"/>
  <c r="AE29" i="8"/>
  <c r="I31" i="8"/>
  <c r="I29" i="8"/>
  <c r="X31" i="8"/>
  <c r="X29" i="8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E123" i="12" l="1"/>
  <c r="AJ129" i="12"/>
  <c r="I131" i="12"/>
  <c r="P132" i="12"/>
  <c r="O133" i="12"/>
  <c r="N134" i="12"/>
  <c r="M135" i="12"/>
  <c r="E124" i="12"/>
  <c r="AF131" i="12"/>
  <c r="E133" i="12"/>
  <c r="L134" i="12"/>
  <c r="K135" i="12"/>
  <c r="G122" i="12"/>
  <c r="F123" i="12"/>
  <c r="M124" i="12"/>
  <c r="AB133" i="12"/>
  <c r="AI134" i="12"/>
  <c r="E122" i="12"/>
  <c r="AL122" i="12"/>
  <c r="AK123" i="12"/>
  <c r="AJ124" i="12"/>
  <c r="U124" i="12"/>
  <c r="X135" i="12"/>
  <c r="AJ122" i="12"/>
  <c r="AI123" i="12"/>
  <c r="AH124" i="12"/>
  <c r="AG125" i="12"/>
  <c r="AF126" i="12"/>
  <c r="R122" i="12"/>
  <c r="Y123" i="12"/>
  <c r="AF124" i="12"/>
  <c r="AE125" i="12"/>
  <c r="AD126" i="12"/>
  <c r="AC127" i="12"/>
  <c r="AB128" i="12"/>
  <c r="Q130" i="12"/>
  <c r="N124" i="12"/>
  <c r="U125" i="12"/>
  <c r="AB126" i="12"/>
  <c r="AA127" i="12"/>
  <c r="Z128" i="12"/>
  <c r="Y129" i="12"/>
  <c r="X130" i="12"/>
  <c r="U132" i="12"/>
  <c r="J126" i="12"/>
  <c r="Q127" i="12"/>
  <c r="X128" i="12"/>
  <c r="W129" i="12"/>
  <c r="V130" i="12"/>
  <c r="U131" i="12"/>
  <c r="T132" i="12"/>
  <c r="Y134" i="12"/>
  <c r="F128" i="12"/>
  <c r="M129" i="12"/>
  <c r="T130" i="12"/>
  <c r="S131" i="12"/>
  <c r="R132" i="12"/>
  <c r="Q133" i="12"/>
  <c r="P134" i="12"/>
  <c r="M132" i="12"/>
  <c r="Q134" i="12"/>
  <c r="W123" i="12"/>
  <c r="AA125" i="12"/>
  <c r="AI125" i="12"/>
  <c r="I126" i="12"/>
  <c r="Q126" i="12"/>
  <c r="Z122" i="12"/>
  <c r="V124" i="12"/>
  <c r="R126" i="12"/>
  <c r="N128" i="12"/>
  <c r="J130" i="12"/>
  <c r="F132" i="12"/>
  <c r="AJ133" i="12"/>
  <c r="AF135" i="12"/>
  <c r="AG123" i="12"/>
  <c r="AC125" i="12"/>
  <c r="Y127" i="12"/>
  <c r="U129" i="12"/>
  <c r="Q131" i="12"/>
  <c r="M133" i="12"/>
  <c r="I135" i="12"/>
  <c r="J123" i="12"/>
  <c r="F125" i="12"/>
  <c r="AJ126" i="12"/>
  <c r="AF128" i="12"/>
  <c r="AB130" i="12"/>
  <c r="X132" i="12"/>
  <c r="T134" i="12"/>
  <c r="M122" i="12"/>
  <c r="I124" i="12"/>
  <c r="E126" i="12"/>
  <c r="AI127" i="12"/>
  <c r="AE129" i="12"/>
  <c r="AA131" i="12"/>
  <c r="W133" i="12"/>
  <c r="S135" i="12"/>
  <c r="L123" i="12"/>
  <c r="H125" i="12"/>
  <c r="AL126" i="12"/>
  <c r="AH128" i="12"/>
  <c r="AD130" i="12"/>
  <c r="Z132" i="12"/>
  <c r="V134" i="12"/>
  <c r="O122" i="12"/>
  <c r="K124" i="12"/>
  <c r="G126" i="12"/>
  <c r="AK127" i="12"/>
  <c r="AG129" i="12"/>
  <c r="AC131" i="12"/>
  <c r="Y133" i="12"/>
  <c r="U135" i="12"/>
  <c r="N123" i="12"/>
  <c r="J125" i="12"/>
  <c r="F127" i="12"/>
  <c r="AJ128" i="12"/>
  <c r="AF130" i="12"/>
  <c r="AB132" i="12"/>
  <c r="X134" i="12"/>
  <c r="I134" i="12"/>
  <c r="O123" i="12"/>
  <c r="S125" i="12"/>
  <c r="W127" i="12"/>
  <c r="AE127" i="12"/>
  <c r="E128" i="12"/>
  <c r="M128" i="12"/>
  <c r="AH122" i="12"/>
  <c r="AD124" i="12"/>
  <c r="Z126" i="12"/>
  <c r="V128" i="12"/>
  <c r="R130" i="12"/>
  <c r="N132" i="12"/>
  <c r="J134" i="12"/>
  <c r="K122" i="12"/>
  <c r="G124" i="12"/>
  <c r="AK125" i="12"/>
  <c r="AG127" i="12"/>
  <c r="AC129" i="12"/>
  <c r="Y131" i="12"/>
  <c r="U133" i="12"/>
  <c r="Q135" i="12"/>
  <c r="R123" i="12"/>
  <c r="N125" i="12"/>
  <c r="J127" i="12"/>
  <c r="F129" i="12"/>
  <c r="AJ130" i="12"/>
  <c r="AF132" i="12"/>
  <c r="AB134" i="12"/>
  <c r="U122" i="12"/>
  <c r="Q124" i="12"/>
  <c r="M126" i="12"/>
  <c r="I128" i="12"/>
  <c r="E130" i="12"/>
  <c r="AI131" i="12"/>
  <c r="AE133" i="12"/>
  <c r="AA135" i="12"/>
  <c r="T123" i="12"/>
  <c r="P125" i="12"/>
  <c r="L127" i="12"/>
  <c r="H129" i="12"/>
  <c r="AL130" i="12"/>
  <c r="AH132" i="12"/>
  <c r="AD134" i="12"/>
  <c r="W122" i="12"/>
  <c r="S124" i="12"/>
  <c r="O126" i="12"/>
  <c r="K128" i="12"/>
  <c r="G130" i="12"/>
  <c r="AK131" i="12"/>
  <c r="AG133" i="12"/>
  <c r="AC135" i="12"/>
  <c r="V123" i="12"/>
  <c r="R125" i="12"/>
  <c r="N127" i="12"/>
  <c r="J129" i="12"/>
  <c r="F131" i="12"/>
  <c r="AJ132" i="12"/>
  <c r="AF134" i="12"/>
  <c r="G123" i="12"/>
  <c r="K125" i="12"/>
  <c r="O127" i="12"/>
  <c r="S129" i="12"/>
  <c r="AA129" i="12"/>
  <c r="AI129" i="12"/>
  <c r="I130" i="12"/>
  <c r="H123" i="12"/>
  <c r="AL124" i="12"/>
  <c r="AH126" i="12"/>
  <c r="AD128" i="12"/>
  <c r="Z130" i="12"/>
  <c r="V132" i="12"/>
  <c r="R134" i="12"/>
  <c r="S122" i="12"/>
  <c r="O124" i="12"/>
  <c r="K126" i="12"/>
  <c r="G128" i="12"/>
  <c r="AK129" i="12"/>
  <c r="AG131" i="12"/>
  <c r="AC133" i="12"/>
  <c r="Y135" i="12"/>
  <c r="Z123" i="12"/>
  <c r="V125" i="12"/>
  <c r="R127" i="12"/>
  <c r="N129" i="12"/>
  <c r="J131" i="12"/>
  <c r="F133" i="12"/>
  <c r="AJ134" i="12"/>
  <c r="AC122" i="12"/>
  <c r="Y124" i="12"/>
  <c r="U126" i="12"/>
  <c r="Q128" i="12"/>
  <c r="M130" i="12"/>
  <c r="I132" i="12"/>
  <c r="E134" i="12"/>
  <c r="AI135" i="12"/>
  <c r="AB123" i="12"/>
  <c r="X125" i="12"/>
  <c r="T127" i="12"/>
  <c r="P129" i="12"/>
  <c r="L131" i="12"/>
  <c r="H133" i="12"/>
  <c r="AL134" i="12"/>
  <c r="AE122" i="12"/>
  <c r="AA124" i="12"/>
  <c r="W126" i="12"/>
  <c r="S128" i="12"/>
  <c r="O130" i="12"/>
  <c r="K132" i="12"/>
  <c r="G134" i="12"/>
  <c r="AK135" i="12"/>
  <c r="AD123" i="12"/>
  <c r="Z125" i="12"/>
  <c r="V127" i="12"/>
  <c r="R129" i="12"/>
  <c r="N131" i="12"/>
  <c r="J133" i="12"/>
  <c r="F135" i="12"/>
  <c r="AG122" i="12"/>
  <c r="AK124" i="12"/>
  <c r="G127" i="12"/>
  <c r="K129" i="12"/>
  <c r="O131" i="12"/>
  <c r="W131" i="12"/>
  <c r="AE131" i="12"/>
  <c r="E132" i="12"/>
  <c r="P123" i="12"/>
  <c r="L125" i="12"/>
  <c r="H127" i="12"/>
  <c r="AL128" i="12"/>
  <c r="AH130" i="12"/>
  <c r="AD132" i="12"/>
  <c r="Z134" i="12"/>
  <c r="AA122" i="12"/>
  <c r="W124" i="12"/>
  <c r="S126" i="12"/>
  <c r="O128" i="12"/>
  <c r="K130" i="12"/>
  <c r="G132" i="12"/>
  <c r="AK133" i="12"/>
  <c r="AG135" i="12"/>
  <c r="AH123" i="12"/>
  <c r="AD125" i="12"/>
  <c r="Z127" i="12"/>
  <c r="V129" i="12"/>
  <c r="R131" i="12"/>
  <c r="N133" i="12"/>
  <c r="J135" i="12"/>
  <c r="AK122" i="12"/>
  <c r="AG124" i="12"/>
  <c r="AC126" i="12"/>
  <c r="Y128" i="12"/>
  <c r="U130" i="12"/>
  <c r="Q132" i="12"/>
  <c r="M134" i="12"/>
  <c r="F122" i="12"/>
  <c r="AJ123" i="12"/>
  <c r="AF125" i="12"/>
  <c r="AB127" i="12"/>
  <c r="X129" i="12"/>
  <c r="T131" i="12"/>
  <c r="P133" i="12"/>
  <c r="L135" i="12"/>
  <c r="E123" i="12"/>
  <c r="AI124" i="12"/>
  <c r="AE126" i="12"/>
  <c r="AA128" i="12"/>
  <c r="W130" i="12"/>
  <c r="S132" i="12"/>
  <c r="O134" i="12"/>
  <c r="H122" i="12"/>
  <c r="AL123" i="12"/>
  <c r="AH125" i="12"/>
  <c r="AD127" i="12"/>
  <c r="Z129" i="12"/>
  <c r="V131" i="12"/>
  <c r="R133" i="12"/>
  <c r="N135" i="12"/>
  <c r="AC124" i="12"/>
  <c r="AG126" i="12"/>
  <c r="AK128" i="12"/>
  <c r="G131" i="12"/>
  <c r="K133" i="12"/>
  <c r="S133" i="12"/>
  <c r="AA133" i="12"/>
  <c r="AI133" i="12"/>
  <c r="X123" i="12"/>
  <c r="T125" i="12"/>
  <c r="P127" i="12"/>
  <c r="L129" i="12"/>
  <c r="H131" i="12"/>
  <c r="AL132" i="12"/>
  <c r="AH134" i="12"/>
  <c r="AI122" i="12"/>
  <c r="AE124" i="12"/>
  <c r="AA126" i="12"/>
  <c r="W128" i="12"/>
  <c r="S130" i="12"/>
  <c r="O132" i="12"/>
  <c r="K134" i="12"/>
  <c r="L122" i="12"/>
  <c r="H124" i="12"/>
  <c r="AL125" i="12"/>
  <c r="AH127" i="12"/>
  <c r="AD129" i="12"/>
  <c r="Z131" i="12"/>
  <c r="V133" i="12"/>
  <c r="R135" i="12"/>
  <c r="K123" i="12"/>
  <c r="G125" i="12"/>
  <c r="AK126" i="12"/>
  <c r="AG128" i="12"/>
  <c r="AC130" i="12"/>
  <c r="Y132" i="12"/>
  <c r="U134" i="12"/>
  <c r="N122" i="12"/>
  <c r="J124" i="12"/>
  <c r="F126" i="12"/>
  <c r="AJ127" i="12"/>
  <c r="AF129" i="12"/>
  <c r="AB131" i="12"/>
  <c r="X133" i="12"/>
  <c r="T135" i="12"/>
  <c r="M123" i="12"/>
  <c r="I125" i="12"/>
  <c r="E127" i="12"/>
  <c r="AI128" i="12"/>
  <c r="AE130" i="12"/>
  <c r="AA132" i="12"/>
  <c r="W134" i="12"/>
  <c r="P122" i="12"/>
  <c r="L124" i="12"/>
  <c r="H126" i="12"/>
  <c r="AL127" i="12"/>
  <c r="AH129" i="12"/>
  <c r="AD131" i="12"/>
  <c r="Z133" i="12"/>
  <c r="V135" i="12"/>
  <c r="Y126" i="12"/>
  <c r="AC128" i="12"/>
  <c r="AG130" i="12"/>
  <c r="AK132" i="12"/>
  <c r="G135" i="12"/>
  <c r="O135" i="12"/>
  <c r="W135" i="12"/>
  <c r="AE135" i="12"/>
  <c r="AF123" i="12"/>
  <c r="AB125" i="12"/>
  <c r="X127" i="12"/>
  <c r="T129" i="12"/>
  <c r="P131" i="12"/>
  <c r="L133" i="12"/>
  <c r="H135" i="12"/>
  <c r="I123" i="12"/>
  <c r="E125" i="12"/>
  <c r="AI126" i="12"/>
  <c r="AE128" i="12"/>
  <c r="AA130" i="12"/>
  <c r="W132" i="12"/>
  <c r="S134" i="12"/>
  <c r="T122" i="12"/>
  <c r="P124" i="12"/>
  <c r="L126" i="12"/>
  <c r="H128" i="12"/>
  <c r="AL129" i="12"/>
  <c r="AH131" i="12"/>
  <c r="AD133" i="12"/>
  <c r="Z135" i="12"/>
  <c r="S123" i="12"/>
  <c r="O125" i="12"/>
  <c r="K127" i="12"/>
  <c r="G129" i="12"/>
  <c r="AK130" i="12"/>
  <c r="AG132" i="12"/>
  <c r="AC134" i="12"/>
  <c r="V122" i="12"/>
  <c r="R124" i="12"/>
  <c r="N126" i="12"/>
  <c r="J128" i="12"/>
  <c r="F130" i="12"/>
  <c r="AJ131" i="12"/>
  <c r="AF133" i="12"/>
  <c r="AB135" i="12"/>
  <c r="U123" i="12"/>
  <c r="Q125" i="12"/>
  <c r="M127" i="12"/>
  <c r="I129" i="12"/>
  <c r="E131" i="12"/>
  <c r="AI132" i="12"/>
  <c r="AE134" i="12"/>
  <c r="X122" i="12"/>
  <c r="T124" i="12"/>
  <c r="P126" i="12"/>
  <c r="L128" i="12"/>
  <c r="H130" i="12"/>
  <c r="AL131" i="12"/>
  <c r="AH133" i="12"/>
  <c r="AD135" i="12"/>
  <c r="U128" i="12"/>
  <c r="Y130" i="12"/>
  <c r="AC132" i="12"/>
  <c r="AG134" i="12"/>
  <c r="I122" i="12"/>
  <c r="Q122" i="12"/>
  <c r="Y122" i="12"/>
  <c r="J122" i="12"/>
  <c r="F124" i="12"/>
  <c r="AJ125" i="12"/>
  <c r="AF127" i="12"/>
  <c r="AB129" i="12"/>
  <c r="X131" i="12"/>
  <c r="T133" i="12"/>
  <c r="P135" i="12"/>
  <c r="Q123" i="12"/>
  <c r="M125" i="12"/>
  <c r="I127" i="12"/>
  <c r="E129" i="12"/>
  <c r="AI130" i="12"/>
  <c r="AE132" i="12"/>
  <c r="AA134" i="12"/>
  <c r="AB122" i="12"/>
  <c r="X124" i="12"/>
  <c r="T126" i="12"/>
  <c r="P128" i="12"/>
  <c r="L130" i="12"/>
  <c r="H132" i="12"/>
  <c r="AL133" i="12"/>
  <c r="AH135" i="12"/>
  <c r="AA123" i="12"/>
  <c r="W125" i="12"/>
  <c r="S127" i="12"/>
  <c r="O129" i="12"/>
  <c r="K131" i="12"/>
  <c r="G133" i="12"/>
  <c r="AK134" i="12"/>
  <c r="AD122" i="12"/>
  <c r="Z124" i="12"/>
  <c r="V126" i="12"/>
  <c r="R128" i="12"/>
  <c r="N130" i="12"/>
  <c r="J132" i="12"/>
  <c r="F134" i="12"/>
  <c r="AJ135" i="12"/>
  <c r="AC123" i="12"/>
  <c r="Y125" i="12"/>
  <c r="U127" i="12"/>
  <c r="Q129" i="12"/>
  <c r="M131" i="12"/>
  <c r="I133" i="12"/>
  <c r="E135" i="12"/>
  <c r="AF122" i="12"/>
  <c r="AB124" i="12"/>
  <c r="X126" i="12"/>
  <c r="T128" i="12"/>
  <c r="P130" i="12"/>
  <c r="L132" i="12"/>
  <c r="H134" i="12"/>
  <c r="A2" i="4"/>
  <c r="BA4" i="4" s="1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G46" i="4" l="1"/>
  <c r="T46" i="4"/>
  <c r="Z46" i="4"/>
  <c r="U46" i="4"/>
  <c r="Q46" i="4"/>
  <c r="S46" i="4"/>
  <c r="X46" i="4"/>
  <c r="AF46" i="4"/>
  <c r="AJ46" i="4"/>
  <c r="Y46" i="4"/>
  <c r="N46" i="4"/>
  <c r="P46" i="4"/>
  <c r="AG46" i="4"/>
  <c r="AH46" i="4"/>
  <c r="AA46" i="4"/>
  <c r="AC46" i="4"/>
  <c r="H46" i="4"/>
  <c r="AB46" i="4"/>
  <c r="R46" i="4"/>
  <c r="J46" i="4"/>
  <c r="AI46" i="4"/>
  <c r="V46" i="4"/>
  <c r="AE46" i="4"/>
  <c r="AD46" i="4"/>
  <c r="AK46" i="4"/>
  <c r="AL46" i="4"/>
  <c r="O46" i="4"/>
  <c r="L46" i="4"/>
  <c r="K46" i="4"/>
  <c r="I46" i="4"/>
  <c r="M46" i="4"/>
  <c r="W46" i="4"/>
  <c r="AG48" i="4"/>
  <c r="AH48" i="4"/>
  <c r="AA48" i="4"/>
  <c r="V48" i="4"/>
  <c r="AC48" i="4"/>
  <c r="H48" i="4"/>
  <c r="AK48" i="4"/>
  <c r="G48" i="4"/>
  <c r="T48" i="4"/>
  <c r="Z48" i="4"/>
  <c r="K48" i="4"/>
  <c r="U48" i="4"/>
  <c r="Q48" i="4"/>
  <c r="X48" i="4"/>
  <c r="N48" i="4"/>
  <c r="AJ48" i="4"/>
  <c r="Y48" i="4"/>
  <c r="AB48" i="4"/>
  <c r="I48" i="4"/>
  <c r="M48" i="4"/>
  <c r="W48" i="4"/>
  <c r="R48" i="4"/>
  <c r="AL48" i="4"/>
  <c r="J48" i="4"/>
  <c r="AI48" i="4"/>
  <c r="AD48" i="4"/>
  <c r="AE48" i="4"/>
  <c r="P48" i="4"/>
  <c r="L48" i="4"/>
  <c r="O48" i="4"/>
  <c r="AF48" i="4"/>
  <c r="S48" i="4"/>
  <c r="AJ50" i="4"/>
  <c r="Y50" i="4"/>
  <c r="P50" i="4"/>
  <c r="V50" i="4"/>
  <c r="AG50" i="4"/>
  <c r="AH50" i="4"/>
  <c r="AA50" i="4"/>
  <c r="AC50" i="4"/>
  <c r="H50" i="4"/>
  <c r="AK50" i="4"/>
  <c r="G50" i="4"/>
  <c r="T50" i="4"/>
  <c r="Z50" i="4"/>
  <c r="U50" i="4"/>
  <c r="K50" i="4"/>
  <c r="Q50" i="4"/>
  <c r="N50" i="4"/>
  <c r="S50" i="4"/>
  <c r="AD50" i="4"/>
  <c r="AF50" i="4"/>
  <c r="O50" i="4"/>
  <c r="I50" i="4"/>
  <c r="M50" i="4"/>
  <c r="W50" i="4"/>
  <c r="X50" i="4"/>
  <c r="AB50" i="4"/>
  <c r="R50" i="4"/>
  <c r="AL50" i="4"/>
  <c r="J50" i="4"/>
  <c r="AI50" i="4"/>
  <c r="AE50" i="4"/>
  <c r="L50" i="4"/>
  <c r="Q52" i="4"/>
  <c r="M73" i="8" s="1"/>
  <c r="X52" i="4"/>
  <c r="AF52" i="4"/>
  <c r="AB73" i="8" s="1"/>
  <c r="AJ52" i="4"/>
  <c r="AF73" i="8" s="1"/>
  <c r="Y52" i="4"/>
  <c r="U73" i="8" s="1"/>
  <c r="V52" i="4"/>
  <c r="R73" i="8" s="1"/>
  <c r="AB52" i="4"/>
  <c r="X73" i="8" s="1"/>
  <c r="P52" i="4"/>
  <c r="L73" i="8" s="1"/>
  <c r="AG52" i="4"/>
  <c r="AC73" i="8" s="1"/>
  <c r="AH52" i="4"/>
  <c r="AA52" i="4"/>
  <c r="W73" i="8" s="1"/>
  <c r="AC52" i="4"/>
  <c r="Y73" i="8" s="1"/>
  <c r="H52" i="4"/>
  <c r="D73" i="8" s="1"/>
  <c r="AK52" i="4"/>
  <c r="AG73" i="8" s="1"/>
  <c r="G52" i="4"/>
  <c r="C73" i="8" s="1"/>
  <c r="L52" i="4"/>
  <c r="H73" i="8" s="1"/>
  <c r="AE52" i="4"/>
  <c r="AA73" i="8" s="1"/>
  <c r="K52" i="4"/>
  <c r="T52" i="4"/>
  <c r="P73" i="8" s="1"/>
  <c r="S52" i="4"/>
  <c r="O73" i="8" s="1"/>
  <c r="O52" i="4"/>
  <c r="K73" i="8" s="1"/>
  <c r="U52" i="4"/>
  <c r="Q73" i="8" s="1"/>
  <c r="I52" i="4"/>
  <c r="E73" i="8" s="1"/>
  <c r="M52" i="4"/>
  <c r="I73" i="8" s="1"/>
  <c r="AL52" i="4"/>
  <c r="AH73" i="8" s="1"/>
  <c r="Z52" i="4"/>
  <c r="N52" i="4"/>
  <c r="J73" i="8" s="1"/>
  <c r="AD52" i="4"/>
  <c r="Z73" i="8" s="1"/>
  <c r="W52" i="4"/>
  <c r="S73" i="8" s="1"/>
  <c r="R52" i="4"/>
  <c r="N73" i="8" s="1"/>
  <c r="J52" i="4"/>
  <c r="F73" i="8" s="1"/>
  <c r="AI52" i="4"/>
  <c r="AE73" i="8" s="1"/>
  <c r="N54" i="4"/>
  <c r="G54" i="4"/>
  <c r="T54" i="4"/>
  <c r="Z54" i="4"/>
  <c r="U54" i="4"/>
  <c r="Q54" i="4"/>
  <c r="S54" i="4"/>
  <c r="X54" i="4"/>
  <c r="V54" i="4"/>
  <c r="AF54" i="4"/>
  <c r="AJ54" i="4"/>
  <c r="Y54" i="4"/>
  <c r="P54" i="4"/>
  <c r="AG54" i="4"/>
  <c r="AH54" i="4"/>
  <c r="AA54" i="4"/>
  <c r="AC54" i="4"/>
  <c r="K54" i="4"/>
  <c r="L54" i="4"/>
  <c r="R54" i="4"/>
  <c r="J54" i="4"/>
  <c r="AI54" i="4"/>
  <c r="H54" i="4"/>
  <c r="AE54" i="4"/>
  <c r="O54" i="4"/>
  <c r="AK54" i="4"/>
  <c r="AL54" i="4"/>
  <c r="AD54" i="4"/>
  <c r="I54" i="4"/>
  <c r="M54" i="4"/>
  <c r="AB54" i="4"/>
  <c r="W54" i="4"/>
  <c r="AG56" i="4"/>
  <c r="AC77" i="8" s="1"/>
  <c r="AH56" i="4"/>
  <c r="AA56" i="4"/>
  <c r="W77" i="8" s="1"/>
  <c r="H56" i="4"/>
  <c r="D77" i="8" s="1"/>
  <c r="AK56" i="4"/>
  <c r="AG77" i="8" s="1"/>
  <c r="N56" i="4"/>
  <c r="J77" i="8" s="1"/>
  <c r="K56" i="4"/>
  <c r="G77" i="8" s="1"/>
  <c r="G56" i="4"/>
  <c r="C77" i="8" s="1"/>
  <c r="T56" i="4"/>
  <c r="P77" i="8" s="1"/>
  <c r="Z56" i="4"/>
  <c r="Q56" i="4"/>
  <c r="M77" i="8" s="1"/>
  <c r="V56" i="4"/>
  <c r="R77" i="8" s="1"/>
  <c r="AC56" i="4"/>
  <c r="Y77" i="8" s="1"/>
  <c r="X56" i="4"/>
  <c r="T77" i="8" s="1"/>
  <c r="AJ56" i="4"/>
  <c r="AF77" i="8" s="1"/>
  <c r="Y56" i="4"/>
  <c r="U77" i="8" s="1"/>
  <c r="AB56" i="4"/>
  <c r="X77" i="8" s="1"/>
  <c r="I56" i="4"/>
  <c r="M56" i="4"/>
  <c r="I77" i="8" s="1"/>
  <c r="AF56" i="4"/>
  <c r="AB77" i="8" s="1"/>
  <c r="W56" i="4"/>
  <c r="S77" i="8" s="1"/>
  <c r="L56" i="4"/>
  <c r="H77" i="8" s="1"/>
  <c r="AD56" i="4"/>
  <c r="Z77" i="8" s="1"/>
  <c r="R56" i="4"/>
  <c r="N77" i="8" s="1"/>
  <c r="J56" i="4"/>
  <c r="F77" i="8" s="1"/>
  <c r="AI56" i="4"/>
  <c r="AE56" i="4"/>
  <c r="AA77" i="8" s="1"/>
  <c r="S56" i="4"/>
  <c r="O77" i="8" s="1"/>
  <c r="P56" i="4"/>
  <c r="L77" i="8" s="1"/>
  <c r="U56" i="4"/>
  <c r="Q77" i="8" s="1"/>
  <c r="AL56" i="4"/>
  <c r="AH77" i="8" s="1"/>
  <c r="O56" i="4"/>
  <c r="K77" i="8" s="1"/>
  <c r="AJ58" i="4"/>
  <c r="AF79" i="8" s="1"/>
  <c r="Y58" i="4"/>
  <c r="P58" i="4"/>
  <c r="L79" i="8" s="1"/>
  <c r="U58" i="4"/>
  <c r="Q79" i="8" s="1"/>
  <c r="AG58" i="4"/>
  <c r="AC79" i="8" s="1"/>
  <c r="AH58" i="4"/>
  <c r="AD79" i="8" s="1"/>
  <c r="AA58" i="4"/>
  <c r="W79" i="8" s="1"/>
  <c r="H58" i="4"/>
  <c r="D79" i="8" s="1"/>
  <c r="AK58" i="4"/>
  <c r="AG79" i="8" s="1"/>
  <c r="N58" i="4"/>
  <c r="G58" i="4"/>
  <c r="C79" i="8" s="1"/>
  <c r="T58" i="4"/>
  <c r="P79" i="8" s="1"/>
  <c r="K58" i="4"/>
  <c r="G79" i="8" s="1"/>
  <c r="Z58" i="4"/>
  <c r="V79" i="8" s="1"/>
  <c r="AC58" i="4"/>
  <c r="Y79" i="8" s="1"/>
  <c r="Q58" i="4"/>
  <c r="M79" i="8" s="1"/>
  <c r="V58" i="4"/>
  <c r="R79" i="8" s="1"/>
  <c r="S58" i="4"/>
  <c r="AL58" i="4"/>
  <c r="AH79" i="8" s="1"/>
  <c r="O58" i="4"/>
  <c r="K79" i="8" s="1"/>
  <c r="AF58" i="4"/>
  <c r="AB79" i="8" s="1"/>
  <c r="AB58" i="4"/>
  <c r="X79" i="8" s="1"/>
  <c r="I58" i="4"/>
  <c r="E79" i="8" s="1"/>
  <c r="L58" i="4"/>
  <c r="H79" i="8" s="1"/>
  <c r="W58" i="4"/>
  <c r="S79" i="8" s="1"/>
  <c r="X58" i="4"/>
  <c r="AD58" i="4"/>
  <c r="Z79" i="8" s="1"/>
  <c r="R58" i="4"/>
  <c r="N79" i="8" s="1"/>
  <c r="J58" i="4"/>
  <c r="F79" i="8" s="1"/>
  <c r="AI58" i="4"/>
  <c r="AE79" i="8" s="1"/>
  <c r="M58" i="4"/>
  <c r="I79" i="8" s="1"/>
  <c r="AE58" i="4"/>
  <c r="AA79" i="8" s="1"/>
  <c r="Q60" i="4"/>
  <c r="M81" i="8" s="1"/>
  <c r="V60" i="4"/>
  <c r="X60" i="4"/>
  <c r="T81" i="8" s="1"/>
  <c r="AJ60" i="4"/>
  <c r="AF81" i="8" s="1"/>
  <c r="Y60" i="4"/>
  <c r="U81" i="8" s="1"/>
  <c r="AC60" i="4"/>
  <c r="Y81" i="8" s="1"/>
  <c r="AB60" i="4"/>
  <c r="X81" i="8" s="1"/>
  <c r="P60" i="4"/>
  <c r="L81" i="8" s="1"/>
  <c r="U60" i="4"/>
  <c r="AG60" i="4"/>
  <c r="AH60" i="4"/>
  <c r="AD81" i="8" s="1"/>
  <c r="AA60" i="4"/>
  <c r="W81" i="8" s="1"/>
  <c r="H60" i="4"/>
  <c r="D81" i="8" s="1"/>
  <c r="AK60" i="4"/>
  <c r="AG81" i="8" s="1"/>
  <c r="N60" i="4"/>
  <c r="J81" i="8" s="1"/>
  <c r="G60" i="4"/>
  <c r="C81" i="8" s="1"/>
  <c r="S60" i="4"/>
  <c r="O81" i="8" s="1"/>
  <c r="M60" i="4"/>
  <c r="AE60" i="4"/>
  <c r="AA81" i="8" s="1"/>
  <c r="AL60" i="4"/>
  <c r="AH81" i="8" s="1"/>
  <c r="O60" i="4"/>
  <c r="K81" i="8" s="1"/>
  <c r="T60" i="4"/>
  <c r="P81" i="8" s="1"/>
  <c r="AF60" i="4"/>
  <c r="AB81" i="8" s="1"/>
  <c r="L60" i="4"/>
  <c r="H81" i="8" s="1"/>
  <c r="I60" i="4"/>
  <c r="E81" i="8" s="1"/>
  <c r="W60" i="4"/>
  <c r="Z60" i="4"/>
  <c r="V81" i="8" s="1"/>
  <c r="AD60" i="4"/>
  <c r="Z81" i="8" s="1"/>
  <c r="R60" i="4"/>
  <c r="N81" i="8" s="1"/>
  <c r="J60" i="4"/>
  <c r="F81" i="8" s="1"/>
  <c r="K60" i="4"/>
  <c r="G81" i="8" s="1"/>
  <c r="AI60" i="4"/>
  <c r="AE81" i="8" s="1"/>
  <c r="N62" i="4"/>
  <c r="J83" i="8" s="1"/>
  <c r="G62" i="4"/>
  <c r="T62" i="4"/>
  <c r="P83" i="8" s="1"/>
  <c r="Z62" i="4"/>
  <c r="V83" i="8" s="1"/>
  <c r="Q62" i="4"/>
  <c r="M83" i="8" s="1"/>
  <c r="S62" i="4"/>
  <c r="O83" i="8" s="1"/>
  <c r="AJ62" i="4"/>
  <c r="AF83" i="8" s="1"/>
  <c r="X62" i="4"/>
  <c r="T83" i="8" s="1"/>
  <c r="Y62" i="4"/>
  <c r="U83" i="8" s="1"/>
  <c r="P62" i="4"/>
  <c r="AG62" i="4"/>
  <c r="AC83" i="8" s="1"/>
  <c r="AH62" i="4"/>
  <c r="AD83" i="8" s="1"/>
  <c r="AK62" i="4"/>
  <c r="AG83" i="8" s="1"/>
  <c r="AA62" i="4"/>
  <c r="W83" i="8" s="1"/>
  <c r="V62" i="4"/>
  <c r="R83" i="8" s="1"/>
  <c r="U62" i="4"/>
  <c r="Q83" i="8" s="1"/>
  <c r="AC62" i="4"/>
  <c r="Y83" i="8" s="1"/>
  <c r="AD62" i="4"/>
  <c r="R62" i="4"/>
  <c r="N83" i="8" s="1"/>
  <c r="M62" i="4"/>
  <c r="I83" i="8" s="1"/>
  <c r="J62" i="4"/>
  <c r="F83" i="8" s="1"/>
  <c r="AI62" i="4"/>
  <c r="AE83" i="8" s="1"/>
  <c r="AE62" i="4"/>
  <c r="AA83" i="8" s="1"/>
  <c r="H62" i="4"/>
  <c r="D83" i="8" s="1"/>
  <c r="AL62" i="4"/>
  <c r="AH83" i="8" s="1"/>
  <c r="AF62" i="4"/>
  <c r="O62" i="4"/>
  <c r="K83" i="8" s="1"/>
  <c r="K62" i="4"/>
  <c r="G83" i="8" s="1"/>
  <c r="L62" i="4"/>
  <c r="H83" i="8" s="1"/>
  <c r="AB62" i="4"/>
  <c r="X83" i="8" s="1"/>
  <c r="I62" i="4"/>
  <c r="E83" i="8" s="1"/>
  <c r="W62" i="4"/>
  <c r="S83" i="8" s="1"/>
  <c r="AH64" i="4"/>
  <c r="AD85" i="8" s="1"/>
  <c r="AK64" i="4"/>
  <c r="AA64" i="4"/>
  <c r="W85" i="8" s="1"/>
  <c r="H64" i="4"/>
  <c r="D85" i="8" s="1"/>
  <c r="K64" i="4"/>
  <c r="G85" i="8" s="1"/>
  <c r="N64" i="4"/>
  <c r="J85" i="8" s="1"/>
  <c r="G64" i="4"/>
  <c r="C85" i="8" s="1"/>
  <c r="Z64" i="4"/>
  <c r="V85" i="8" s="1"/>
  <c r="V64" i="4"/>
  <c r="R85" i="8" s="1"/>
  <c r="U64" i="4"/>
  <c r="Q64" i="4"/>
  <c r="M85" i="8" s="1"/>
  <c r="L64" i="4"/>
  <c r="H85" i="8" s="1"/>
  <c r="AJ64" i="4"/>
  <c r="AF85" i="8" s="1"/>
  <c r="T64" i="4"/>
  <c r="P85" i="8" s="1"/>
  <c r="X64" i="4"/>
  <c r="T85" i="8" s="1"/>
  <c r="Y64" i="4"/>
  <c r="U85" i="8" s="1"/>
  <c r="I64" i="4"/>
  <c r="E85" i="8" s="1"/>
  <c r="W64" i="4"/>
  <c r="AC64" i="4"/>
  <c r="Y85" i="8" s="1"/>
  <c r="M64" i="4"/>
  <c r="I85" i="8" s="1"/>
  <c r="S64" i="4"/>
  <c r="O85" i="8" s="1"/>
  <c r="R64" i="4"/>
  <c r="N85" i="8" s="1"/>
  <c r="J64" i="4"/>
  <c r="F85" i="8" s="1"/>
  <c r="AI64" i="4"/>
  <c r="AE85" i="8" s="1"/>
  <c r="AL64" i="4"/>
  <c r="AE64" i="4"/>
  <c r="AF64" i="4"/>
  <c r="AB85" i="8" s="1"/>
  <c r="O64" i="4"/>
  <c r="K85" i="8" s="1"/>
  <c r="AG64" i="4"/>
  <c r="AC85" i="8" s="1"/>
  <c r="P64" i="4"/>
  <c r="L85" i="8" s="1"/>
  <c r="AD64" i="4"/>
  <c r="Z85" i="8" s="1"/>
  <c r="AB64" i="4"/>
  <c r="X85" i="8" s="1"/>
  <c r="Y66" i="4"/>
  <c r="U87" i="8" s="1"/>
  <c r="T66" i="4"/>
  <c r="P66" i="4"/>
  <c r="L87" i="8" s="1"/>
  <c r="Z66" i="4"/>
  <c r="V87" i="8" s="1"/>
  <c r="AG66" i="4"/>
  <c r="AC87" i="8" s="1"/>
  <c r="AA66" i="4"/>
  <c r="W87" i="8" s="1"/>
  <c r="H66" i="4"/>
  <c r="D87" i="8" s="1"/>
  <c r="AC66" i="4"/>
  <c r="Y87" i="8" s="1"/>
  <c r="N66" i="4"/>
  <c r="J87" i="8" s="1"/>
  <c r="AJ66" i="4"/>
  <c r="K66" i="4"/>
  <c r="G87" i="8" s="1"/>
  <c r="G66" i="4"/>
  <c r="C87" i="8" s="1"/>
  <c r="V66" i="4"/>
  <c r="R87" i="8" s="1"/>
  <c r="U66" i="4"/>
  <c r="Q87" i="8" s="1"/>
  <c r="Q66" i="4"/>
  <c r="M87" i="8" s="1"/>
  <c r="AH66" i="4"/>
  <c r="AD87" i="8" s="1"/>
  <c r="L66" i="4"/>
  <c r="H87" i="8" s="1"/>
  <c r="S66" i="4"/>
  <c r="O66" i="4"/>
  <c r="K87" i="8" s="1"/>
  <c r="R66" i="4"/>
  <c r="N87" i="8" s="1"/>
  <c r="I66" i="4"/>
  <c r="E87" i="8" s="1"/>
  <c r="AL66" i="4"/>
  <c r="AH87" i="8" s="1"/>
  <c r="W66" i="4"/>
  <c r="S87" i="8" s="1"/>
  <c r="AD66" i="4"/>
  <c r="Z87" i="8" s="1"/>
  <c r="M66" i="4"/>
  <c r="J66" i="4"/>
  <c r="F87" i="8" s="1"/>
  <c r="AI66" i="4"/>
  <c r="AE87" i="8" s="1"/>
  <c r="AK66" i="4"/>
  <c r="AG87" i="8" s="1"/>
  <c r="X66" i="4"/>
  <c r="T87" i="8" s="1"/>
  <c r="AF66" i="4"/>
  <c r="AB87" i="8" s="1"/>
  <c r="AB66" i="4"/>
  <c r="X87" i="8" s="1"/>
  <c r="AE66" i="4"/>
  <c r="AA87" i="8" s="1"/>
  <c r="Q68" i="4"/>
  <c r="M89" i="8" s="1"/>
  <c r="AH68" i="4"/>
  <c r="AD89" i="8" s="1"/>
  <c r="L68" i="4"/>
  <c r="H89" i="8" s="1"/>
  <c r="AK68" i="4"/>
  <c r="AG89" i="8" s="1"/>
  <c r="X68" i="4"/>
  <c r="T89" i="8" s="1"/>
  <c r="Y68" i="4"/>
  <c r="U89" i="8" s="1"/>
  <c r="T68" i="4"/>
  <c r="P89" i="8" s="1"/>
  <c r="Z68" i="4"/>
  <c r="V89" i="8" s="1"/>
  <c r="H68" i="4"/>
  <c r="D89" i="8" s="1"/>
  <c r="P68" i="4"/>
  <c r="L89" i="8" s="1"/>
  <c r="AG68" i="4"/>
  <c r="AC89" i="8" s="1"/>
  <c r="AA68" i="4"/>
  <c r="W89" i="8" s="1"/>
  <c r="G68" i="4"/>
  <c r="C89" i="8" s="1"/>
  <c r="AC68" i="4"/>
  <c r="Y89" i="8" s="1"/>
  <c r="N68" i="4"/>
  <c r="J89" i="8" s="1"/>
  <c r="AJ68" i="4"/>
  <c r="AF89" i="8" s="1"/>
  <c r="AE68" i="4"/>
  <c r="AA89" i="8" s="1"/>
  <c r="V68" i="4"/>
  <c r="R89" i="8" s="1"/>
  <c r="R68" i="4"/>
  <c r="N89" i="8" s="1"/>
  <c r="O68" i="4"/>
  <c r="K89" i="8" s="1"/>
  <c r="J68" i="4"/>
  <c r="F89" i="8" s="1"/>
  <c r="I68" i="4"/>
  <c r="E89" i="8" s="1"/>
  <c r="U68" i="4"/>
  <c r="Q89" i="8" s="1"/>
  <c r="AL68" i="4"/>
  <c r="AH89" i="8" s="1"/>
  <c r="W68" i="4"/>
  <c r="S89" i="8" s="1"/>
  <c r="S68" i="4"/>
  <c r="O89" i="8" s="1"/>
  <c r="AD68" i="4"/>
  <c r="Z89" i="8" s="1"/>
  <c r="M68" i="4"/>
  <c r="I89" i="8" s="1"/>
  <c r="K68" i="4"/>
  <c r="G89" i="8" s="1"/>
  <c r="AF68" i="4"/>
  <c r="AB89" i="8" s="1"/>
  <c r="AB68" i="4"/>
  <c r="X89" i="8" s="1"/>
  <c r="AI68" i="4"/>
  <c r="AE89" i="8" s="1"/>
  <c r="AJ70" i="4"/>
  <c r="AF91" i="8" s="1"/>
  <c r="AH70" i="4"/>
  <c r="AD91" i="8" s="1"/>
  <c r="V70" i="4"/>
  <c r="R91" i="8" s="1"/>
  <c r="U70" i="4"/>
  <c r="Q91" i="8" s="1"/>
  <c r="Q70" i="4"/>
  <c r="M91" i="8" s="1"/>
  <c r="L70" i="4"/>
  <c r="H91" i="8" s="1"/>
  <c r="S70" i="4"/>
  <c r="O91" i="8" s="1"/>
  <c r="Z70" i="4"/>
  <c r="V91" i="8" s="1"/>
  <c r="AK70" i="4"/>
  <c r="AG91" i="8" s="1"/>
  <c r="X70" i="4"/>
  <c r="T91" i="8" s="1"/>
  <c r="Y70" i="4"/>
  <c r="U91" i="8" s="1"/>
  <c r="T70" i="4"/>
  <c r="P91" i="8" s="1"/>
  <c r="K70" i="4"/>
  <c r="G91" i="8" s="1"/>
  <c r="H70" i="4"/>
  <c r="D91" i="8" s="1"/>
  <c r="P70" i="4"/>
  <c r="L91" i="8" s="1"/>
  <c r="AG70" i="4"/>
  <c r="AC91" i="8" s="1"/>
  <c r="AA70" i="4"/>
  <c r="W91" i="8" s="1"/>
  <c r="G70" i="4"/>
  <c r="C91" i="8" s="1"/>
  <c r="AF70" i="4"/>
  <c r="AB91" i="8" s="1"/>
  <c r="M70" i="4"/>
  <c r="I91" i="8" s="1"/>
  <c r="AC70" i="4"/>
  <c r="Y91" i="8" s="1"/>
  <c r="AB70" i="4"/>
  <c r="X91" i="8" s="1"/>
  <c r="AI70" i="4"/>
  <c r="AE91" i="8" s="1"/>
  <c r="AE70" i="4"/>
  <c r="AA91" i="8" s="1"/>
  <c r="R70" i="4"/>
  <c r="N91" i="8" s="1"/>
  <c r="J70" i="4"/>
  <c r="F91" i="8" s="1"/>
  <c r="N70" i="4"/>
  <c r="J91" i="8" s="1"/>
  <c r="O70" i="4"/>
  <c r="K91" i="8" s="1"/>
  <c r="I70" i="4"/>
  <c r="E91" i="8" s="1"/>
  <c r="AD70" i="4"/>
  <c r="Z91" i="8" s="1"/>
  <c r="AL70" i="4"/>
  <c r="AH91" i="8" s="1"/>
  <c r="W70" i="4"/>
  <c r="S91" i="8" s="1"/>
  <c r="AG72" i="4"/>
  <c r="AC93" i="8" s="1"/>
  <c r="AA72" i="4"/>
  <c r="W93" i="8" s="1"/>
  <c r="K72" i="4"/>
  <c r="G93" i="8" s="1"/>
  <c r="G72" i="4"/>
  <c r="C93" i="8" s="1"/>
  <c r="AC72" i="4"/>
  <c r="Y93" i="8" s="1"/>
  <c r="N72" i="4"/>
  <c r="J93" i="8" s="1"/>
  <c r="AJ72" i="4"/>
  <c r="AF93" i="8" s="1"/>
  <c r="V72" i="4"/>
  <c r="R93" i="8" s="1"/>
  <c r="U72" i="4"/>
  <c r="Q93" i="8" s="1"/>
  <c r="Q72" i="4"/>
  <c r="M93" i="8" s="1"/>
  <c r="Z72" i="4"/>
  <c r="V93" i="8" s="1"/>
  <c r="AK72" i="4"/>
  <c r="AG93" i="8" s="1"/>
  <c r="X72" i="4"/>
  <c r="T93" i="8" s="1"/>
  <c r="Y72" i="4"/>
  <c r="U93" i="8" s="1"/>
  <c r="T72" i="4"/>
  <c r="P93" i="8" s="1"/>
  <c r="P72" i="4"/>
  <c r="L93" i="8" s="1"/>
  <c r="I72" i="4"/>
  <c r="E93" i="8" s="1"/>
  <c r="AF72" i="4"/>
  <c r="L72" i="4"/>
  <c r="H93" i="8" s="1"/>
  <c r="S72" i="4"/>
  <c r="O93" i="8" s="1"/>
  <c r="AD72" i="4"/>
  <c r="Z93" i="8" s="1"/>
  <c r="AL72" i="4"/>
  <c r="AH93" i="8" s="1"/>
  <c r="W72" i="4"/>
  <c r="S93" i="8" s="1"/>
  <c r="M72" i="4"/>
  <c r="I93" i="8" s="1"/>
  <c r="AH72" i="4"/>
  <c r="AB72" i="4"/>
  <c r="X93" i="8" s="1"/>
  <c r="AI72" i="4"/>
  <c r="AE93" i="8" s="1"/>
  <c r="H72" i="4"/>
  <c r="D93" i="8" s="1"/>
  <c r="R72" i="4"/>
  <c r="N93" i="8" s="1"/>
  <c r="AE72" i="4"/>
  <c r="AA93" i="8" s="1"/>
  <c r="J72" i="4"/>
  <c r="F93" i="8" s="1"/>
  <c r="O72" i="4"/>
  <c r="K93" i="8" s="1"/>
  <c r="Y74" i="4"/>
  <c r="U95" i="8" s="1"/>
  <c r="T74" i="4"/>
  <c r="H74" i="4"/>
  <c r="D95" i="8" s="1"/>
  <c r="P74" i="4"/>
  <c r="L95" i="8" s="1"/>
  <c r="AG74" i="4"/>
  <c r="AC95" i="8" s="1"/>
  <c r="AH74" i="4"/>
  <c r="AD95" i="8" s="1"/>
  <c r="AA74" i="4"/>
  <c r="W95" i="8" s="1"/>
  <c r="G74" i="4"/>
  <c r="C95" i="8" s="1"/>
  <c r="K74" i="4"/>
  <c r="G95" i="8" s="1"/>
  <c r="AC74" i="4"/>
  <c r="Y95" i="8" s="1"/>
  <c r="N74" i="4"/>
  <c r="J95" i="8" s="1"/>
  <c r="AJ74" i="4"/>
  <c r="AF95" i="8" s="1"/>
  <c r="Z74" i="4"/>
  <c r="V95" i="8" s="1"/>
  <c r="V74" i="4"/>
  <c r="R95" i="8" s="1"/>
  <c r="U74" i="4"/>
  <c r="Q95" i="8" s="1"/>
  <c r="Q74" i="4"/>
  <c r="M95" i="8" s="1"/>
  <c r="L74" i="4"/>
  <c r="H95" i="8" s="1"/>
  <c r="S74" i="4"/>
  <c r="O95" i="8" s="1"/>
  <c r="O74" i="4"/>
  <c r="K95" i="8" s="1"/>
  <c r="AF74" i="4"/>
  <c r="AB95" i="8" s="1"/>
  <c r="AD74" i="4"/>
  <c r="Z95" i="8" s="1"/>
  <c r="I74" i="4"/>
  <c r="E95" i="8" s="1"/>
  <c r="AL74" i="4"/>
  <c r="AH95" i="8" s="1"/>
  <c r="W74" i="4"/>
  <c r="S95" i="8" s="1"/>
  <c r="M74" i="4"/>
  <c r="I95" i="8" s="1"/>
  <c r="AB74" i="4"/>
  <c r="X95" i="8" s="1"/>
  <c r="R74" i="4"/>
  <c r="N95" i="8" s="1"/>
  <c r="J74" i="4"/>
  <c r="F95" i="8" s="1"/>
  <c r="AI74" i="4"/>
  <c r="AE95" i="8" s="1"/>
  <c r="AE74" i="4"/>
  <c r="AA95" i="8" s="1"/>
  <c r="AK74" i="4"/>
  <c r="AG95" i="8" s="1"/>
  <c r="X74" i="4"/>
  <c r="T95" i="8" s="1"/>
  <c r="H47" i="4"/>
  <c r="D68" i="8" s="1"/>
  <c r="AK47" i="4"/>
  <c r="AG68" i="8" s="1"/>
  <c r="T47" i="4"/>
  <c r="P68" i="8" s="1"/>
  <c r="Z47" i="4"/>
  <c r="V68" i="8" s="1"/>
  <c r="U47" i="4"/>
  <c r="Q68" i="8" s="1"/>
  <c r="Q47" i="4"/>
  <c r="M68" i="8" s="1"/>
  <c r="N47" i="4"/>
  <c r="J68" i="8" s="1"/>
  <c r="X47" i="4"/>
  <c r="T68" i="8" s="1"/>
  <c r="AF47" i="4"/>
  <c r="AB68" i="8" s="1"/>
  <c r="AJ47" i="4"/>
  <c r="AF68" i="8" s="1"/>
  <c r="Y47" i="4"/>
  <c r="U68" i="8" s="1"/>
  <c r="P47" i="4"/>
  <c r="L68" i="8" s="1"/>
  <c r="V47" i="4"/>
  <c r="R68" i="8" s="1"/>
  <c r="L47" i="4"/>
  <c r="H68" i="8" s="1"/>
  <c r="AH47" i="4"/>
  <c r="AD68" i="8" s="1"/>
  <c r="AA47" i="4"/>
  <c r="W68" i="8" s="1"/>
  <c r="W47" i="4"/>
  <c r="S68" i="8" s="1"/>
  <c r="AB47" i="4"/>
  <c r="X68" i="8" s="1"/>
  <c r="R47" i="4"/>
  <c r="N68" i="8" s="1"/>
  <c r="J47" i="4"/>
  <c r="F68" i="8" s="1"/>
  <c r="AI47" i="4"/>
  <c r="AE68" i="8" s="1"/>
  <c r="AE47" i="4"/>
  <c r="AA68" i="8" s="1"/>
  <c r="K47" i="4"/>
  <c r="G68" i="8" s="1"/>
  <c r="AG47" i="4"/>
  <c r="AC68" i="8" s="1"/>
  <c r="O47" i="4"/>
  <c r="K68" i="8" s="1"/>
  <c r="S47" i="4"/>
  <c r="O68" i="8" s="1"/>
  <c r="AL47" i="4"/>
  <c r="AH68" i="8" s="1"/>
  <c r="AC47" i="4"/>
  <c r="Y68" i="8" s="1"/>
  <c r="G47" i="4"/>
  <c r="C68" i="8" s="1"/>
  <c r="AD47" i="4"/>
  <c r="Z68" i="8" s="1"/>
  <c r="I47" i="4"/>
  <c r="E68" i="8" s="1"/>
  <c r="M47" i="4"/>
  <c r="I68" i="8" s="1"/>
  <c r="P49" i="4"/>
  <c r="L49" i="4"/>
  <c r="AG49" i="4"/>
  <c r="AH49" i="4"/>
  <c r="AA49" i="4"/>
  <c r="AC49" i="4"/>
  <c r="H49" i="4"/>
  <c r="AK49" i="4"/>
  <c r="T49" i="4"/>
  <c r="Z49" i="4"/>
  <c r="U49" i="4"/>
  <c r="N49" i="4"/>
  <c r="Q49" i="4"/>
  <c r="K49" i="4"/>
  <c r="X49" i="4"/>
  <c r="AF49" i="4"/>
  <c r="V49" i="4"/>
  <c r="G49" i="4"/>
  <c r="S49" i="4"/>
  <c r="AD49" i="4"/>
  <c r="I49" i="4"/>
  <c r="M49" i="4"/>
  <c r="AJ49" i="4"/>
  <c r="W49" i="4"/>
  <c r="AB49" i="4"/>
  <c r="R49" i="4"/>
  <c r="J49" i="4"/>
  <c r="AI49" i="4"/>
  <c r="AE49" i="4"/>
  <c r="Y49" i="4"/>
  <c r="AL49" i="4"/>
  <c r="O49" i="4"/>
  <c r="K51" i="4"/>
  <c r="X51" i="4"/>
  <c r="V51" i="4"/>
  <c r="AF51" i="4"/>
  <c r="AJ51" i="4"/>
  <c r="Y51" i="4"/>
  <c r="P51" i="4"/>
  <c r="L51" i="4"/>
  <c r="AG51" i="4"/>
  <c r="AH51" i="4"/>
  <c r="AA51" i="4"/>
  <c r="AC51" i="4"/>
  <c r="H51" i="4"/>
  <c r="AK51" i="4"/>
  <c r="N51" i="4"/>
  <c r="T51" i="4"/>
  <c r="Z51" i="4"/>
  <c r="U51" i="4"/>
  <c r="AD51" i="4"/>
  <c r="AL51" i="4"/>
  <c r="Q51" i="4"/>
  <c r="G51" i="4"/>
  <c r="S51" i="4"/>
  <c r="O51" i="4"/>
  <c r="I51" i="4"/>
  <c r="M51" i="4"/>
  <c r="W51" i="4"/>
  <c r="AB51" i="4"/>
  <c r="R51" i="4"/>
  <c r="J51" i="4"/>
  <c r="AI51" i="4"/>
  <c r="AE51" i="4"/>
  <c r="T53" i="4"/>
  <c r="P74" i="8" s="1"/>
  <c r="Z53" i="4"/>
  <c r="V74" i="8" s="1"/>
  <c r="U53" i="4"/>
  <c r="Q74" i="8" s="1"/>
  <c r="Q53" i="4"/>
  <c r="M74" i="8" s="1"/>
  <c r="V53" i="4"/>
  <c r="R74" i="8" s="1"/>
  <c r="X53" i="4"/>
  <c r="T74" i="8" s="1"/>
  <c r="AF53" i="4"/>
  <c r="AB74" i="8" s="1"/>
  <c r="AJ53" i="4"/>
  <c r="AF74" i="8" s="1"/>
  <c r="Y53" i="4"/>
  <c r="U74" i="8" s="1"/>
  <c r="P53" i="4"/>
  <c r="L74" i="8" s="1"/>
  <c r="L53" i="4"/>
  <c r="H74" i="8" s="1"/>
  <c r="AG53" i="4"/>
  <c r="AC74" i="8" s="1"/>
  <c r="AH53" i="4"/>
  <c r="AD74" i="8" s="1"/>
  <c r="AA53" i="4"/>
  <c r="W74" i="8" s="1"/>
  <c r="AC53" i="4"/>
  <c r="Y74" i="8" s="1"/>
  <c r="H53" i="4"/>
  <c r="D74" i="8" s="1"/>
  <c r="AK53" i="4"/>
  <c r="AG74" i="8" s="1"/>
  <c r="N53" i="4"/>
  <c r="J74" i="8" s="1"/>
  <c r="R53" i="4"/>
  <c r="N74" i="8" s="1"/>
  <c r="J53" i="4"/>
  <c r="F74" i="8" s="1"/>
  <c r="AI53" i="4"/>
  <c r="AE74" i="8" s="1"/>
  <c r="AD53" i="4"/>
  <c r="Z74" i="8" s="1"/>
  <c r="AL53" i="4"/>
  <c r="AH74" i="8" s="1"/>
  <c r="AE53" i="4"/>
  <c r="AA74" i="8" s="1"/>
  <c r="G53" i="4"/>
  <c r="C74" i="8" s="1"/>
  <c r="S53" i="4"/>
  <c r="O74" i="8" s="1"/>
  <c r="O53" i="4"/>
  <c r="K74" i="8" s="1"/>
  <c r="I53" i="4"/>
  <c r="E74" i="8" s="1"/>
  <c r="K53" i="4"/>
  <c r="G74" i="8" s="1"/>
  <c r="M53" i="4"/>
  <c r="I74" i="8" s="1"/>
  <c r="AB53" i="4"/>
  <c r="X74" i="8" s="1"/>
  <c r="W53" i="4"/>
  <c r="S74" i="8" s="1"/>
  <c r="H55" i="4"/>
  <c r="D76" i="8" s="1"/>
  <c r="AK55" i="4"/>
  <c r="AG76" i="8" s="1"/>
  <c r="T55" i="4"/>
  <c r="P76" i="8" s="1"/>
  <c r="Z55" i="4"/>
  <c r="V76" i="8" s="1"/>
  <c r="V55" i="4"/>
  <c r="R76" i="8" s="1"/>
  <c r="U55" i="4"/>
  <c r="Q76" i="8" s="1"/>
  <c r="K55" i="4"/>
  <c r="G76" i="8" s="1"/>
  <c r="Q55" i="4"/>
  <c r="M76" i="8" s="1"/>
  <c r="X55" i="4"/>
  <c r="T76" i="8" s="1"/>
  <c r="AF55" i="4"/>
  <c r="AB76" i="8" s="1"/>
  <c r="AJ55" i="4"/>
  <c r="AF76" i="8" s="1"/>
  <c r="Y55" i="4"/>
  <c r="U76" i="8" s="1"/>
  <c r="P55" i="4"/>
  <c r="L76" i="8" s="1"/>
  <c r="L55" i="4"/>
  <c r="H76" i="8" s="1"/>
  <c r="AC55" i="4"/>
  <c r="Y76" i="8" s="1"/>
  <c r="AB55" i="4"/>
  <c r="X76" i="8" s="1"/>
  <c r="W55" i="4"/>
  <c r="S76" i="8" s="1"/>
  <c r="AH55" i="4"/>
  <c r="AD76" i="8" s="1"/>
  <c r="AA55" i="4"/>
  <c r="W76" i="8" s="1"/>
  <c r="AD55" i="4"/>
  <c r="Z76" i="8" s="1"/>
  <c r="R55" i="4"/>
  <c r="N76" i="8" s="1"/>
  <c r="AL55" i="4"/>
  <c r="AH76" i="8" s="1"/>
  <c r="J55" i="4"/>
  <c r="F76" i="8" s="1"/>
  <c r="AI55" i="4"/>
  <c r="AE76" i="8" s="1"/>
  <c r="N55" i="4"/>
  <c r="J76" i="8" s="1"/>
  <c r="G55" i="4"/>
  <c r="C76" i="8" s="1"/>
  <c r="AE55" i="4"/>
  <c r="AA76" i="8" s="1"/>
  <c r="S55" i="4"/>
  <c r="O76" i="8" s="1"/>
  <c r="O55" i="4"/>
  <c r="K76" i="8" s="1"/>
  <c r="AG55" i="4"/>
  <c r="AC76" i="8" s="1"/>
  <c r="I55" i="4"/>
  <c r="E76" i="8" s="1"/>
  <c r="M55" i="4"/>
  <c r="I76" i="8" s="1"/>
  <c r="P57" i="4"/>
  <c r="L78" i="8" s="1"/>
  <c r="U57" i="4"/>
  <c r="Q78" i="8" s="1"/>
  <c r="AC57" i="4"/>
  <c r="Y78" i="8" s="1"/>
  <c r="L57" i="4"/>
  <c r="H78" i="8" s="1"/>
  <c r="AG57" i="4"/>
  <c r="AC78" i="8" s="1"/>
  <c r="AH57" i="4"/>
  <c r="AD78" i="8" s="1"/>
  <c r="AA57" i="4"/>
  <c r="W78" i="8" s="1"/>
  <c r="H57" i="4"/>
  <c r="D78" i="8" s="1"/>
  <c r="AK57" i="4"/>
  <c r="AG78" i="8" s="1"/>
  <c r="N57" i="4"/>
  <c r="J78" i="8" s="1"/>
  <c r="T57" i="4"/>
  <c r="P78" i="8" s="1"/>
  <c r="Z57" i="4"/>
  <c r="V78" i="8" s="1"/>
  <c r="Q57" i="4"/>
  <c r="M78" i="8" s="1"/>
  <c r="K57" i="4"/>
  <c r="G78" i="8" s="1"/>
  <c r="V57" i="4"/>
  <c r="R78" i="8" s="1"/>
  <c r="X57" i="4"/>
  <c r="T78" i="8" s="1"/>
  <c r="AF57" i="4"/>
  <c r="AB78" i="8" s="1"/>
  <c r="AB57" i="4"/>
  <c r="X78" i="8" s="1"/>
  <c r="I57" i="4"/>
  <c r="E78" i="8" s="1"/>
  <c r="W57" i="4"/>
  <c r="S78" i="8" s="1"/>
  <c r="AJ57" i="4"/>
  <c r="AF78" i="8" s="1"/>
  <c r="G57" i="4"/>
  <c r="C78" i="8" s="1"/>
  <c r="AD57" i="4"/>
  <c r="Z78" i="8" s="1"/>
  <c r="R57" i="4"/>
  <c r="N78" i="8" s="1"/>
  <c r="J57" i="4"/>
  <c r="F78" i="8" s="1"/>
  <c r="AI57" i="4"/>
  <c r="AE78" i="8" s="1"/>
  <c r="M57" i="4"/>
  <c r="I78" i="8" s="1"/>
  <c r="AE57" i="4"/>
  <c r="AA78" i="8" s="1"/>
  <c r="S57" i="4"/>
  <c r="O78" i="8" s="1"/>
  <c r="Y57" i="4"/>
  <c r="U78" i="8" s="1"/>
  <c r="AL57" i="4"/>
  <c r="AH78" i="8" s="1"/>
  <c r="O57" i="4"/>
  <c r="K78" i="8" s="1"/>
  <c r="X59" i="4"/>
  <c r="T80" i="8" s="1"/>
  <c r="AF59" i="4"/>
  <c r="AB80" i="8" s="1"/>
  <c r="AJ59" i="4"/>
  <c r="AF80" i="8" s="1"/>
  <c r="Y59" i="4"/>
  <c r="U80" i="8" s="1"/>
  <c r="AC59" i="4"/>
  <c r="Y80" i="8" s="1"/>
  <c r="P59" i="4"/>
  <c r="L80" i="8" s="1"/>
  <c r="U59" i="4"/>
  <c r="Q80" i="8" s="1"/>
  <c r="L59" i="4"/>
  <c r="H80" i="8" s="1"/>
  <c r="AD59" i="4"/>
  <c r="Z80" i="8" s="1"/>
  <c r="AG59" i="4"/>
  <c r="AC80" i="8" s="1"/>
  <c r="AH59" i="4"/>
  <c r="AD80" i="8" s="1"/>
  <c r="AA59" i="4"/>
  <c r="W80" i="8" s="1"/>
  <c r="H59" i="4"/>
  <c r="D80" i="8" s="1"/>
  <c r="AK59" i="4"/>
  <c r="AG80" i="8" s="1"/>
  <c r="N59" i="4"/>
  <c r="J80" i="8" s="1"/>
  <c r="T59" i="4"/>
  <c r="P80" i="8" s="1"/>
  <c r="Z59" i="4"/>
  <c r="V80" i="8" s="1"/>
  <c r="AL59" i="4"/>
  <c r="AH80" i="8" s="1"/>
  <c r="O59" i="4"/>
  <c r="K80" i="8" s="1"/>
  <c r="Q59" i="4"/>
  <c r="M80" i="8" s="1"/>
  <c r="V59" i="4"/>
  <c r="R80" i="8" s="1"/>
  <c r="AB59" i="4"/>
  <c r="X80" i="8" s="1"/>
  <c r="I59" i="4"/>
  <c r="E80" i="8" s="1"/>
  <c r="W59" i="4"/>
  <c r="S80" i="8" s="1"/>
  <c r="G59" i="4"/>
  <c r="C80" i="8" s="1"/>
  <c r="R59" i="4"/>
  <c r="N80" i="8" s="1"/>
  <c r="J59" i="4"/>
  <c r="F80" i="8" s="1"/>
  <c r="AI59" i="4"/>
  <c r="AE80" i="8" s="1"/>
  <c r="S59" i="4"/>
  <c r="O80" i="8" s="1"/>
  <c r="M59" i="4"/>
  <c r="I80" i="8" s="1"/>
  <c r="AE59" i="4"/>
  <c r="AA80" i="8" s="1"/>
  <c r="K59" i="4"/>
  <c r="G80" i="8" s="1"/>
  <c r="Z61" i="4"/>
  <c r="V82" i="8" s="1"/>
  <c r="Q61" i="4"/>
  <c r="M82" i="8" s="1"/>
  <c r="AC61" i="4"/>
  <c r="Y82" i="8" s="1"/>
  <c r="T61" i="4"/>
  <c r="P82" i="8" s="1"/>
  <c r="AK61" i="4"/>
  <c r="AG82" i="8" s="1"/>
  <c r="X61" i="4"/>
  <c r="T82" i="8" s="1"/>
  <c r="AF61" i="4"/>
  <c r="AB82" i="8" s="1"/>
  <c r="Y61" i="4"/>
  <c r="U82" i="8" s="1"/>
  <c r="P61" i="4"/>
  <c r="L82" i="8" s="1"/>
  <c r="V61" i="4"/>
  <c r="R82" i="8" s="1"/>
  <c r="U61" i="4"/>
  <c r="Q82" i="8" s="1"/>
  <c r="AG61" i="4"/>
  <c r="AC82" i="8" s="1"/>
  <c r="AH61" i="4"/>
  <c r="AD82" i="8" s="1"/>
  <c r="AA61" i="4"/>
  <c r="W82" i="8" s="1"/>
  <c r="H61" i="4"/>
  <c r="D82" i="8" s="1"/>
  <c r="N61" i="4"/>
  <c r="J82" i="8" s="1"/>
  <c r="R61" i="4"/>
  <c r="N82" i="8" s="1"/>
  <c r="J61" i="4"/>
  <c r="F82" i="8" s="1"/>
  <c r="AI61" i="4"/>
  <c r="AE82" i="8" s="1"/>
  <c r="S61" i="4"/>
  <c r="O82" i="8" s="1"/>
  <c r="M61" i="4"/>
  <c r="I82" i="8" s="1"/>
  <c r="AE61" i="4"/>
  <c r="AA82" i="8" s="1"/>
  <c r="L61" i="4"/>
  <c r="H82" i="8" s="1"/>
  <c r="AD61" i="4"/>
  <c r="Z82" i="8" s="1"/>
  <c r="O61" i="4"/>
  <c r="K82" i="8" s="1"/>
  <c r="AB61" i="4"/>
  <c r="X82" i="8" s="1"/>
  <c r="K61" i="4"/>
  <c r="G82" i="8" s="1"/>
  <c r="AJ61" i="4"/>
  <c r="AF82" i="8" s="1"/>
  <c r="I61" i="4"/>
  <c r="E82" i="8" s="1"/>
  <c r="G61" i="4"/>
  <c r="C82" i="8" s="1"/>
  <c r="AL61" i="4"/>
  <c r="AH82" i="8" s="1"/>
  <c r="W61" i="4"/>
  <c r="S82" i="8" s="1"/>
  <c r="AJ63" i="4"/>
  <c r="AF84" i="8" s="1"/>
  <c r="H63" i="4"/>
  <c r="D84" i="8" s="1"/>
  <c r="AG63" i="4"/>
  <c r="AC84" i="8" s="1"/>
  <c r="Z63" i="4"/>
  <c r="V84" i="8" s="1"/>
  <c r="AC63" i="4"/>
  <c r="Y84" i="8" s="1"/>
  <c r="AD63" i="4"/>
  <c r="Z84" i="8" s="1"/>
  <c r="T63" i="4"/>
  <c r="P84" i="8" s="1"/>
  <c r="Q63" i="4"/>
  <c r="M84" i="8" s="1"/>
  <c r="AK63" i="4"/>
  <c r="AG84" i="8" s="1"/>
  <c r="X63" i="4"/>
  <c r="T84" i="8" s="1"/>
  <c r="AF63" i="4"/>
  <c r="AB84" i="8" s="1"/>
  <c r="Y63" i="4"/>
  <c r="U84" i="8" s="1"/>
  <c r="V63" i="4"/>
  <c r="R84" i="8" s="1"/>
  <c r="U63" i="4"/>
  <c r="Q84" i="8" s="1"/>
  <c r="P63" i="4"/>
  <c r="L84" i="8" s="1"/>
  <c r="W63" i="4"/>
  <c r="S84" i="8" s="1"/>
  <c r="AH63" i="4"/>
  <c r="AD84" i="8" s="1"/>
  <c r="AA63" i="4"/>
  <c r="W84" i="8" s="1"/>
  <c r="S63" i="4"/>
  <c r="O84" i="8" s="1"/>
  <c r="R63" i="4"/>
  <c r="N84" i="8" s="1"/>
  <c r="M63" i="4"/>
  <c r="I84" i="8" s="1"/>
  <c r="J63" i="4"/>
  <c r="F84" i="8" s="1"/>
  <c r="AI63" i="4"/>
  <c r="AE84" i="8" s="1"/>
  <c r="K63" i="4"/>
  <c r="G84" i="8" s="1"/>
  <c r="AE63" i="4"/>
  <c r="AA84" i="8" s="1"/>
  <c r="L63" i="4"/>
  <c r="H84" i="8" s="1"/>
  <c r="AB63" i="4"/>
  <c r="X84" i="8" s="1"/>
  <c r="O63" i="4"/>
  <c r="K84" i="8" s="1"/>
  <c r="N63" i="4"/>
  <c r="J84" i="8" s="1"/>
  <c r="G63" i="4"/>
  <c r="C84" i="8" s="1"/>
  <c r="I63" i="4"/>
  <c r="E84" i="8" s="1"/>
  <c r="AL63" i="4"/>
  <c r="AH84" i="8" s="1"/>
  <c r="AG65" i="4"/>
  <c r="P65" i="4"/>
  <c r="AC65" i="4"/>
  <c r="AH65" i="4"/>
  <c r="AK65" i="4"/>
  <c r="AA65" i="4"/>
  <c r="H65" i="4"/>
  <c r="N65" i="4"/>
  <c r="AD65" i="4"/>
  <c r="T65" i="4"/>
  <c r="Z65" i="4"/>
  <c r="K65" i="4"/>
  <c r="V65" i="4"/>
  <c r="U65" i="4"/>
  <c r="Q65" i="4"/>
  <c r="AJ65" i="4"/>
  <c r="X65" i="4"/>
  <c r="AF65" i="4"/>
  <c r="Y65" i="4"/>
  <c r="AB65" i="4"/>
  <c r="I65" i="4"/>
  <c r="W65" i="4"/>
  <c r="M65" i="4"/>
  <c r="G65" i="4"/>
  <c r="S65" i="4"/>
  <c r="R65" i="4"/>
  <c r="J65" i="4"/>
  <c r="AI65" i="4"/>
  <c r="L65" i="4"/>
  <c r="AL65" i="4"/>
  <c r="AE65" i="4"/>
  <c r="O65" i="4"/>
  <c r="AK67" i="4"/>
  <c r="AG88" i="8" s="1"/>
  <c r="X67" i="4"/>
  <c r="T88" i="8" s="1"/>
  <c r="AF67" i="4"/>
  <c r="AB88" i="8" s="1"/>
  <c r="Y67" i="4"/>
  <c r="U88" i="8" s="1"/>
  <c r="T67" i="4"/>
  <c r="P88" i="8" s="1"/>
  <c r="H67" i="4"/>
  <c r="D88" i="8" s="1"/>
  <c r="P67" i="4"/>
  <c r="L88" i="8" s="1"/>
  <c r="AH67" i="4"/>
  <c r="AD88" i="8" s="1"/>
  <c r="AG67" i="4"/>
  <c r="AC88" i="8" s="1"/>
  <c r="AA67" i="4"/>
  <c r="W88" i="8" s="1"/>
  <c r="AC67" i="4"/>
  <c r="Y88" i="8" s="1"/>
  <c r="N67" i="4"/>
  <c r="J88" i="8" s="1"/>
  <c r="AJ67" i="4"/>
  <c r="AF88" i="8" s="1"/>
  <c r="Z67" i="4"/>
  <c r="V88" i="8" s="1"/>
  <c r="V67" i="4"/>
  <c r="R88" i="8" s="1"/>
  <c r="U67" i="4"/>
  <c r="Q88" i="8" s="1"/>
  <c r="AB67" i="4"/>
  <c r="X88" i="8" s="1"/>
  <c r="G67" i="4"/>
  <c r="C88" i="8" s="1"/>
  <c r="O67" i="4"/>
  <c r="K88" i="8" s="1"/>
  <c r="Q67" i="4"/>
  <c r="M88" i="8" s="1"/>
  <c r="I67" i="4"/>
  <c r="E88" i="8" s="1"/>
  <c r="AL67" i="4"/>
  <c r="AH88" i="8" s="1"/>
  <c r="W67" i="4"/>
  <c r="S88" i="8" s="1"/>
  <c r="S67" i="4"/>
  <c r="O88" i="8" s="1"/>
  <c r="AD67" i="4"/>
  <c r="Z88" i="8" s="1"/>
  <c r="R67" i="4"/>
  <c r="N88" i="8" s="1"/>
  <c r="M67" i="4"/>
  <c r="I88" i="8" s="1"/>
  <c r="L67" i="4"/>
  <c r="H88" i="8" s="1"/>
  <c r="J67" i="4"/>
  <c r="F88" i="8" s="1"/>
  <c r="AI67" i="4"/>
  <c r="AE88" i="8" s="1"/>
  <c r="K67" i="4"/>
  <c r="G88" i="8" s="1"/>
  <c r="AE67" i="4"/>
  <c r="AA88" i="8" s="1"/>
  <c r="V69" i="4"/>
  <c r="R90" i="8" s="1"/>
  <c r="U69" i="4"/>
  <c r="Q90" i="8" s="1"/>
  <c r="Q69" i="4"/>
  <c r="M90" i="8" s="1"/>
  <c r="AK69" i="4"/>
  <c r="AG90" i="8" s="1"/>
  <c r="X69" i="4"/>
  <c r="T90" i="8" s="1"/>
  <c r="AF69" i="4"/>
  <c r="AB90" i="8" s="1"/>
  <c r="Y69" i="4"/>
  <c r="U90" i="8" s="1"/>
  <c r="T69" i="4"/>
  <c r="P90" i="8" s="1"/>
  <c r="AH69" i="4"/>
  <c r="AD90" i="8" s="1"/>
  <c r="H69" i="4"/>
  <c r="D90" i="8" s="1"/>
  <c r="P69" i="4"/>
  <c r="L90" i="8" s="1"/>
  <c r="AG69" i="4"/>
  <c r="AC90" i="8" s="1"/>
  <c r="AA69" i="4"/>
  <c r="W90" i="8" s="1"/>
  <c r="Z69" i="4"/>
  <c r="V90" i="8" s="1"/>
  <c r="AC69" i="4"/>
  <c r="Y90" i="8" s="1"/>
  <c r="N69" i="4"/>
  <c r="J90" i="8" s="1"/>
  <c r="AD69" i="4"/>
  <c r="Z90" i="8" s="1"/>
  <c r="AB69" i="4"/>
  <c r="X90" i="8" s="1"/>
  <c r="AI69" i="4"/>
  <c r="AE90" i="8" s="1"/>
  <c r="G69" i="4"/>
  <c r="C90" i="8" s="1"/>
  <c r="AE69" i="4"/>
  <c r="AA90" i="8" s="1"/>
  <c r="K69" i="4"/>
  <c r="G90" i="8" s="1"/>
  <c r="O69" i="4"/>
  <c r="K90" i="8" s="1"/>
  <c r="AJ69" i="4"/>
  <c r="AF90" i="8" s="1"/>
  <c r="I69" i="4"/>
  <c r="E90" i="8" s="1"/>
  <c r="R69" i="4"/>
  <c r="N90" i="8" s="1"/>
  <c r="AL69" i="4"/>
  <c r="AH90" i="8" s="1"/>
  <c r="W69" i="4"/>
  <c r="S90" i="8" s="1"/>
  <c r="L69" i="4"/>
  <c r="H90" i="8" s="1"/>
  <c r="S69" i="4"/>
  <c r="O90" i="8" s="1"/>
  <c r="M69" i="4"/>
  <c r="I90" i="8" s="1"/>
  <c r="J69" i="4"/>
  <c r="F90" i="8" s="1"/>
  <c r="AC71" i="4"/>
  <c r="Y92" i="8" s="1"/>
  <c r="N71" i="4"/>
  <c r="J92" i="8" s="1"/>
  <c r="K71" i="4"/>
  <c r="G92" i="8" s="1"/>
  <c r="AJ71" i="4"/>
  <c r="AF92" i="8" s="1"/>
  <c r="V71" i="4"/>
  <c r="R92" i="8" s="1"/>
  <c r="U71" i="4"/>
  <c r="Q92" i="8" s="1"/>
  <c r="Q71" i="4"/>
  <c r="M92" i="8" s="1"/>
  <c r="AH71" i="4"/>
  <c r="AD92" i="8" s="1"/>
  <c r="AK71" i="4"/>
  <c r="AG92" i="8" s="1"/>
  <c r="X71" i="4"/>
  <c r="T92" i="8" s="1"/>
  <c r="AF71" i="4"/>
  <c r="AB92" i="8" s="1"/>
  <c r="Y71" i="4"/>
  <c r="U92" i="8" s="1"/>
  <c r="T71" i="4"/>
  <c r="P92" i="8" s="1"/>
  <c r="H71" i="4"/>
  <c r="D92" i="8" s="1"/>
  <c r="P71" i="4"/>
  <c r="L92" i="8" s="1"/>
  <c r="AG71" i="4"/>
  <c r="AC92" i="8" s="1"/>
  <c r="L71" i="4"/>
  <c r="H92" i="8" s="1"/>
  <c r="S71" i="4"/>
  <c r="O92" i="8" s="1"/>
  <c r="AD71" i="4"/>
  <c r="Z92" i="8" s="1"/>
  <c r="AL71" i="4"/>
  <c r="AH92" i="8" s="1"/>
  <c r="W71" i="4"/>
  <c r="S92" i="8" s="1"/>
  <c r="J71" i="4"/>
  <c r="F92" i="8" s="1"/>
  <c r="M71" i="4"/>
  <c r="I92" i="8" s="1"/>
  <c r="G71" i="4"/>
  <c r="C92" i="8" s="1"/>
  <c r="AB71" i="4"/>
  <c r="X92" i="8" s="1"/>
  <c r="AI71" i="4"/>
  <c r="AE92" i="8" s="1"/>
  <c r="AA71" i="4"/>
  <c r="W92" i="8" s="1"/>
  <c r="AE71" i="4"/>
  <c r="AA92" i="8" s="1"/>
  <c r="O71" i="4"/>
  <c r="K92" i="8" s="1"/>
  <c r="Z71" i="4"/>
  <c r="V92" i="8" s="1"/>
  <c r="R71" i="4"/>
  <c r="N92" i="8" s="1"/>
  <c r="I71" i="4"/>
  <c r="E92" i="8" s="1"/>
  <c r="H73" i="4"/>
  <c r="D94" i="8" s="1"/>
  <c r="P73" i="4"/>
  <c r="L94" i="8" s="1"/>
  <c r="Z73" i="4"/>
  <c r="V94" i="8" s="1"/>
  <c r="AG73" i="4"/>
  <c r="AC94" i="8" s="1"/>
  <c r="AA73" i="4"/>
  <c r="W94" i="8" s="1"/>
  <c r="AC73" i="4"/>
  <c r="Y94" i="8" s="1"/>
  <c r="N73" i="4"/>
  <c r="J94" i="8" s="1"/>
  <c r="AD73" i="4"/>
  <c r="Z94" i="8" s="1"/>
  <c r="AJ73" i="4"/>
  <c r="AF94" i="8" s="1"/>
  <c r="K73" i="4"/>
  <c r="G94" i="8" s="1"/>
  <c r="V73" i="4"/>
  <c r="R94" i="8" s="1"/>
  <c r="U73" i="4"/>
  <c r="Q94" i="8" s="1"/>
  <c r="Q73" i="4"/>
  <c r="M94" i="8" s="1"/>
  <c r="AH73" i="4"/>
  <c r="AD94" i="8" s="1"/>
  <c r="AK73" i="4"/>
  <c r="AG94" i="8" s="1"/>
  <c r="X73" i="4"/>
  <c r="T94" i="8" s="1"/>
  <c r="AF73" i="4"/>
  <c r="AB94" i="8" s="1"/>
  <c r="R73" i="4"/>
  <c r="N94" i="8" s="1"/>
  <c r="Y73" i="4"/>
  <c r="U94" i="8" s="1"/>
  <c r="I73" i="4"/>
  <c r="E94" i="8" s="1"/>
  <c r="J73" i="4"/>
  <c r="F94" i="8" s="1"/>
  <c r="L73" i="4"/>
  <c r="H94" i="8" s="1"/>
  <c r="S73" i="4"/>
  <c r="O94" i="8" s="1"/>
  <c r="AL73" i="4"/>
  <c r="AH94" i="8" s="1"/>
  <c r="W73" i="4"/>
  <c r="S94" i="8" s="1"/>
  <c r="G73" i="4"/>
  <c r="C94" i="8" s="1"/>
  <c r="M73" i="4"/>
  <c r="I94" i="8" s="1"/>
  <c r="T73" i="4"/>
  <c r="P94" i="8" s="1"/>
  <c r="AB73" i="4"/>
  <c r="X94" i="8" s="1"/>
  <c r="AI73" i="4"/>
  <c r="AE94" i="8" s="1"/>
  <c r="AE73" i="4"/>
  <c r="AA94" i="8" s="1"/>
  <c r="O73" i="4"/>
  <c r="K94" i="8" s="1"/>
  <c r="BA3" i="4"/>
  <c r="E108" i="4"/>
  <c r="A95" i="8"/>
  <c r="E85" i="4"/>
  <c r="A72" i="8"/>
  <c r="E93" i="4"/>
  <c r="A80" i="8"/>
  <c r="E101" i="4"/>
  <c r="A88" i="8"/>
  <c r="E109" i="4"/>
  <c r="A96" i="8"/>
  <c r="E92" i="4"/>
  <c r="A79" i="8"/>
  <c r="E79" i="4"/>
  <c r="E86" i="4"/>
  <c r="A73" i="8"/>
  <c r="E94" i="4"/>
  <c r="A81" i="8"/>
  <c r="E102" i="4"/>
  <c r="A89" i="8"/>
  <c r="E87" i="4"/>
  <c r="A74" i="8"/>
  <c r="E95" i="4"/>
  <c r="A82" i="8"/>
  <c r="E103" i="4"/>
  <c r="A90" i="8"/>
  <c r="E80" i="4"/>
  <c r="A67" i="8"/>
  <c r="E88" i="4"/>
  <c r="A75" i="8"/>
  <c r="E96" i="4"/>
  <c r="A83" i="8"/>
  <c r="E104" i="4"/>
  <c r="A91" i="8"/>
  <c r="E84" i="4"/>
  <c r="A71" i="8"/>
  <c r="E81" i="4"/>
  <c r="A68" i="8"/>
  <c r="E89" i="4"/>
  <c r="A76" i="8"/>
  <c r="E97" i="4"/>
  <c r="A84" i="8"/>
  <c r="E105" i="4"/>
  <c r="A92" i="8"/>
  <c r="E100" i="4"/>
  <c r="A87" i="8"/>
  <c r="E82" i="4"/>
  <c r="A69" i="8"/>
  <c r="E90" i="4"/>
  <c r="A77" i="8"/>
  <c r="E98" i="4"/>
  <c r="A85" i="8"/>
  <c r="E106" i="4"/>
  <c r="A93" i="8"/>
  <c r="E83" i="4"/>
  <c r="A70" i="8"/>
  <c r="E91" i="4"/>
  <c r="A78" i="8"/>
  <c r="E99" i="4"/>
  <c r="A86" i="8"/>
  <c r="E107" i="4"/>
  <c r="A94" i="8"/>
  <c r="A114" i="4"/>
  <c r="A115" i="4" s="1"/>
  <c r="A83" i="4"/>
  <c r="F49" i="4"/>
  <c r="A87" i="4"/>
  <c r="F53" i="4"/>
  <c r="B74" i="8" s="1"/>
  <c r="A80" i="4"/>
  <c r="F46" i="4"/>
  <c r="A84" i="4"/>
  <c r="F50" i="4"/>
  <c r="A88" i="4"/>
  <c r="F54" i="4"/>
  <c r="A90" i="4"/>
  <c r="AE77" i="8"/>
  <c r="AD77" i="8"/>
  <c r="V77" i="8"/>
  <c r="E77" i="8"/>
  <c r="F56" i="4"/>
  <c r="A94" i="4"/>
  <c r="S81" i="8"/>
  <c r="R81" i="8"/>
  <c r="F60" i="4"/>
  <c r="B81" i="8" s="1"/>
  <c r="Q81" i="8"/>
  <c r="I81" i="8"/>
  <c r="AC81" i="8"/>
  <c r="A82" i="4"/>
  <c r="F48" i="4"/>
  <c r="A86" i="4"/>
  <c r="G73" i="8"/>
  <c r="AD73" i="8"/>
  <c r="V73" i="8"/>
  <c r="T73" i="8"/>
  <c r="F52" i="4"/>
  <c r="B73" i="8" s="1"/>
  <c r="A92" i="4"/>
  <c r="J79" i="8"/>
  <c r="F58" i="4"/>
  <c r="B79" i="8" s="1"/>
  <c r="O79" i="8"/>
  <c r="U79" i="8"/>
  <c r="T79" i="8"/>
  <c r="A91" i="4"/>
  <c r="F57" i="4"/>
  <c r="B78" i="8" s="1"/>
  <c r="F47" i="4"/>
  <c r="B68" i="8" s="1"/>
  <c r="A96" i="4"/>
  <c r="AB83" i="8"/>
  <c r="L83" i="8"/>
  <c r="C83" i="8"/>
  <c r="Z83" i="8"/>
  <c r="F62" i="4"/>
  <c r="B83" i="8" s="1"/>
  <c r="A98" i="4"/>
  <c r="S85" i="8"/>
  <c r="AA85" i="8"/>
  <c r="F64" i="4"/>
  <c r="B85" i="8" s="1"/>
  <c r="Q85" i="8"/>
  <c r="AH85" i="8"/>
  <c r="AG85" i="8"/>
  <c r="A100" i="4"/>
  <c r="I87" i="8"/>
  <c r="AF87" i="8"/>
  <c r="P87" i="8"/>
  <c r="O87" i="8"/>
  <c r="F66" i="4"/>
  <c r="B87" i="8" s="1"/>
  <c r="A102" i="4"/>
  <c r="F68" i="4"/>
  <c r="B89" i="8" s="1"/>
  <c r="A104" i="4"/>
  <c r="F70" i="4"/>
  <c r="B91" i="8" s="1"/>
  <c r="A106" i="4"/>
  <c r="AB93" i="8"/>
  <c r="F72" i="4"/>
  <c r="B93" i="8" s="1"/>
  <c r="AD93" i="8"/>
  <c r="A108" i="4"/>
  <c r="P95" i="8"/>
  <c r="F74" i="4"/>
  <c r="B95" i="8" s="1"/>
  <c r="F59" i="4"/>
  <c r="B80" i="8" s="1"/>
  <c r="F51" i="4"/>
  <c r="A81" i="4"/>
  <c r="A85" i="4"/>
  <c r="A89" i="4"/>
  <c r="A93" i="4"/>
  <c r="A95" i="4"/>
  <c r="F61" i="4"/>
  <c r="B82" i="8" s="1"/>
  <c r="A97" i="4"/>
  <c r="F63" i="4"/>
  <c r="B84" i="8" s="1"/>
  <c r="A99" i="4"/>
  <c r="F65" i="4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K70" i="8" l="1"/>
  <c r="O116" i="4"/>
  <c r="S70" i="8"/>
  <c r="W116" i="4"/>
  <c r="AB70" i="8"/>
  <c r="AF116" i="4"/>
  <c r="AG70" i="8"/>
  <c r="AK116" i="4"/>
  <c r="L114" i="4"/>
  <c r="L117" i="4" s="1"/>
  <c r="W114" i="4"/>
  <c r="W117" i="4" s="1"/>
  <c r="Q114" i="4"/>
  <c r="Q117" i="4" s="1"/>
  <c r="AH70" i="8"/>
  <c r="AL116" i="4"/>
  <c r="AF70" i="8"/>
  <c r="AJ116" i="4"/>
  <c r="T70" i="8"/>
  <c r="X116" i="4"/>
  <c r="D70" i="8"/>
  <c r="H116" i="4"/>
  <c r="AE114" i="4"/>
  <c r="AE117" i="4" s="1"/>
  <c r="M114" i="4"/>
  <c r="M117" i="4" s="1"/>
  <c r="K114" i="4"/>
  <c r="K117" i="4" s="1"/>
  <c r="U70" i="8"/>
  <c r="Y116" i="4"/>
  <c r="I70" i="8"/>
  <c r="M116" i="4"/>
  <c r="G70" i="8"/>
  <c r="K116" i="4"/>
  <c r="Y70" i="8"/>
  <c r="AI114" i="4"/>
  <c r="AI117" i="4" s="1"/>
  <c r="I114" i="4"/>
  <c r="I117" i="4" s="1"/>
  <c r="U114" i="4"/>
  <c r="U117" i="4" s="1"/>
  <c r="AH114" i="4"/>
  <c r="AH117" i="4" s="1"/>
  <c r="AA70" i="8"/>
  <c r="AE116" i="4"/>
  <c r="E70" i="8"/>
  <c r="I116" i="4"/>
  <c r="M70" i="8"/>
  <c r="Q116" i="4"/>
  <c r="W70" i="8"/>
  <c r="J114" i="4"/>
  <c r="J117" i="4" s="1"/>
  <c r="O114" i="4"/>
  <c r="O117" i="4" s="1"/>
  <c r="Z114" i="4"/>
  <c r="Z117" i="4" s="1"/>
  <c r="AG114" i="4"/>
  <c r="AG117" i="4" s="1"/>
  <c r="AE70" i="8"/>
  <c r="AI116" i="4"/>
  <c r="Z70" i="8"/>
  <c r="AD116" i="4"/>
  <c r="J70" i="8"/>
  <c r="N116" i="4"/>
  <c r="AD70" i="8"/>
  <c r="AH116" i="4"/>
  <c r="AL114" i="4"/>
  <c r="AL117" i="4" s="1"/>
  <c r="AF114" i="4"/>
  <c r="AF117" i="4" s="1"/>
  <c r="T114" i="4"/>
  <c r="T117" i="4" s="1"/>
  <c r="V114" i="4"/>
  <c r="V117" i="4" s="1"/>
  <c r="F70" i="8"/>
  <c r="J116" i="4"/>
  <c r="O70" i="8"/>
  <c r="S116" i="4"/>
  <c r="Q70" i="8"/>
  <c r="U116" i="4"/>
  <c r="AC70" i="8"/>
  <c r="AG116" i="4"/>
  <c r="R114" i="4"/>
  <c r="R117" i="4" s="1"/>
  <c r="AD114" i="4"/>
  <c r="AD117" i="4" s="1"/>
  <c r="G114" i="4"/>
  <c r="G117" i="4" s="1"/>
  <c r="P114" i="4"/>
  <c r="P117" i="4" s="1"/>
  <c r="N70" i="8"/>
  <c r="R116" i="4"/>
  <c r="C70" i="8"/>
  <c r="G116" i="4"/>
  <c r="V70" i="8"/>
  <c r="Z116" i="4"/>
  <c r="H70" i="8"/>
  <c r="L116" i="4"/>
  <c r="S114" i="4"/>
  <c r="S117" i="4" s="1"/>
  <c r="AK114" i="4"/>
  <c r="AK117" i="4" s="1"/>
  <c r="Y114" i="4"/>
  <c r="Y117" i="4" s="1"/>
  <c r="X70" i="8"/>
  <c r="R70" i="8"/>
  <c r="V116" i="4"/>
  <c r="P70" i="8"/>
  <c r="T116" i="4"/>
  <c r="L70" i="8"/>
  <c r="P116" i="4"/>
  <c r="X114" i="4"/>
  <c r="X117" i="4" s="1"/>
  <c r="N114" i="4"/>
  <c r="N117" i="4" s="1"/>
  <c r="H114" i="4"/>
  <c r="H117" i="4" s="1"/>
  <c r="AJ114" i="4"/>
  <c r="AJ117" i="4" s="1"/>
  <c r="B70" i="8"/>
  <c r="F116" i="4"/>
  <c r="F114" i="4"/>
  <c r="I41" i="4"/>
  <c r="AL41" i="4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O41" i="4"/>
  <c r="P41" i="4" l="1"/>
  <c r="AH41" i="4"/>
  <c r="AD41" i="4"/>
  <c r="K41" i="4"/>
  <c r="AJ41" i="4"/>
  <c r="N41" i="4"/>
  <c r="AC41" i="4"/>
  <c r="AA41" i="4"/>
  <c r="AG41" i="4"/>
  <c r="V41" i="4"/>
  <c r="T41" i="4"/>
  <c r="R41" i="4"/>
  <c r="Y41" i="4"/>
  <c r="G41" i="4"/>
  <c r="U41" i="4"/>
  <c r="AB41" i="4"/>
  <c r="Z41" i="4"/>
  <c r="AE41" i="4"/>
  <c r="L41" i="4"/>
  <c r="S41" i="4"/>
  <c r="Q41" i="4"/>
  <c r="AF41" i="4"/>
  <c r="M41" i="4"/>
  <c r="J41" i="4"/>
  <c r="H41" i="4"/>
  <c r="X41" i="4"/>
  <c r="AK41" i="4"/>
  <c r="AI41" i="4"/>
  <c r="W41" i="4"/>
  <c r="F41" i="4"/>
  <c r="E41" i="4"/>
  <c r="C78" i="4" s="1"/>
  <c r="G80" i="4" l="1"/>
  <c r="O80" i="4"/>
  <c r="W80" i="4"/>
  <c r="AE80" i="4"/>
  <c r="G81" i="4"/>
  <c r="O81" i="4"/>
  <c r="W81" i="4"/>
  <c r="AE81" i="4"/>
  <c r="G82" i="4"/>
  <c r="O82" i="4"/>
  <c r="W82" i="4"/>
  <c r="AE82" i="4"/>
  <c r="G83" i="4"/>
  <c r="O83" i="4"/>
  <c r="W83" i="4"/>
  <c r="AE83" i="4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H80" i="4"/>
  <c r="P80" i="4"/>
  <c r="X80" i="4"/>
  <c r="AF80" i="4"/>
  <c r="H81" i="4"/>
  <c r="P81" i="4"/>
  <c r="X81" i="4"/>
  <c r="AF81" i="4"/>
  <c r="H82" i="4"/>
  <c r="P82" i="4"/>
  <c r="X82" i="4"/>
  <c r="AF82" i="4"/>
  <c r="H83" i="4"/>
  <c r="P83" i="4"/>
  <c r="X83" i="4"/>
  <c r="AF83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I80" i="4"/>
  <c r="Q80" i="4"/>
  <c r="Y80" i="4"/>
  <c r="AG80" i="4"/>
  <c r="I81" i="4"/>
  <c r="Q81" i="4"/>
  <c r="Y81" i="4"/>
  <c r="AG81" i="4"/>
  <c r="I82" i="4"/>
  <c r="Q82" i="4"/>
  <c r="Y82" i="4"/>
  <c r="AG82" i="4"/>
  <c r="I83" i="4"/>
  <c r="Q83" i="4"/>
  <c r="Y83" i="4"/>
  <c r="AG83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J80" i="4"/>
  <c r="R80" i="4"/>
  <c r="Z80" i="4"/>
  <c r="AH80" i="4"/>
  <c r="J81" i="4"/>
  <c r="R81" i="4"/>
  <c r="Z81" i="4"/>
  <c r="AH81" i="4"/>
  <c r="J82" i="4"/>
  <c r="R82" i="4"/>
  <c r="Z82" i="4"/>
  <c r="AH82" i="4"/>
  <c r="J83" i="4"/>
  <c r="R83" i="4"/>
  <c r="Z83" i="4"/>
  <c r="AH83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K80" i="4"/>
  <c r="S80" i="4"/>
  <c r="AA80" i="4"/>
  <c r="AI80" i="4"/>
  <c r="K81" i="4"/>
  <c r="S81" i="4"/>
  <c r="AA81" i="4"/>
  <c r="AI81" i="4"/>
  <c r="K82" i="4"/>
  <c r="S82" i="4"/>
  <c r="AA82" i="4"/>
  <c r="AI82" i="4"/>
  <c r="K83" i="4"/>
  <c r="S83" i="4"/>
  <c r="AA83" i="4"/>
  <c r="AA116" i="4" s="1"/>
  <c r="AI83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L80" i="4"/>
  <c r="T80" i="4"/>
  <c r="AB80" i="4"/>
  <c r="AJ80" i="4"/>
  <c r="L81" i="4"/>
  <c r="T81" i="4"/>
  <c r="AB81" i="4"/>
  <c r="AJ81" i="4"/>
  <c r="L82" i="4"/>
  <c r="T82" i="4"/>
  <c r="AB82" i="4"/>
  <c r="AJ82" i="4"/>
  <c r="L83" i="4"/>
  <c r="T83" i="4"/>
  <c r="AB83" i="4"/>
  <c r="AB116" i="4" s="1"/>
  <c r="AJ83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M80" i="4"/>
  <c r="M81" i="4"/>
  <c r="M82" i="4"/>
  <c r="M83" i="4"/>
  <c r="M84" i="4"/>
  <c r="M85" i="4"/>
  <c r="M86" i="4"/>
  <c r="M87" i="4"/>
  <c r="M88" i="4"/>
  <c r="M89" i="4"/>
  <c r="M90" i="4"/>
  <c r="M91" i="4"/>
  <c r="AL91" i="4"/>
  <c r="AC92" i="4"/>
  <c r="Q93" i="4"/>
  <c r="AL93" i="4"/>
  <c r="AC94" i="4"/>
  <c r="Q95" i="4"/>
  <c r="AL95" i="4"/>
  <c r="AC96" i="4"/>
  <c r="Q97" i="4"/>
  <c r="AL97" i="4"/>
  <c r="AC98" i="4"/>
  <c r="J99" i="4"/>
  <c r="W99" i="4"/>
  <c r="AK99" i="4"/>
  <c r="Q100" i="4"/>
  <c r="AD100" i="4"/>
  <c r="I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AL89" i="4"/>
  <c r="N80" i="4"/>
  <c r="N81" i="4"/>
  <c r="N82" i="4"/>
  <c r="N83" i="4"/>
  <c r="N84" i="4"/>
  <c r="N85" i="4"/>
  <c r="N86" i="4"/>
  <c r="N87" i="4"/>
  <c r="N88" i="4"/>
  <c r="N89" i="4"/>
  <c r="N90" i="4"/>
  <c r="N91" i="4"/>
  <c r="I92" i="4"/>
  <c r="AD92" i="4"/>
  <c r="U93" i="4"/>
  <c r="I94" i="4"/>
  <c r="AD94" i="4"/>
  <c r="U95" i="4"/>
  <c r="I96" i="4"/>
  <c r="AD96" i="4"/>
  <c r="U97" i="4"/>
  <c r="I98" i="4"/>
  <c r="AD98" i="4"/>
  <c r="M99" i="4"/>
  <c r="Y99" i="4"/>
  <c r="AL99" i="4"/>
  <c r="R100" i="4"/>
  <c r="AE100" i="4"/>
  <c r="J101" i="4"/>
  <c r="S101" i="4"/>
  <c r="AA101" i="4"/>
  <c r="AI101" i="4"/>
  <c r="K102" i="4"/>
  <c r="S102" i="4"/>
  <c r="AA102" i="4"/>
  <c r="AI102" i="4"/>
  <c r="K103" i="4"/>
  <c r="S103" i="4"/>
  <c r="AA103" i="4"/>
  <c r="AI103" i="4"/>
  <c r="K104" i="4"/>
  <c r="S104" i="4"/>
  <c r="AA104" i="4"/>
  <c r="AI104" i="4"/>
  <c r="K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AK95" i="4"/>
  <c r="U80" i="4"/>
  <c r="U81" i="4"/>
  <c r="U82" i="4"/>
  <c r="U83" i="4"/>
  <c r="U84" i="4"/>
  <c r="U85" i="4"/>
  <c r="U86" i="4"/>
  <c r="U87" i="4"/>
  <c r="U88" i="4"/>
  <c r="U89" i="4"/>
  <c r="U90" i="4"/>
  <c r="U91" i="4"/>
  <c r="M92" i="4"/>
  <c r="AG92" i="4"/>
  <c r="V93" i="4"/>
  <c r="M94" i="4"/>
  <c r="AG94" i="4"/>
  <c r="V95" i="4"/>
  <c r="M96" i="4"/>
  <c r="AG96" i="4"/>
  <c r="V97" i="4"/>
  <c r="M98" i="4"/>
  <c r="AE98" i="4"/>
  <c r="N99" i="4"/>
  <c r="Z99" i="4"/>
  <c r="G100" i="4"/>
  <c r="U100" i="4"/>
  <c r="AG100" i="4"/>
  <c r="K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V80" i="4"/>
  <c r="V81" i="4"/>
  <c r="V82" i="4"/>
  <c r="V83" i="4"/>
  <c r="V84" i="4"/>
  <c r="V85" i="4"/>
  <c r="V86" i="4"/>
  <c r="V87" i="4"/>
  <c r="V88" i="4"/>
  <c r="V89" i="4"/>
  <c r="V90" i="4"/>
  <c r="V91" i="4"/>
  <c r="N92" i="4"/>
  <c r="AK92" i="4"/>
  <c r="Y93" i="4"/>
  <c r="N94" i="4"/>
  <c r="AK94" i="4"/>
  <c r="Y95" i="4"/>
  <c r="N96" i="4"/>
  <c r="AK96" i="4"/>
  <c r="Y97" i="4"/>
  <c r="N98" i="4"/>
  <c r="AG98" i="4"/>
  <c r="O99" i="4"/>
  <c r="AC99" i="4"/>
  <c r="I100" i="4"/>
  <c r="V100" i="4"/>
  <c r="AH100" i="4"/>
  <c r="M101" i="4"/>
  <c r="U101" i="4"/>
  <c r="AC101" i="4"/>
  <c r="AK101" i="4"/>
  <c r="M102" i="4"/>
  <c r="U102" i="4"/>
  <c r="AC102" i="4"/>
  <c r="AK102" i="4"/>
  <c r="M103" i="4"/>
  <c r="U103" i="4"/>
  <c r="AC103" i="4"/>
  <c r="AK103" i="4"/>
  <c r="M104" i="4"/>
  <c r="U104" i="4"/>
  <c r="AC104" i="4"/>
  <c r="AK104" i="4"/>
  <c r="M105" i="4"/>
  <c r="U105" i="4"/>
  <c r="AC105" i="4"/>
  <c r="AK105" i="4"/>
  <c r="M106" i="4"/>
  <c r="U106" i="4"/>
  <c r="AC106" i="4"/>
  <c r="AK106" i="4"/>
  <c r="M107" i="4"/>
  <c r="U107" i="4"/>
  <c r="AC107" i="4"/>
  <c r="AK107" i="4"/>
  <c r="M108" i="4"/>
  <c r="U108" i="4"/>
  <c r="AC108" i="4"/>
  <c r="AK108" i="4"/>
  <c r="Y98" i="4"/>
  <c r="I103" i="4"/>
  <c r="AG104" i="4"/>
  <c r="Q106" i="4"/>
  <c r="Q107" i="4"/>
  <c r="Q108" i="4"/>
  <c r="AC80" i="4"/>
  <c r="AC81" i="4"/>
  <c r="AC82" i="4"/>
  <c r="AC83" i="4"/>
  <c r="AC116" i="4" s="1"/>
  <c r="AC84" i="4"/>
  <c r="AC114" i="4" s="1"/>
  <c r="AC117" i="4" s="1"/>
  <c r="AC85" i="4"/>
  <c r="AC86" i="4"/>
  <c r="AC87" i="4"/>
  <c r="AC88" i="4"/>
  <c r="AC89" i="4"/>
  <c r="AC90" i="4"/>
  <c r="AC91" i="4"/>
  <c r="Q92" i="4"/>
  <c r="AL92" i="4"/>
  <c r="AC93" i="4"/>
  <c r="Q94" i="4"/>
  <c r="AL94" i="4"/>
  <c r="AC95" i="4"/>
  <c r="Q96" i="4"/>
  <c r="AL96" i="4"/>
  <c r="AC97" i="4"/>
  <c r="Q98" i="4"/>
  <c r="AK98" i="4"/>
  <c r="Q99" i="4"/>
  <c r="AD99" i="4"/>
  <c r="J100" i="4"/>
  <c r="W100" i="4"/>
  <c r="AI100" i="4"/>
  <c r="N101" i="4"/>
  <c r="V101" i="4"/>
  <c r="AD101" i="4"/>
  <c r="AL101" i="4"/>
  <c r="N102" i="4"/>
  <c r="V102" i="4"/>
  <c r="AD102" i="4"/>
  <c r="AL102" i="4"/>
  <c r="N103" i="4"/>
  <c r="V103" i="4"/>
  <c r="AD103" i="4"/>
  <c r="AL103" i="4"/>
  <c r="N104" i="4"/>
  <c r="V104" i="4"/>
  <c r="AD104" i="4"/>
  <c r="AL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AL80" i="4"/>
  <c r="AL82" i="4"/>
  <c r="AL84" i="4"/>
  <c r="AL86" i="4"/>
  <c r="AL87" i="4"/>
  <c r="AL90" i="4"/>
  <c r="Y92" i="4"/>
  <c r="AK93" i="4"/>
  <c r="Y94" i="4"/>
  <c r="N97" i="4"/>
  <c r="I99" i="4"/>
  <c r="AH99" i="4"/>
  <c r="G101" i="4"/>
  <c r="Q102" i="4"/>
  <c r="Q103" i="4"/>
  <c r="I104" i="4"/>
  <c r="Q105" i="4"/>
  <c r="Y106" i="4"/>
  <c r="Y107" i="4"/>
  <c r="Y108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U92" i="4"/>
  <c r="I93" i="4"/>
  <c r="AD93" i="4"/>
  <c r="U94" i="4"/>
  <c r="I95" i="4"/>
  <c r="AD95" i="4"/>
  <c r="U96" i="4"/>
  <c r="I97" i="4"/>
  <c r="AD97" i="4"/>
  <c r="U98" i="4"/>
  <c r="AL98" i="4"/>
  <c r="R99" i="4"/>
  <c r="AE99" i="4"/>
  <c r="M100" i="4"/>
  <c r="Y100" i="4"/>
  <c r="AK100" i="4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AL81" i="4"/>
  <c r="AL83" i="4"/>
  <c r="AL85" i="4"/>
  <c r="AL88" i="4"/>
  <c r="AK91" i="4"/>
  <c r="N93" i="4"/>
  <c r="N95" i="4"/>
  <c r="AK97" i="4"/>
  <c r="V99" i="4"/>
  <c r="O100" i="4"/>
  <c r="Q101" i="4"/>
  <c r="AG101" i="4"/>
  <c r="Y102" i="4"/>
  <c r="AG103" i="4"/>
  <c r="Y104" i="4"/>
  <c r="Y105" i="4"/>
  <c r="I106" i="4"/>
  <c r="I107" i="4"/>
  <c r="AG107" i="4"/>
  <c r="AG108" i="4"/>
  <c r="AK80" i="4"/>
  <c r="AK81" i="4"/>
  <c r="AK82" i="4"/>
  <c r="AK83" i="4"/>
  <c r="AK84" i="4"/>
  <c r="AK85" i="4"/>
  <c r="AK86" i="4"/>
  <c r="AK87" i="4"/>
  <c r="AK88" i="4"/>
  <c r="AK89" i="4"/>
  <c r="AK90" i="4"/>
  <c r="AG91" i="4"/>
  <c r="V92" i="4"/>
  <c r="M93" i="4"/>
  <c r="AG93" i="4"/>
  <c r="V94" i="4"/>
  <c r="M95" i="4"/>
  <c r="AG95" i="4"/>
  <c r="V96" i="4"/>
  <c r="M97" i="4"/>
  <c r="AG97" i="4"/>
  <c r="V98" i="4"/>
  <c r="G99" i="4"/>
  <c r="U99" i="4"/>
  <c r="AG99" i="4"/>
  <c r="N100" i="4"/>
  <c r="Z100" i="4"/>
  <c r="AL100" i="4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H105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Y96" i="4"/>
  <c r="AC100" i="4"/>
  <c r="Y101" i="4"/>
  <c r="I102" i="4"/>
  <c r="AG102" i="4"/>
  <c r="Y103" i="4"/>
  <c r="Q104" i="4"/>
  <c r="I105" i="4"/>
  <c r="AG105" i="4"/>
  <c r="AG106" i="4"/>
  <c r="I108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A114" i="4" l="1"/>
  <c r="AA117" i="4" s="1"/>
  <c r="AB114" i="4"/>
  <c r="AB117" i="4" s="1"/>
  <c r="F117" i="4"/>
  <c r="B114" i="4" l="1"/>
  <c r="B115" i="4"/>
  <c r="E122" i="4" a="1"/>
  <c r="V135" i="4" s="1"/>
  <c r="E129" i="4" l="1"/>
  <c r="T126" i="4"/>
  <c r="AE129" i="4"/>
  <c r="S124" i="4"/>
  <c r="Y133" i="4"/>
  <c r="I122" i="4"/>
  <c r="P135" i="4"/>
  <c r="I131" i="4"/>
  <c r="AC123" i="4"/>
  <c r="F127" i="4"/>
  <c r="Z126" i="4"/>
  <c r="O126" i="4"/>
  <c r="AG131" i="4"/>
  <c r="AE122" i="4"/>
  <c r="Q122" i="4"/>
  <c r="AD127" i="4"/>
  <c r="AJ127" i="4"/>
  <c r="X126" i="4"/>
  <c r="AL135" i="4"/>
  <c r="AK134" i="4"/>
  <c r="G133" i="4"/>
  <c r="AF124" i="4"/>
  <c r="U128" i="4"/>
  <c r="U132" i="4"/>
  <c r="E132" i="4"/>
  <c r="AL133" i="4"/>
  <c r="E131" i="4"/>
  <c r="I130" i="4"/>
  <c r="Z124" i="4"/>
  <c r="AF126" i="4"/>
  <c r="S135" i="4"/>
  <c r="AJ128" i="4"/>
  <c r="Z122" i="4"/>
  <c r="AL126" i="4"/>
  <c r="V128" i="4"/>
  <c r="R123" i="4"/>
  <c r="AE133" i="4"/>
  <c r="AK131" i="4"/>
  <c r="G127" i="4"/>
  <c r="AC133" i="4"/>
  <c r="Q128" i="4"/>
  <c r="AA124" i="4"/>
  <c r="AA127" i="4"/>
  <c r="K129" i="4"/>
  <c r="AA122" i="4"/>
  <c r="M134" i="4"/>
  <c r="N135" i="4"/>
  <c r="O131" i="4"/>
  <c r="K134" i="4"/>
  <c r="T135" i="4"/>
  <c r="AB135" i="4"/>
  <c r="P124" i="4"/>
  <c r="T134" i="4"/>
  <c r="E130" i="4"/>
  <c r="R129" i="4"/>
  <c r="N122" i="4"/>
  <c r="P128" i="4"/>
  <c r="Q127" i="4"/>
  <c r="M135" i="4"/>
  <c r="W133" i="4"/>
  <c r="Q135" i="4"/>
  <c r="AC125" i="4"/>
  <c r="N131" i="4"/>
  <c r="AH130" i="4"/>
  <c r="Q132" i="4"/>
  <c r="O132" i="4"/>
  <c r="AA129" i="4"/>
  <c r="E128" i="4"/>
  <c r="R128" i="4"/>
  <c r="I123" i="4"/>
  <c r="Z135" i="4"/>
  <c r="P131" i="4"/>
  <c r="F128" i="4"/>
  <c r="AJ129" i="4"/>
  <c r="AF123" i="4"/>
  <c r="AL131" i="4"/>
  <c r="AC132" i="4"/>
  <c r="J132" i="4"/>
  <c r="P134" i="4"/>
  <c r="AD130" i="4"/>
  <c r="X134" i="4"/>
  <c r="J130" i="4"/>
  <c r="V134" i="4"/>
  <c r="R130" i="4"/>
  <c r="F129" i="4"/>
  <c r="T123" i="4"/>
  <c r="AG133" i="4"/>
  <c r="AL124" i="4"/>
  <c r="Y135" i="4"/>
  <c r="E134" i="4"/>
  <c r="S128" i="4"/>
  <c r="K135" i="4"/>
  <c r="S129" i="4"/>
  <c r="K130" i="4"/>
  <c r="AF125" i="4"/>
  <c r="E122" i="4"/>
  <c r="Y126" i="4"/>
  <c r="AL125" i="4"/>
  <c r="M123" i="4"/>
  <c r="AB125" i="4"/>
  <c r="H132" i="4"/>
  <c r="Y131" i="4"/>
  <c r="AL134" i="4"/>
  <c r="AG124" i="4"/>
  <c r="S134" i="4"/>
  <c r="AH131" i="4"/>
  <c r="T132" i="4"/>
  <c r="AI131" i="4"/>
  <c r="U126" i="4"/>
  <c r="Y122" i="4"/>
  <c r="X135" i="4"/>
  <c r="X127" i="4"/>
  <c r="I129" i="4"/>
  <c r="K127" i="4"/>
  <c r="G129" i="4"/>
  <c r="W132" i="4"/>
  <c r="M128" i="4"/>
  <c r="P132" i="4"/>
  <c r="T133" i="4"/>
  <c r="G135" i="4"/>
  <c r="N124" i="4"/>
  <c r="P126" i="4"/>
  <c r="S125" i="4"/>
  <c r="Z132" i="4"/>
  <c r="AE125" i="4"/>
  <c r="AJ133" i="4"/>
  <c r="O135" i="4"/>
  <c r="J134" i="4"/>
  <c r="AJ130" i="4"/>
  <c r="P125" i="4"/>
  <c r="AC135" i="4"/>
  <c r="Z130" i="4"/>
  <c r="V125" i="4"/>
  <c r="AI135" i="4"/>
  <c r="O130" i="4"/>
  <c r="N134" i="4"/>
  <c r="U124" i="4"/>
  <c r="G132" i="4"/>
  <c r="P133" i="4"/>
  <c r="R132" i="4"/>
  <c r="AC128" i="4"/>
  <c r="V133" i="4"/>
  <c r="AI128" i="4"/>
  <c r="Y134" i="4"/>
  <c r="Q125" i="4"/>
  <c r="J125" i="4"/>
  <c r="AF134" i="4"/>
  <c r="H122" i="4"/>
  <c r="S127" i="4"/>
  <c r="AA123" i="4"/>
  <c r="X122" i="4"/>
  <c r="U123" i="4"/>
  <c r="AI134" i="4"/>
  <c r="M129" i="4"/>
  <c r="T129" i="4"/>
  <c r="AH133" i="4"/>
  <c r="N128" i="4"/>
  <c r="O122" i="4"/>
  <c r="V130" i="4"/>
  <c r="Q131" i="4"/>
  <c r="W135" i="4"/>
  <c r="K122" i="4"/>
  <c r="AF132" i="4"/>
  <c r="AL130" i="4"/>
  <c r="R125" i="4"/>
  <c r="V132" i="4"/>
  <c r="R127" i="4"/>
  <c r="AB123" i="4"/>
  <c r="AK135" i="4"/>
  <c r="I134" i="4"/>
  <c r="AC124" i="4"/>
  <c r="AH123" i="4"/>
  <c r="L135" i="4"/>
  <c r="S133" i="4"/>
  <c r="X123" i="4"/>
  <c r="R135" i="4"/>
  <c r="P122" i="4"/>
  <c r="X124" i="4"/>
  <c r="N130" i="4"/>
  <c r="AJ124" i="4"/>
  <c r="K126" i="4"/>
  <c r="AE124" i="4"/>
  <c r="J128" i="4"/>
  <c r="AA131" i="4"/>
  <c r="F134" i="4"/>
  <c r="AF131" i="4"/>
  <c r="AI129" i="4"/>
  <c r="V126" i="4"/>
  <c r="N126" i="4"/>
  <c r="H135" i="4"/>
  <c r="J126" i="4"/>
  <c r="Q123" i="4"/>
  <c r="AI126" i="4"/>
  <c r="R122" i="4"/>
  <c r="Q129" i="4"/>
  <c r="AE134" i="4"/>
  <c r="S123" i="4"/>
  <c r="W123" i="4"/>
  <c r="T130" i="4"/>
  <c r="AB133" i="4"/>
  <c r="U125" i="4"/>
  <c r="AI123" i="4"/>
  <c r="AJ126" i="4"/>
  <c r="AK127" i="4"/>
  <c r="G122" i="4"/>
  <c r="J123" i="4"/>
  <c r="AE135" i="4"/>
  <c r="AG127" i="4"/>
  <c r="U122" i="4"/>
  <c r="AH132" i="4"/>
  <c r="N127" i="4"/>
  <c r="R134" i="4"/>
  <c r="F133" i="4"/>
  <c r="T127" i="4"/>
  <c r="AD123" i="4"/>
  <c r="R126" i="4"/>
  <c r="AG126" i="4"/>
  <c r="R131" i="4"/>
  <c r="AE126" i="4"/>
  <c r="O123" i="4"/>
  <c r="H131" i="4"/>
  <c r="AK126" i="4"/>
  <c r="L124" i="4"/>
  <c r="AJ125" i="4"/>
  <c r="W131" i="4"/>
  <c r="Z128" i="4"/>
  <c r="O127" i="4"/>
  <c r="AC122" i="4"/>
  <c r="AL128" i="4"/>
  <c r="E135" i="4"/>
  <c r="L132" i="4"/>
  <c r="AC134" i="4"/>
  <c r="E133" i="4"/>
  <c r="AG132" i="4"/>
  <c r="AF127" i="4"/>
  <c r="AF122" i="4"/>
  <c r="X131" i="4"/>
  <c r="AJ131" i="4"/>
  <c r="AJ122" i="4"/>
  <c r="AH135" i="4"/>
  <c r="M125" i="4"/>
  <c r="AB126" i="4"/>
  <c r="AH124" i="4"/>
  <c r="AB130" i="4"/>
  <c r="AC131" i="4"/>
  <c r="Y129" i="4"/>
  <c r="M122" i="4"/>
  <c r="K125" i="4"/>
  <c r="AC129" i="4"/>
  <c r="Q124" i="4"/>
  <c r="AD134" i="4"/>
  <c r="AJ132" i="4"/>
  <c r="O124" i="4"/>
  <c r="AJ134" i="4"/>
  <c r="P129" i="4"/>
  <c r="Z125" i="4"/>
  <c r="I124" i="4"/>
  <c r="G131" i="4"/>
  <c r="N133" i="4"/>
  <c r="O134" i="4"/>
  <c r="U129" i="4"/>
  <c r="AL132" i="4"/>
  <c r="U134" i="4"/>
  <c r="AH129" i="4"/>
  <c r="J135" i="4"/>
  <c r="AH134" i="4"/>
  <c r="L122" i="4"/>
  <c r="K123" i="4"/>
  <c r="J124" i="4"/>
  <c r="I125" i="4"/>
  <c r="H126" i="4"/>
  <c r="AD132" i="4"/>
  <c r="AK133" i="4"/>
  <c r="F122" i="4"/>
  <c r="E123" i="4"/>
  <c r="AL123" i="4"/>
  <c r="O133" i="4"/>
  <c r="V124" i="4"/>
  <c r="AK124" i="4"/>
  <c r="AG130" i="4"/>
  <c r="AD133" i="4"/>
  <c r="T128" i="4"/>
  <c r="AE128" i="4"/>
  <c r="AJ135" i="4"/>
  <c r="I127" i="4"/>
  <c r="Y130" i="4"/>
  <c r="L130" i="4"/>
  <c r="P130" i="4"/>
  <c r="W125" i="4"/>
  <c r="K133" i="4"/>
  <c r="R124" i="4"/>
  <c r="AB122" i="4"/>
  <c r="AG134" i="4"/>
  <c r="AA134" i="4"/>
  <c r="T124" i="4"/>
  <c r="AA130" i="4"/>
  <c r="AB129" i="4"/>
  <c r="K131" i="4"/>
  <c r="S131" i="4"/>
  <c r="AA133" i="4"/>
  <c r="AI127" i="4"/>
  <c r="G126" i="4"/>
  <c r="AB132" i="4"/>
  <c r="F123" i="4"/>
  <c r="Y127" i="4"/>
  <c r="L123" i="4"/>
  <c r="G123" i="4"/>
  <c r="N132" i="4"/>
  <c r="U133" i="4"/>
  <c r="AB134" i="4"/>
  <c r="AA135" i="4"/>
  <c r="W122" i="4"/>
  <c r="V123" i="4"/>
  <c r="K124" i="4"/>
  <c r="S122" i="4"/>
  <c r="Z123" i="4"/>
  <c r="Y124" i="4"/>
  <c r="X125" i="4"/>
  <c r="W126" i="4"/>
  <c r="V127" i="4"/>
  <c r="AB128" i="4"/>
  <c r="AG122" i="4"/>
  <c r="AK128" i="4"/>
  <c r="Z134" i="4"/>
  <c r="AG135" i="4"/>
  <c r="AK122" i="4"/>
  <c r="AJ123" i="4"/>
  <c r="AI124" i="4"/>
  <c r="AH125" i="4"/>
  <c r="AD126" i="4"/>
  <c r="F132" i="4"/>
  <c r="H123" i="4"/>
  <c r="AK132" i="4"/>
  <c r="AI122" i="4"/>
  <c r="H124" i="4"/>
  <c r="G125" i="4"/>
  <c r="F126" i="4"/>
  <c r="E127" i="4"/>
  <c r="AL127" i="4"/>
  <c r="AF129" i="4"/>
  <c r="M132" i="4"/>
  <c r="V122" i="4"/>
  <c r="E125" i="4"/>
  <c r="I133" i="4"/>
  <c r="U127" i="4"/>
  <c r="O129" i="4"/>
  <c r="Q134" i="4"/>
  <c r="AK130" i="4"/>
  <c r="AI130" i="4"/>
  <c r="Y125" i="4"/>
  <c r="AK123" i="4"/>
  <c r="AG123" i="4"/>
  <c r="H125" i="4"/>
  <c r="U135" i="4"/>
  <c r="W129" i="4"/>
  <c r="AA125" i="4"/>
  <c r="AF128" i="4"/>
  <c r="AF130" i="4"/>
  <c r="AH122" i="4"/>
  <c r="G124" i="4"/>
  <c r="N125" i="4"/>
  <c r="M126" i="4"/>
  <c r="L127" i="4"/>
  <c r="K128" i="4"/>
  <c r="J129" i="4"/>
  <c r="AH126" i="4"/>
  <c r="G128" i="4"/>
  <c r="N129" i="4"/>
  <c r="M130" i="4"/>
  <c r="L131" i="4"/>
  <c r="K132" i="4"/>
  <c r="J133" i="4"/>
  <c r="AF135" i="4"/>
  <c r="E124" i="4"/>
  <c r="L125" i="4"/>
  <c r="S126" i="4"/>
  <c r="Z127" i="4"/>
  <c r="Y128" i="4"/>
  <c r="X129" i="4"/>
  <c r="W130" i="4"/>
  <c r="V131" i="4"/>
  <c r="Q133" i="4"/>
  <c r="E126" i="4"/>
  <c r="I126" i="4"/>
  <c r="P127" i="4"/>
  <c r="W128" i="4"/>
  <c r="AD129" i="4"/>
  <c r="AC130" i="4"/>
  <c r="AB131" i="4"/>
  <c r="AA132" i="4"/>
  <c r="Z133" i="4"/>
  <c r="P123" i="4"/>
  <c r="W124" i="4"/>
  <c r="AD125" i="4"/>
  <c r="AC126" i="4"/>
  <c r="AB127" i="4"/>
  <c r="AA128" i="4"/>
  <c r="Z129" i="4"/>
  <c r="AC127" i="4"/>
  <c r="F125" i="4"/>
  <c r="AI125" i="4"/>
  <c r="T125" i="4"/>
  <c r="AA126" i="4"/>
  <c r="AH127" i="4"/>
  <c r="AG128" i="4"/>
  <c r="AE130" i="4"/>
  <c r="AD131" i="4"/>
  <c r="H128" i="4"/>
  <c r="AE132" i="4"/>
  <c r="AL129" i="4"/>
  <c r="H130" i="4"/>
  <c r="M127" i="4"/>
  <c r="L133" i="4"/>
  <c r="O125" i="4"/>
  <c r="AD135" i="4"/>
  <c r="M131" i="4"/>
  <c r="AF133" i="4"/>
  <c r="X128" i="4"/>
  <c r="J122" i="4"/>
  <c r="L134" i="4"/>
  <c r="AE127" i="4"/>
  <c r="L128" i="4"/>
  <c r="Y123" i="4"/>
  <c r="F130" i="4"/>
  <c r="AG125" i="4"/>
  <c r="Q130" i="4"/>
  <c r="L126" i="4"/>
  <c r="AB124" i="4"/>
  <c r="H134" i="4"/>
  <c r="AE131" i="4"/>
  <c r="AD122" i="4"/>
  <c r="F124" i="4"/>
  <c r="AE123" i="4"/>
  <c r="T122" i="4"/>
  <c r="AI132" i="4"/>
  <c r="U131" i="4"/>
  <c r="M133" i="4"/>
  <c r="AH128" i="4"/>
  <c r="N123" i="4"/>
  <c r="AL122" i="4"/>
  <c r="AI133" i="4"/>
  <c r="X132" i="4"/>
  <c r="W127" i="4"/>
  <c r="AD124" i="4"/>
  <c r="AK125" i="4"/>
  <c r="J127" i="4"/>
  <c r="I128" i="4"/>
  <c r="H129" i="4"/>
  <c r="G130" i="4"/>
  <c r="F131" i="4"/>
  <c r="AD128" i="4"/>
  <c r="AK129" i="4"/>
  <c r="J131" i="4"/>
  <c r="I132" i="4"/>
  <c r="H133" i="4"/>
  <c r="G134" i="4"/>
  <c r="F135" i="4"/>
  <c r="I135" i="4"/>
  <c r="M124" i="4"/>
  <c r="H127" i="4"/>
  <c r="O128" i="4"/>
  <c r="V129" i="4"/>
  <c r="U130" i="4"/>
  <c r="T131" i="4"/>
  <c r="S132" i="4"/>
  <c r="R133" i="4"/>
  <c r="X130" i="4"/>
  <c r="AG129" i="4"/>
  <c r="Q126" i="4"/>
  <c r="L129" i="4"/>
  <c r="S130" i="4"/>
  <c r="Z131" i="4"/>
  <c r="Y132" i="4"/>
  <c r="X133" i="4"/>
  <c r="W134" i="4"/>
  <c r="E122" i="11" a="1"/>
  <c r="AD127" i="11" s="1"/>
  <c r="B115" i="11"/>
  <c r="B114" i="11"/>
  <c r="F129" i="11" l="1"/>
  <c r="AA123" i="11"/>
  <c r="U128" i="11"/>
  <c r="H131" i="11"/>
  <c r="H124" i="11"/>
  <c r="AC130" i="11"/>
  <c r="AH129" i="11"/>
  <c r="G135" i="11"/>
  <c r="H135" i="11"/>
  <c r="AC134" i="11"/>
  <c r="Q125" i="11"/>
  <c r="G133" i="11"/>
  <c r="M131" i="11"/>
  <c r="Y123" i="11"/>
  <c r="X128" i="11"/>
  <c r="AC127" i="11"/>
  <c r="R126" i="11"/>
  <c r="Y131" i="11"/>
  <c r="F127" i="11"/>
  <c r="Y130" i="11"/>
  <c r="G131" i="11"/>
  <c r="AH134" i="11"/>
  <c r="AL125" i="11"/>
  <c r="Y132" i="11"/>
  <c r="E127" i="11"/>
  <c r="AD131" i="11"/>
  <c r="O135" i="11"/>
  <c r="E125" i="11"/>
  <c r="AL129" i="11"/>
  <c r="V122" i="11"/>
  <c r="I129" i="11"/>
  <c r="AH133" i="11"/>
  <c r="AD122" i="11"/>
  <c r="AF122" i="11"/>
  <c r="E124" i="11"/>
  <c r="U125" i="11"/>
  <c r="P132" i="11"/>
  <c r="AL122" i="11"/>
  <c r="Y129" i="11"/>
  <c r="M132" i="11"/>
  <c r="N128" i="11"/>
  <c r="I135" i="11"/>
  <c r="AE129" i="11"/>
  <c r="K124" i="11"/>
  <c r="L132" i="11"/>
  <c r="Q135" i="11"/>
  <c r="W122" i="11"/>
  <c r="K125" i="11"/>
  <c r="V125" i="11"/>
  <c r="AA124" i="11"/>
  <c r="G127" i="11"/>
  <c r="AD125" i="11"/>
  <c r="AI124" i="11"/>
  <c r="Q122" i="11"/>
  <c r="AF129" i="11"/>
  <c r="AJ131" i="11"/>
  <c r="AI134" i="11"/>
  <c r="AC125" i="11"/>
  <c r="R130" i="11"/>
  <c r="M130" i="11"/>
  <c r="K133" i="11"/>
  <c r="AI122" i="11"/>
  <c r="AD129" i="11"/>
  <c r="U134" i="11"/>
  <c r="AI128" i="11"/>
  <c r="V135" i="11"/>
  <c r="W135" i="11"/>
  <c r="AI126" i="11"/>
  <c r="AD133" i="11"/>
  <c r="R124" i="11"/>
  <c r="E131" i="11"/>
  <c r="I127" i="11"/>
  <c r="Z124" i="11"/>
  <c r="AB124" i="11"/>
  <c r="U124" i="11"/>
  <c r="Q127" i="11"/>
  <c r="L134" i="11"/>
  <c r="AD126" i="11"/>
  <c r="U131" i="11"/>
  <c r="Q134" i="11"/>
  <c r="F132" i="11"/>
  <c r="J123" i="11"/>
  <c r="AA131" i="11"/>
  <c r="G126" i="11"/>
  <c r="W127" i="11"/>
  <c r="N125" i="11"/>
  <c r="O126" i="11"/>
  <c r="AI129" i="11"/>
  <c r="N129" i="11"/>
  <c r="S128" i="11"/>
  <c r="AE131" i="11"/>
  <c r="V129" i="11"/>
  <c r="AA128" i="11"/>
  <c r="S130" i="11"/>
  <c r="S134" i="11"/>
  <c r="AC123" i="11"/>
  <c r="AF126" i="11"/>
  <c r="U135" i="11"/>
  <c r="R134" i="11"/>
  <c r="AG134" i="11"/>
  <c r="AF127" i="11"/>
  <c r="AE124" i="11"/>
  <c r="J124" i="11"/>
  <c r="E129" i="11"/>
  <c r="AE128" i="11"/>
  <c r="J128" i="11"/>
  <c r="AB122" i="11"/>
  <c r="X126" i="11"/>
  <c r="R122" i="11"/>
  <c r="I131" i="11"/>
  <c r="E122" i="11"/>
  <c r="Z128" i="11"/>
  <c r="M135" i="11"/>
  <c r="W123" i="11"/>
  <c r="AJ133" i="11"/>
  <c r="AF128" i="11"/>
  <c r="W133" i="11"/>
  <c r="AC131" i="11"/>
  <c r="E128" i="11"/>
  <c r="AB134" i="11"/>
  <c r="G130" i="11"/>
  <c r="H123" i="11"/>
  <c r="AC122" i="11"/>
  <c r="K132" i="11"/>
  <c r="P123" i="11"/>
  <c r="AK122" i="11"/>
  <c r="S132" i="11"/>
  <c r="AH135" i="11"/>
  <c r="Y126" i="11"/>
  <c r="T124" i="11"/>
  <c r="AA127" i="11"/>
  <c r="X132" i="11"/>
  <c r="R129" i="11"/>
  <c r="AC132" i="11"/>
  <c r="F126" i="11"/>
  <c r="AB129" i="11"/>
  <c r="AA133" i="11"/>
  <c r="Z131" i="11"/>
  <c r="AE130" i="11"/>
  <c r="AF123" i="11"/>
  <c r="Z135" i="11"/>
  <c r="AI132" i="11"/>
  <c r="N130" i="11"/>
  <c r="F128" i="11"/>
  <c r="X131" i="11"/>
  <c r="T133" i="11"/>
  <c r="AI133" i="11"/>
  <c r="W128" i="11"/>
  <c r="V133" i="11"/>
  <c r="AJ127" i="11"/>
  <c r="W134" i="11"/>
  <c r="L130" i="11"/>
  <c r="AB125" i="11"/>
  <c r="W132" i="11"/>
  <c r="S123" i="11"/>
  <c r="F130" i="11"/>
  <c r="X122" i="11"/>
  <c r="T126" i="11"/>
  <c r="J132" i="11"/>
  <c r="H134" i="11"/>
  <c r="N124" i="11"/>
  <c r="E133" i="11"/>
  <c r="AE125" i="11"/>
  <c r="V130" i="11"/>
  <c r="AJ124" i="11"/>
  <c r="AI125" i="11"/>
  <c r="AF135" i="11"/>
  <c r="AB130" i="11"/>
  <c r="L123" i="11"/>
  <c r="Y133" i="11"/>
  <c r="AH122" i="11"/>
  <c r="Q124" i="11"/>
  <c r="V123" i="11"/>
  <c r="AH126" i="11"/>
  <c r="U126" i="11"/>
  <c r="Z125" i="11"/>
  <c r="H127" i="11"/>
  <c r="AC126" i="11"/>
  <c r="Z129" i="11"/>
  <c r="X123" i="11"/>
  <c r="P122" i="11"/>
  <c r="K127" i="11"/>
  <c r="AJ129" i="11"/>
  <c r="I126" i="11"/>
  <c r="I128" i="11"/>
  <c r="Z134" i="11"/>
  <c r="F123" i="11"/>
  <c r="F134" i="11"/>
  <c r="P127" i="11"/>
  <c r="O132" i="11"/>
  <c r="G125" i="11"/>
  <c r="X133" i="11"/>
  <c r="L124" i="11"/>
  <c r="AC128" i="11"/>
  <c r="P131" i="11"/>
  <c r="T122" i="11"/>
  <c r="G129" i="11"/>
  <c r="AB135" i="11"/>
  <c r="P126" i="11"/>
  <c r="W125" i="11"/>
  <c r="U127" i="11"/>
  <c r="Q130" i="11"/>
  <c r="AF131" i="11"/>
  <c r="AF124" i="11"/>
  <c r="W129" i="11"/>
  <c r="G122" i="11"/>
  <c r="X130" i="11"/>
  <c r="Q126" i="11"/>
  <c r="Y127" i="11"/>
  <c r="M122" i="11"/>
  <c r="AD130" i="11"/>
  <c r="J125" i="11"/>
  <c r="J134" i="11"/>
  <c r="AA135" i="11"/>
  <c r="F131" i="11"/>
  <c r="O124" i="11"/>
  <c r="AB123" i="11"/>
  <c r="J133" i="11"/>
  <c r="W124" i="11"/>
  <c r="AJ123" i="11"/>
  <c r="K123" i="11"/>
  <c r="X127" i="11"/>
  <c r="AL135" i="11"/>
  <c r="N134" i="11"/>
  <c r="H125" i="11"/>
  <c r="N127" i="11"/>
  <c r="U130" i="11"/>
  <c r="Q123" i="11"/>
  <c r="J122" i="11"/>
  <c r="L129" i="11"/>
  <c r="AK126" i="11"/>
  <c r="AL127" i="11"/>
  <c r="L126" i="11"/>
  <c r="U123" i="11"/>
  <c r="S127" i="11"/>
  <c r="Y134" i="11"/>
  <c r="AB133" i="11"/>
  <c r="O133" i="11"/>
  <c r="AK123" i="11"/>
  <c r="T132" i="11"/>
  <c r="V124" i="11"/>
  <c r="U129" i="11"/>
  <c r="I124" i="11"/>
  <c r="Z132" i="11"/>
  <c r="X134" i="11"/>
  <c r="G124" i="11"/>
  <c r="P125" i="11"/>
  <c r="X124" i="11"/>
  <c r="G128" i="11"/>
  <c r="T127" i="11"/>
  <c r="AL133" i="11"/>
  <c r="O128" i="11"/>
  <c r="AB127" i="11"/>
  <c r="AC124" i="11"/>
  <c r="L122" i="11"/>
  <c r="T135" i="11"/>
  <c r="AG130" i="11"/>
  <c r="L133" i="11"/>
  <c r="AK130" i="11"/>
  <c r="H130" i="11"/>
  <c r="Q129" i="11"/>
  <c r="AB126" i="11"/>
  <c r="AK128" i="11"/>
  <c r="M123" i="11"/>
  <c r="H128" i="11"/>
  <c r="AL131" i="11"/>
  <c r="AE123" i="11"/>
  <c r="K135" i="11"/>
  <c r="P134" i="11"/>
  <c r="M133" i="11"/>
  <c r="E126" i="11"/>
  <c r="V134" i="11"/>
  <c r="P128" i="11"/>
  <c r="H129" i="11"/>
  <c r="T128" i="11"/>
  <c r="Y135" i="11"/>
  <c r="L131" i="11"/>
  <c r="AG122" i="11"/>
  <c r="AG135" i="11"/>
  <c r="T131" i="11"/>
  <c r="F125" i="11"/>
  <c r="I122" i="11"/>
  <c r="AJ125" i="11"/>
  <c r="AG126" i="11"/>
  <c r="T125" i="11"/>
  <c r="AA126" i="11"/>
  <c r="AH127" i="11"/>
  <c r="AG128" i="11"/>
  <c r="AB131" i="11"/>
  <c r="AA132" i="11"/>
  <c r="Z133" i="11"/>
  <c r="AK132" i="11"/>
  <c r="T129" i="11"/>
  <c r="AA130" i="11"/>
  <c r="AH131" i="11"/>
  <c r="AG132" i="11"/>
  <c r="AF133" i="11"/>
  <c r="AE134" i="11"/>
  <c r="AD135" i="11"/>
  <c r="K131" i="11"/>
  <c r="Y125" i="11"/>
  <c r="P130" i="11"/>
  <c r="M124" i="11"/>
  <c r="X135" i="11"/>
  <c r="AJ122" i="11"/>
  <c r="AI123" i="11"/>
  <c r="AH124" i="11"/>
  <c r="AG125" i="11"/>
  <c r="AB128" i="11"/>
  <c r="AA125" i="11"/>
  <c r="J130" i="11"/>
  <c r="Q131" i="11"/>
  <c r="T134" i="11"/>
  <c r="S135" i="11"/>
  <c r="O122" i="11"/>
  <c r="N123" i="11"/>
  <c r="AK134" i="11"/>
  <c r="M128" i="11"/>
  <c r="K122" i="11"/>
  <c r="R123" i="11"/>
  <c r="M126" i="11"/>
  <c r="L127" i="11"/>
  <c r="K128" i="11"/>
  <c r="J129" i="11"/>
  <c r="G123" i="11"/>
  <c r="AL124" i="11"/>
  <c r="K126" i="11"/>
  <c r="R127" i="11"/>
  <c r="Q128" i="11"/>
  <c r="P129" i="11"/>
  <c r="O130" i="11"/>
  <c r="N131" i="11"/>
  <c r="AK124" i="11"/>
  <c r="L125" i="11"/>
  <c r="S126" i="11"/>
  <c r="Z127" i="11"/>
  <c r="Y128" i="11"/>
  <c r="X129" i="11"/>
  <c r="W130" i="11"/>
  <c r="V131" i="11"/>
  <c r="R133" i="11"/>
  <c r="AJ128" i="11"/>
  <c r="I134" i="11"/>
  <c r="AD124" i="11"/>
  <c r="AK125" i="11"/>
  <c r="J127" i="11"/>
  <c r="E130" i="11"/>
  <c r="AL130" i="11"/>
  <c r="AK131" i="11"/>
  <c r="AJ132" i="11"/>
  <c r="O127" i="11"/>
  <c r="AD128" i="11"/>
  <c r="AK129" i="11"/>
  <c r="J131" i="11"/>
  <c r="I132" i="11"/>
  <c r="H133" i="11"/>
  <c r="G134" i="11"/>
  <c r="F135" i="11"/>
  <c r="K129" i="11"/>
  <c r="AL128" i="11"/>
  <c r="K130" i="11"/>
  <c r="R131" i="11"/>
  <c r="Q132" i="11"/>
  <c r="P133" i="11"/>
  <c r="O134" i="11"/>
  <c r="N135" i="11"/>
  <c r="AL126" i="11"/>
  <c r="AK127" i="11"/>
  <c r="AF130" i="11"/>
  <c r="O123" i="11"/>
  <c r="Z126" i="11"/>
  <c r="AG127" i="11"/>
  <c r="AJ130" i="11"/>
  <c r="AI131" i="11"/>
  <c r="AH132" i="11"/>
  <c r="AG133" i="11"/>
  <c r="AF134" i="11"/>
  <c r="S129" i="11"/>
  <c r="Z130" i="11"/>
  <c r="AG131" i="11"/>
  <c r="F133" i="11"/>
  <c r="E134" i="11"/>
  <c r="AL134" i="11"/>
  <c r="AK135" i="11"/>
  <c r="P135" i="11"/>
  <c r="O131" i="11"/>
  <c r="AH130" i="11"/>
  <c r="G132" i="11"/>
  <c r="N133" i="11"/>
  <c r="M134" i="11"/>
  <c r="L135" i="11"/>
  <c r="H122" i="11"/>
  <c r="F124" i="11"/>
  <c r="Y122" i="11"/>
  <c r="AA134" i="11"/>
  <c r="S133" i="11"/>
  <c r="AL132" i="11"/>
  <c r="K134" i="11"/>
  <c r="R135" i="11"/>
  <c r="N122" i="11"/>
  <c r="I125" i="11"/>
  <c r="H126" i="11"/>
  <c r="R128" i="11"/>
  <c r="AE135" i="11"/>
  <c r="I123" i="11"/>
  <c r="P124" i="11"/>
  <c r="O125" i="11"/>
  <c r="N126" i="11"/>
  <c r="M127" i="11"/>
  <c r="L128" i="11"/>
  <c r="H132" i="11"/>
  <c r="V126" i="11"/>
  <c r="E135" i="11"/>
  <c r="U132" i="11"/>
  <c r="J126" i="11"/>
  <c r="M129" i="11"/>
  <c r="T130" i="11"/>
  <c r="S131" i="11"/>
  <c r="R132" i="11"/>
  <c r="Q133" i="11"/>
  <c r="I133" i="11"/>
  <c r="Z122" i="11"/>
  <c r="AG123" i="11"/>
  <c r="AJ126" i="11"/>
  <c r="AI127" i="11"/>
  <c r="AH128" i="11"/>
  <c r="AG129" i="11"/>
  <c r="AB132" i="11"/>
  <c r="S125" i="11"/>
  <c r="V128" i="11"/>
  <c r="AC129" i="11"/>
  <c r="AF132" i="11"/>
  <c r="AE133" i="11"/>
  <c r="AD134" i="11"/>
  <c r="AC135" i="11"/>
  <c r="M125" i="11"/>
  <c r="AA129" i="11"/>
  <c r="V132" i="11"/>
  <c r="AC133" i="11"/>
  <c r="AJ134" i="11"/>
  <c r="AI135" i="11"/>
  <c r="AE122" i="11"/>
  <c r="AD123" i="11"/>
  <c r="AE132" i="11"/>
  <c r="W131" i="11"/>
  <c r="AD132" i="11"/>
  <c r="AK133" i="11"/>
  <c r="J135" i="11"/>
  <c r="F122" i="11"/>
  <c r="E123" i="11"/>
  <c r="AL123" i="11"/>
  <c r="AH125" i="11"/>
  <c r="AI130" i="11"/>
  <c r="AE127" i="11"/>
  <c r="N132" i="11"/>
  <c r="U133" i="11"/>
  <c r="U122" i="11"/>
  <c r="T123" i="11"/>
  <c r="S124" i="11"/>
  <c r="R125" i="11"/>
  <c r="O129" i="11"/>
  <c r="I130" i="11"/>
  <c r="S122" i="11"/>
  <c r="Z123" i="11"/>
  <c r="Y124" i="11"/>
  <c r="X125" i="11"/>
  <c r="W126" i="11"/>
  <c r="V127" i="11"/>
  <c r="AJ135" i="11"/>
  <c r="E132" i="11"/>
  <c r="AA122" i="11"/>
  <c r="AH123" i="11"/>
  <c r="AG124" i="11"/>
  <c r="AF125" i="11"/>
  <c r="AE1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<sst xmlns="http://schemas.openxmlformats.org/spreadsheetml/2006/main" count="270" uniqueCount="89">
  <si>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</si>
  <si>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</si>
  <si>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</si>
  <si>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</si>
  <si>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</si>
  <si>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</si>
  <si>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</si>
  <si>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</si>
  <si>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</si>
  <si>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</si>
  <si>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</si>
  <si>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</si>
  <si>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</si>
  <si>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</si>
  <si>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</si>
  <si>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</si>
  <si>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</si>
  <si>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</si>
  <si>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</si>
  <si>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</si>
  <si>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</si>
  <si>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</si>
  <si>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</si>
  <si>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</si>
  <si>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</si>
  <si>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</si>
  <si>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</si>
  <si>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</si>
  <si>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</si>
  <si>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</si>
  <si>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</si>
  <si>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</si>
  <si>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</si>
  <si>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</si>
  <si>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</si>
  <si>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</si>
  <si>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</si>
  <si>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*Se[m]</t>
  </si>
  <si>
    <t>*Ge[c]</t>
  </si>
  <si>
    <t>*GeSe</t>
  </si>
  <si>
    <t>*Ge</t>
  </si>
  <si>
    <t>(l)Se[r]</t>
  </si>
  <si>
    <t>(l)Se[a]</t>
  </si>
  <si>
    <t>(l)Se</t>
  </si>
  <si>
    <t>(l)Ge</t>
  </si>
  <si>
    <t>(l)GeSe</t>
  </si>
  <si>
    <t>*GeSe2</t>
  </si>
  <si>
    <t>(l)Se[m]</t>
  </si>
  <si>
    <t>Se3</t>
  </si>
  <si>
    <t>Se4</t>
  </si>
  <si>
    <t>Se5</t>
  </si>
  <si>
    <t>Se6</t>
  </si>
  <si>
    <t>Se2</t>
  </si>
  <si>
    <t>Se7</t>
  </si>
  <si>
    <t>(l)Ge[c]</t>
  </si>
  <si>
    <t>(l)GeSe2</t>
  </si>
  <si>
    <t>*Ge[l]</t>
  </si>
  <si>
    <t>Ge2</t>
  </si>
  <si>
    <t>Темп1 Графики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</si>
  <si>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</si>
  <si>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(DGeSe</t>
  </si>
  <si>
    <t>Vapor</t>
  </si>
  <si>
    <t>Solution #1</t>
  </si>
  <si>
    <t>Solution #2</t>
  </si>
  <si>
    <t>Solution #3</t>
  </si>
  <si>
    <r>
      <t>Temperature,</t>
    </r>
    <r>
      <rPr>
        <sz val="8"/>
        <rFont val="Arial"/>
        <family val="2"/>
        <charset val="204"/>
      </rPr>
      <t>К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</si>
  <si>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</si>
  <si>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r>
      <t>(l)GeSe</t>
    </r>
    <r>
      <rPr>
        <vertAlign val="subscript"/>
        <sz val="8"/>
        <rFont val="Arial"/>
        <family val="2"/>
        <charset val="204"/>
      </rPr>
      <t>2</t>
    </r>
  </si>
  <si>
    <t>Temperature,К</t>
  </si>
  <si>
    <t>Convergency</t>
  </si>
  <si>
    <r>
      <t>Temperature,</t>
    </r>
    <r>
      <rPr>
        <sz val="8"/>
        <rFont val="Arial"/>
        <family val="2"/>
        <charset val="204"/>
      </rPr>
      <t xml:space="preserve">К </t>
    </r>
    <r>
      <rPr>
        <sz val="8"/>
        <rFont val="Arial"/>
        <family val="2"/>
        <charset val="204"/>
      </rPr>
      <t>Pressure, at</t>
    </r>
  </si>
  <si>
    <r>
      <t>*Ge</t>
    </r>
    <r>
      <rPr>
        <vertAlign val="subscript"/>
        <sz val="8"/>
        <rFont val="Arial"/>
        <family val="2"/>
        <charset val="204"/>
      </rPr>
      <t>3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4</t>
    </r>
  </si>
  <si>
    <r>
      <t>*Ge</t>
    </r>
    <r>
      <rPr>
        <vertAlign val="subscript"/>
        <sz val="8"/>
        <rFont val="Arial"/>
        <family val="2"/>
        <charset val="204"/>
      </rPr>
      <t>4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5</t>
    </r>
  </si>
  <si>
    <r>
      <t>Se</t>
    </r>
    <r>
      <rPr>
        <vertAlign val="subscript"/>
        <sz val="8"/>
        <rFont val="Arial"/>
        <family val="2"/>
        <charset val="204"/>
      </rPr>
      <t>6</t>
    </r>
  </si>
  <si>
    <r>
      <t>Se</t>
    </r>
    <r>
      <rPr>
        <vertAlign val="subscript"/>
        <sz val="8"/>
        <rFont val="Arial"/>
        <family val="2"/>
        <charset val="204"/>
      </rPr>
      <t>5</t>
    </r>
  </si>
  <si>
    <r>
      <t>Se</t>
    </r>
    <r>
      <rPr>
        <vertAlign val="subscript"/>
        <sz val="8"/>
        <rFont val="Arial"/>
        <family val="2"/>
        <charset val="204"/>
      </rPr>
      <t>4</t>
    </r>
  </si>
  <si>
    <r>
      <t>Se</t>
    </r>
    <r>
      <rPr>
        <vertAlign val="subscript"/>
        <sz val="8"/>
        <rFont val="Arial"/>
        <family val="2"/>
        <charset val="204"/>
      </rPr>
      <t>3</t>
    </r>
  </si>
  <si>
    <r>
      <t>Se</t>
    </r>
    <r>
      <rPr>
        <vertAlign val="subscript"/>
        <sz val="8"/>
        <rFont val="Arial"/>
        <family val="2"/>
        <charset val="204"/>
      </rPr>
      <t>2</t>
    </r>
  </si>
  <si>
    <t>So1ution #1</t>
  </si>
  <si>
    <t>Temperature,К Pressure, at</t>
  </si>
  <si>
    <t>*Ge3Se4</t>
  </si>
  <si>
    <t>*Ge4Se5</t>
  </si>
  <si>
    <t>GeSe</t>
  </si>
  <si>
    <r>
      <t>Ge</t>
    </r>
    <r>
      <rPr>
        <vertAlign val="subscript"/>
        <sz val="8"/>
        <rFont val="Arial"/>
        <family val="2"/>
        <charset val="204"/>
      </rPr>
      <t>2</t>
    </r>
  </si>
  <si>
    <t>*Ge[1]</t>
  </si>
  <si>
    <t>(1)Ge[1]</t>
  </si>
  <si>
    <t>(1)Se[1]</t>
  </si>
  <si>
    <t>(1)Ge[l]</t>
  </si>
  <si>
    <t>(1)Se[l]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</si>
</sst>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29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vertAlign val="subscript"/>
      <sz val="8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45">
    <xf numFmtId="0" fontId="0" fillId="0" borderId="0" xfId="0"/>
    <xf numFmtId="0" fontId="8" fillId="7" borderId="33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17" xfId="5" applyBorder="1">
      <alignment horizontal="center" vertical="center"/>
    </xf>
    <xf numFmtId="0" fontId="2" fillId="4" borderId="19" xfId="5" applyBorder="1">
      <alignment horizontal="center" vertical="center"/>
    </xf>
    <xf numFmtId="0" fontId="2" fillId="4" borderId="8" xfId="5" applyBorder="1">
      <alignment horizontal="center" vertical="center"/>
    </xf>
    <xf numFmtId="0" fontId="2" fillId="4" borderId="21" xfId="5" applyBorder="1">
      <alignment horizontal="center" vertical="center"/>
    </xf>
    <xf numFmtId="0" fontId="2" fillId="4" borderId="22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4" xfId="0" applyBorder="1"/>
    <xf numFmtId="0" fontId="0" fillId="0" borderId="0" xfId="0" applyBorder="1"/>
    <xf numFmtId="0" fontId="0" fillId="0" borderId="25" xfId="0" applyBorder="1"/>
    <xf numFmtId="0" fontId="0" fillId="0" borderId="13" xfId="0" applyBorder="1"/>
    <xf numFmtId="0" fontId="0" fillId="0" borderId="26" xfId="0" applyBorder="1"/>
    <xf numFmtId="0" fontId="0" fillId="0" borderId="27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164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65" fontId="10" fillId="0" borderId="0" xfId="7"/>
    <xf numFmtId="1" fontId="2" fillId="4" borderId="18" xfId="5" applyNumberFormat="1" applyBorder="1">
      <alignment horizontal="center" vertical="center"/>
    </xf>
    <xf numFmtId="1" fontId="2" fillId="4" borderId="20" xfId="5" applyNumberFormat="1" applyBorder="1">
      <alignment horizontal="center" vertical="center"/>
    </xf>
    <xf numFmtId="11" fontId="12" fillId="10" borderId="0" xfId="4" applyNumberFormat="1">
      <alignment vertical="top"/>
    </xf>
    <xf numFmtId="1" fontId="22" fillId="4" borderId="18" xfId="5" applyNumberFormat="1" applyFont="1" applyBorder="1">
      <alignment horizontal="center" vertical="center"/>
    </xf>
    <xf numFmtId="1" fontId="22" fillId="4" borderId="20" xfId="5" applyNumberFormat="1" applyFont="1" applyBorder="1">
      <alignment horizontal="center" vertical="center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1" fontId="0" fillId="0" borderId="27" xfId="0" applyNumberFormat="1" applyBorder="1"/>
    <xf numFmtId="0" fontId="8" fillId="7" borderId="4" xfId="2" applyNumberFormat="1" applyBorder="1">
      <alignment horizontal="left" vertical="center"/>
    </xf>
    <xf numFmtId="0" fontId="8" fillId="7" borderId="31" xfId="2" applyNumberFormat="1" applyBorder="1">
      <alignment horizontal="left" vertical="center"/>
    </xf>
    <xf numFmtId="1" fontId="8" fillId="7" borderId="31" xfId="2" applyBorder="1">
      <alignment horizontal="left" vertical="center"/>
    </xf>
    <xf numFmtId="0" fontId="8" fillId="7" borderId="32" xfId="2" applyNumberFormat="1" applyBorder="1">
      <alignment horizontal="left" vertical="center"/>
    </xf>
    <xf numFmtId="0" fontId="8" fillId="7" borderId="2" xfId="2" applyNumberFormat="1" applyBorder="1">
      <alignment horizontal="left" vertical="center"/>
    </xf>
    <xf numFmtId="1" fontId="8" fillId="7" borderId="32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30" xfId="0" applyBorder="1"/>
    <xf numFmtId="1" fontId="8" fillId="7" borderId="33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4" xfId="0" applyFont="1" applyFill="1" applyBorder="1"/>
    <xf numFmtId="0" fontId="6" fillId="9" borderId="0" xfId="0" applyFont="1" applyFill="1" applyBorder="1"/>
    <xf numFmtId="0" fontId="6" fillId="9" borderId="30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23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13" fillId="0" borderId="34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justify"/>
    </xf>
    <xf numFmtId="0" fontId="13" fillId="0" borderId="34" xfId="0" applyNumberFormat="1" applyFont="1" applyFill="1" applyBorder="1" applyAlignment="1" applyProtection="1">
      <alignment horizontal="right"/>
    </xf>
    <xf numFmtId="0" fontId="13" fillId="0" borderId="28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left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11" fontId="13" fillId="0" borderId="28" xfId="0" applyNumberFormat="1" applyFont="1" applyFill="1" applyBorder="1" applyAlignment="1" applyProtection="1">
      <alignment horizontal="justify"/>
    </xf>
    <xf numFmtId="11" fontId="13" fillId="0" borderId="28" xfId="0" applyNumberFormat="1" applyFont="1" applyFill="1" applyBorder="1" applyAlignment="1" applyProtection="1">
      <alignment horizontal="center"/>
    </xf>
    <xf numFmtId="11" fontId="13" fillId="0" borderId="28" xfId="0" applyNumberFormat="1" applyFont="1" applyFill="1" applyBorder="1" applyAlignment="1" applyProtection="1">
      <alignment horizontal="justify" vertical="top"/>
    </xf>
    <xf numFmtId="11" fontId="13" fillId="0" borderId="28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 vertical="top"/>
    </xf>
    <xf numFmtId="11" fontId="13" fillId="0" borderId="34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/>
    </xf>
    <xf numFmtId="11" fontId="13" fillId="0" borderId="34" xfId="0" applyNumberFormat="1" applyFont="1" applyFill="1" applyBorder="1" applyAlignment="1" applyProtection="1">
      <alignment horizontal="center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0" fontId="23" fillId="0" borderId="0" xfId="8" applyNumberFormat="1" applyFont="1" applyFill="1" applyBorder="1" applyAlignment="1" applyProtection="1">
      <alignment vertical="top"/>
    </xf>
    <xf numFmtId="0" fontId="13" fillId="0" borderId="1" xfId="8" applyNumberFormat="1" applyFont="1" applyFill="1" applyBorder="1" applyAlignment="1" applyProtection="1">
      <alignment horizontal="left" vertical="center" wrapText="1"/>
    </xf>
    <xf numFmtId="0" fontId="13" fillId="0" borderId="1" xfId="8" applyNumberFormat="1" applyFont="1" applyFill="1" applyBorder="1" applyAlignment="1" applyProtection="1">
      <alignment horizontal="right" vertical="center" wrapText="1"/>
    </xf>
    <xf numFmtId="0" fontId="13" fillId="0" borderId="28" xfId="8" applyNumberFormat="1" applyFont="1" applyFill="1" applyBorder="1" applyAlignment="1" applyProtection="1">
      <alignment horizontal="left"/>
    </xf>
    <xf numFmtId="0" fontId="13" fillId="0" borderId="28" xfId="8" applyNumberFormat="1" applyFont="1" applyFill="1" applyBorder="1" applyAlignment="1" applyProtection="1">
      <alignment horizontal="justify"/>
    </xf>
    <xf numFmtId="0" fontId="13" fillId="0" borderId="34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left"/>
    </xf>
    <xf numFmtId="0" fontId="13" fillId="0" borderId="10" xfId="8" applyNumberFormat="1" applyFont="1" applyFill="1" applyBorder="1" applyAlignment="1" applyProtection="1">
      <alignment horizontal="left" vertical="top"/>
    </xf>
    <xf numFmtId="0" fontId="13" fillId="0" borderId="28" xfId="8" applyNumberFormat="1" applyFont="1" applyFill="1" applyBorder="1" applyAlignment="1" applyProtection="1">
      <alignment horizontal="right"/>
    </xf>
    <xf numFmtId="11" fontId="13" fillId="0" borderId="28" xfId="8" applyNumberFormat="1" applyFont="1" applyFill="1" applyBorder="1" applyAlignment="1" applyProtection="1">
      <alignment horizontal="justify"/>
    </xf>
    <xf numFmtId="11" fontId="13" fillId="0" borderId="28" xfId="8" applyNumberFormat="1" applyFont="1" applyFill="1" applyBorder="1" applyAlignment="1" applyProtection="1">
      <alignment horizontal="center"/>
    </xf>
    <xf numFmtId="11" fontId="13" fillId="0" borderId="34" xfId="8" applyNumberFormat="1" applyFont="1" applyFill="1" applyBorder="1" applyAlignment="1" applyProtection="1">
      <alignment horizontal="justify" vertical="top"/>
    </xf>
    <xf numFmtId="11" fontId="13" fillId="0" borderId="34" xfId="8" applyNumberFormat="1" applyFont="1" applyFill="1" applyBorder="1" applyAlignment="1" applyProtection="1">
      <alignment horizontal="center" vertical="top"/>
    </xf>
    <xf numFmtId="11" fontId="13" fillId="0" borderId="34" xfId="8" applyNumberFormat="1" applyFont="1" applyFill="1" applyBorder="1" applyAlignment="1" applyProtection="1">
      <alignment horizontal="justify"/>
    </xf>
    <xf numFmtId="11" fontId="13" fillId="0" borderId="34" xfId="8" applyNumberFormat="1" applyFont="1" applyFill="1" applyBorder="1" applyAlignment="1" applyProtection="1">
      <alignment horizontal="center"/>
    </xf>
    <xf numFmtId="11" fontId="13" fillId="0" borderId="10" xfId="8" applyNumberFormat="1" applyFont="1" applyFill="1" applyBorder="1" applyAlignment="1" applyProtection="1">
      <alignment horizontal="justify" vertical="top"/>
    </xf>
    <xf numFmtId="11" fontId="13" fillId="0" borderId="10" xfId="8" applyNumberFormat="1" applyFont="1" applyFill="1" applyBorder="1" applyAlignment="1" applyProtection="1">
      <alignment horizontal="center" vertical="top"/>
    </xf>
    <xf numFmtId="0" fontId="13" fillId="0" borderId="34" xfId="9" applyNumberFormat="1" applyFont="1" applyFill="1" applyBorder="1" applyAlignment="1" applyProtection="1">
      <alignment horizontal="left" vertical="top"/>
    </xf>
    <xf numFmtId="0" fontId="13" fillId="0" borderId="34" xfId="9" applyNumberFormat="1" applyFont="1" applyFill="1" applyBorder="1" applyAlignment="1" applyProtection="1">
      <alignment horizontal="justify" vertical="top"/>
    </xf>
    <xf numFmtId="0" fontId="13" fillId="0" borderId="10" xfId="9" applyNumberFormat="1" applyFont="1" applyFill="1" applyBorder="1" applyAlignment="1" applyProtection="1">
      <alignment horizontal="left" vertical="top"/>
    </xf>
    <xf numFmtId="0" fontId="13" fillId="0" borderId="28" xfId="9" applyNumberFormat="1" applyFont="1" applyFill="1" applyBorder="1" applyAlignment="1" applyProtection="1">
      <alignment horizontal="left"/>
    </xf>
    <xf numFmtId="0" fontId="13" fillId="0" borderId="34" xfId="9" applyNumberFormat="1" applyFont="1" applyFill="1" applyBorder="1" applyAlignment="1" applyProtection="1">
      <alignment horizontal="left"/>
    </xf>
    <xf numFmtId="0" fontId="13" fillId="0" borderId="34" xfId="9" applyNumberFormat="1" applyFont="1" applyFill="1" applyBorder="1" applyAlignment="1" applyProtection="1">
      <alignment horizontal="right" vertical="top"/>
    </xf>
    <xf numFmtId="0" fontId="13" fillId="0" borderId="34" xfId="9" applyNumberFormat="1" applyFont="1" applyFill="1" applyBorder="1" applyAlignment="1" applyProtection="1">
      <alignment horizontal="right"/>
    </xf>
    <xf numFmtId="11" fontId="13" fillId="0" borderId="28" xfId="9" applyNumberFormat="1" applyFont="1" applyFill="1" applyBorder="1" applyAlignment="1" applyProtection="1">
      <alignment horizontal="justify"/>
    </xf>
    <xf numFmtId="11" fontId="13" fillId="0" borderId="28" xfId="9" applyNumberFormat="1" applyFont="1" applyFill="1" applyBorder="1" applyAlignment="1" applyProtection="1">
      <alignment horizontal="center"/>
    </xf>
    <xf numFmtId="11" fontId="13" fillId="0" borderId="34" xfId="9" applyNumberFormat="1" applyFont="1" applyFill="1" applyBorder="1" applyAlignment="1" applyProtection="1">
      <alignment horizontal="justify"/>
    </xf>
    <xf numFmtId="11" fontId="13" fillId="0" borderId="34" xfId="9" applyNumberFormat="1" applyFont="1" applyFill="1" applyBorder="1" applyAlignment="1" applyProtection="1">
      <alignment horizontal="center"/>
    </xf>
    <xf numFmtId="11" fontId="13" fillId="0" borderId="34" xfId="9" applyNumberFormat="1" applyFont="1" applyFill="1" applyBorder="1" applyAlignment="1" applyProtection="1">
      <alignment horizontal="justify" vertical="top"/>
    </xf>
    <xf numFmtId="11" fontId="13" fillId="0" borderId="34" xfId="9" applyNumberFormat="1" applyFont="1" applyFill="1" applyBorder="1" applyAlignment="1" applyProtection="1">
      <alignment horizontal="center" vertical="top"/>
    </xf>
    <xf numFmtId="11" fontId="13" fillId="0" borderId="10" xfId="9" applyNumberFormat="1" applyFont="1" applyFill="1" applyBorder="1" applyAlignment="1" applyProtection="1">
      <alignment horizontal="justify" vertical="top"/>
    </xf>
    <xf numFmtId="11" fontId="13" fillId="0" borderId="10" xfId="9" applyNumberFormat="1" applyFont="1" applyFill="1" applyBorder="1" applyAlignment="1" applyProtection="1">
      <alignment horizontal="center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2" fillId="4" borderId="15" xfId="5" applyBorder="1">
      <alignment horizontal="center" vertical="center"/>
    </xf>
    <xf numFmtId="0" fontId="2" fillId="4" borderId="16" xfId="5" applyBorder="1">
      <alignment horizontal="center" vertical="center"/>
    </xf>
    <xf numFmtId="0" fontId="1" fillId="13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10">
    <cellStyle name="Ввод" xfId="6" xr:uid="{A9A7DDE3-643E-4013-945F-2DCD94967680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F" xfId="8" xr:uid="{A9320D05-18CB-4AF1-A5D0-21954772A06A}"/>
    <cellStyle name="Обычный_S" xfId="9" xr:uid="{A2302DF2-755D-4FFD-8512-59EA3E5D279E}"/>
    <cellStyle name="Форм" xfId="4" xr:uid="{810E17FE-2F7B-4E62-B173-29B9F2A26C86}"/>
  </cellStyles>
  <dxfs count="13"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-118.71167058600003</c:v>
                </c:pt>
                <c:pt idx="1">
                  <c:v>-120.73720750350002</c:v>
                </c:pt>
                <c:pt idx="2">
                  <c:v>-123.09648429375001</c:v>
                </c:pt>
                <c:pt idx="3">
                  <c:v>-125.88127225050002</c:v>
                </c:pt>
                <c:pt idx="4">
                  <c:v>-129.24938058375</c:v>
                </c:pt>
                <c:pt idx="5">
                  <c:v>-146.0833088967</c:v>
                </c:pt>
                <c:pt idx="6">
                  <c:v>-151.18473855059997</c:v>
                </c:pt>
                <c:pt idx="7">
                  <c:v>-157.05675523305004</c:v>
                </c:pt>
                <c:pt idx="8">
                  <c:v>-163.80838781400004</c:v>
                </c:pt>
                <c:pt idx="9">
                  <c:v>-171.4374437598</c:v>
                </c:pt>
                <c:pt idx="10">
                  <c:v>-179.80426857120005</c:v>
                </c:pt>
                <c:pt idx="11">
                  <c:v>-188.57727167369995</c:v>
                </c:pt>
                <c:pt idx="12">
                  <c:v>-197.66745964800003</c:v>
                </c:pt>
                <c:pt idx="13">
                  <c:v>-206.96408667990008</c:v>
                </c:pt>
                <c:pt idx="14">
                  <c:v>-216.36969020040004</c:v>
                </c:pt>
                <c:pt idx="15">
                  <c:v>-226.01684990070004</c:v>
                </c:pt>
                <c:pt idx="16">
                  <c:v>-235.74979861200001</c:v>
                </c:pt>
                <c:pt idx="17">
                  <c:v>-245.64028714350005</c:v>
                </c:pt>
                <c:pt idx="18">
                  <c:v>-286.45630067550002</c:v>
                </c:pt>
                <c:pt idx="19">
                  <c:v>-329.31561089700006</c:v>
                </c:pt>
                <c:pt idx="20">
                  <c:v>-373.88795921640008</c:v>
                </c:pt>
                <c:pt idx="21">
                  <c:v>-420.32291850000001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3"/>
          <c:order val="3"/>
          <c:tx>
            <c:strRef>
              <c:f>ALL!$E$7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2.8227000000000001E-35</c:v>
                      </c:pt>
                      <c:pt idx="2">
                        <c:v>2.6125000000000001E-26</c:v>
                      </c:pt>
                      <c:pt idx="3">
                        <c:v>6.3016000000000003E-22</c:v>
                      </c:pt>
                      <c:pt idx="4">
                        <c:v>4.6219999999999997E-20</c:v>
                      </c:pt>
                      <c:pt idx="5">
                        <c:v>1.0271E-13</c:v>
                      </c:pt>
                      <c:pt idx="6">
                        <c:v>4.2760999999999998E-10</c:v>
                      </c:pt>
                      <c:pt idx="7">
                        <c:v>6.7368999999999998E-9</c:v>
                      </c:pt>
                      <c:pt idx="8">
                        <c:v>1.3224E-8</c:v>
                      </c:pt>
                      <c:pt idx="9">
                        <c:v>1.4313000000000001E-8</c:v>
                      </c:pt>
                      <c:pt idx="10">
                        <c:v>1.6196000000000002E-8</c:v>
                      </c:pt>
                      <c:pt idx="11">
                        <c:v>1.8801999999999999E-8</c:v>
                      </c:pt>
                      <c:pt idx="12">
                        <c:v>2.7488999999999999E-8</c:v>
                      </c:pt>
                      <c:pt idx="13">
                        <c:v>1.9198999999999999E-8</c:v>
                      </c:pt>
                      <c:pt idx="14">
                        <c:v>1.9329999999999998E-8</c:v>
                      </c:pt>
                      <c:pt idx="15">
                        <c:v>3.0685E-8</c:v>
                      </c:pt>
                      <c:pt idx="16">
                        <c:v>2.9145000000000001E-8</c:v>
                      </c:pt>
                      <c:pt idx="17">
                        <c:v>2.9124E-8</c:v>
                      </c:pt>
                      <c:pt idx="18">
                        <c:v>2.8829E-8</c:v>
                      </c:pt>
                      <c:pt idx="19">
                        <c:v>2.0467000000000001E-8</c:v>
                      </c:pt>
                      <c:pt idx="20">
                        <c:v>2.5906E-8</c:v>
                      </c:pt>
                      <c:pt idx="21">
                        <c:v>2.4614999999999999E-8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3.6883999999999998E-9</c:v>
                      </c:pt>
                      <c:pt idx="1">
                        <c:v>1.4574E-9</c:v>
                      </c:pt>
                      <c:pt idx="2">
                        <c:v>2.4654999999999999E-13</c:v>
                      </c:pt>
                      <c:pt idx="3">
                        <c:v>2.5759999999999999E-22</c:v>
                      </c:pt>
                      <c:pt idx="4">
                        <c:v>1.1609000000000001E-36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7.4734000000000003E-10</c:v>
                      </c:pt>
                      <c:pt idx="1">
                        <c:v>6.9597999999999999E-9</c:v>
                      </c:pt>
                      <c:pt idx="2">
                        <c:v>1.3611E-8</c:v>
                      </c:pt>
                      <c:pt idx="3">
                        <c:v>2.2326000000000001E-8</c:v>
                      </c:pt>
                      <c:pt idx="4">
                        <c:v>3.3273999999999997E-8</c:v>
                      </c:pt>
                      <c:pt idx="5">
                        <c:v>1.7159000000000002E-8</c:v>
                      </c:pt>
                      <c:pt idx="6">
                        <c:v>3.6573999999999998E-9</c:v>
                      </c:pt>
                      <c:pt idx="7">
                        <c:v>5.8700000000000002E-13</c:v>
                      </c:pt>
                      <c:pt idx="8">
                        <c:v>2.0051999999999999E-20</c:v>
                      </c:pt>
                      <c:pt idx="9">
                        <c:v>8.5854999999999993E-31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0.15739</c:v>
                      </c:pt>
                      <c:pt idx="1">
                        <c:v>0.14849000000000001</c:v>
                      </c:pt>
                      <c:pt idx="2">
                        <c:v>0.12328</c:v>
                      </c:pt>
                      <c:pt idx="3">
                        <c:v>8.0623E-2</c:v>
                      </c:pt>
                      <c:pt idx="4">
                        <c:v>4.0173E-2</c:v>
                      </c:pt>
                      <c:pt idx="5">
                        <c:v>1.2006E-3</c:v>
                      </c:pt>
                      <c:pt idx="6">
                        <c:v>5.2276999999999998E-4</c:v>
                      </c:pt>
                      <c:pt idx="7">
                        <c:v>2.1332999999999999E-4</c:v>
                      </c:pt>
                      <c:pt idx="8">
                        <c:v>7.5371999999999996E-5</c:v>
                      </c:pt>
                      <c:pt idx="9">
                        <c:v>2.2756E-5</c:v>
                      </c:pt>
                      <c:pt idx="10">
                        <c:v>6.2272999999999997E-6</c:v>
                      </c:pt>
                      <c:pt idx="11">
                        <c:v>1.6602E-6</c:v>
                      </c:pt>
                      <c:pt idx="12">
                        <c:v>4.5165E-7</c:v>
                      </c:pt>
                      <c:pt idx="13">
                        <c:v>1.2802999999999999E-7</c:v>
                      </c:pt>
                      <c:pt idx="14">
                        <c:v>3.8083999999999999E-8</c:v>
                      </c:pt>
                      <c:pt idx="15">
                        <c:v>1.1895E-8</c:v>
                      </c:pt>
                      <c:pt idx="16">
                        <c:v>3.8935999999999999E-9</c:v>
                      </c:pt>
                      <c:pt idx="17">
                        <c:v>1.3319999999999999E-9</c:v>
                      </c:pt>
                      <c:pt idx="18">
                        <c:v>2.6763999999999999E-11</c:v>
                      </c:pt>
                      <c:pt idx="19">
                        <c:v>8.8239000000000004E-13</c:v>
                      </c:pt>
                      <c:pt idx="20">
                        <c:v>4.2381999999999998E-14</c:v>
                      </c:pt>
                      <c:pt idx="21">
                        <c:v>2.7263000000000001E-15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0.16261</c:v>
                      </c:pt>
                      <c:pt idx="1">
                        <c:v>0.17151</c:v>
                      </c:pt>
                      <c:pt idx="2">
                        <c:v>0.19672000000000001</c:v>
                      </c:pt>
                      <c:pt idx="3">
                        <c:v>0.23934</c:v>
                      </c:pt>
                      <c:pt idx="4">
                        <c:v>0.27966000000000002</c:v>
                      </c:pt>
                      <c:pt idx="5">
                        <c:v>0.28988999999999998</c:v>
                      </c:pt>
                      <c:pt idx="6">
                        <c:v>0.25194</c:v>
                      </c:pt>
                      <c:pt idx="7">
                        <c:v>0.19273999999999999</c:v>
                      </c:pt>
                      <c:pt idx="8">
                        <c:v>0.12526999999999999</c:v>
                      </c:pt>
                      <c:pt idx="9">
                        <c:v>6.9651000000000005E-2</c:v>
                      </c:pt>
                      <c:pt idx="10">
                        <c:v>3.5006000000000002E-2</c:v>
                      </c:pt>
                      <c:pt idx="11">
                        <c:v>1.6919E-2</c:v>
                      </c:pt>
                      <c:pt idx="12">
                        <c:v>8.1831000000000004E-3</c:v>
                      </c:pt>
                      <c:pt idx="13">
                        <c:v>4.0353999999999998E-3</c:v>
                      </c:pt>
                      <c:pt idx="14">
                        <c:v>2.0431999999999998E-3</c:v>
                      </c:pt>
                      <c:pt idx="15">
                        <c:v>1.0639E-3</c:v>
                      </c:pt>
                      <c:pt idx="16">
                        <c:v>5.6939000000000002E-4</c:v>
                      </c:pt>
                      <c:pt idx="17">
                        <c:v>3.1274999999999999E-4</c:v>
                      </c:pt>
                      <c:pt idx="18">
                        <c:v>3.5703E-5</c:v>
                      </c:pt>
                      <c:pt idx="19">
                        <c:v>5.4586999999999999E-6</c:v>
                      </c:pt>
                      <c:pt idx="20">
                        <c:v>1.0409000000000001E-6</c:v>
                      </c:pt>
                      <c:pt idx="21">
                        <c:v>2.3547E-7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6.0284999999999998E-7</c:v>
                      </c:pt>
                      <c:pt idx="1">
                        <c:v>1.5203000000000001E-6</c:v>
                      </c:pt>
                      <c:pt idx="2">
                        <c:v>4.6573000000000003E-6</c:v>
                      </c:pt>
                      <c:pt idx="3">
                        <c:v>1.8770000000000002E-5</c:v>
                      </c:pt>
                      <c:pt idx="4">
                        <c:v>8.5548000000000002E-5</c:v>
                      </c:pt>
                      <c:pt idx="5">
                        <c:v>1.4453000000000001E-2</c:v>
                      </c:pt>
                      <c:pt idx="6">
                        <c:v>3.3766999999999998E-2</c:v>
                      </c:pt>
                      <c:pt idx="7">
                        <c:v>6.3521999999999995E-2</c:v>
                      </c:pt>
                      <c:pt idx="8">
                        <c:v>9.733E-2</c:v>
                      </c:pt>
                      <c:pt idx="9">
                        <c:v>0.12515999999999999</c:v>
                      </c:pt>
                      <c:pt idx="10">
                        <c:v>0.14249000000000001</c:v>
                      </c:pt>
                      <c:pt idx="11">
                        <c:v>0.15154000000000001</c:v>
                      </c:pt>
                      <c:pt idx="12">
                        <c:v>0.15590999999999999</c:v>
                      </c:pt>
                      <c:pt idx="13">
                        <c:v>0.15798000000000001</c:v>
                      </c:pt>
                      <c:pt idx="14">
                        <c:v>0.15898000000000001</c:v>
                      </c:pt>
                      <c:pt idx="15">
                        <c:v>0.15947</c:v>
                      </c:pt>
                      <c:pt idx="16">
                        <c:v>0.15972</c:v>
                      </c:pt>
                      <c:pt idx="17">
                        <c:v>0.15984000000000001</c:v>
                      </c:pt>
                      <c:pt idx="18">
                        <c:v>0.15998000000000001</c:v>
                      </c:pt>
                      <c:pt idx="19">
                        <c:v>0.16</c:v>
                      </c:pt>
                      <c:pt idx="20">
                        <c:v>0.16</c:v>
                      </c:pt>
                      <c:pt idx="21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3.1046999999999998E-9</c:v>
                      </c:pt>
                      <c:pt idx="1">
                        <c:v>1.0810000000000001E-8</c:v>
                      </c:pt>
                      <c:pt idx="2">
                        <c:v>2.6921E-8</c:v>
                      </c:pt>
                      <c:pt idx="3">
                        <c:v>4.5091000000000003E-8</c:v>
                      </c:pt>
                      <c:pt idx="4">
                        <c:v>5.2542000000000002E-8</c:v>
                      </c:pt>
                      <c:pt idx="5">
                        <c:v>2.8801999999999999E-8</c:v>
                      </c:pt>
                      <c:pt idx="6">
                        <c:v>2.6886E-8</c:v>
                      </c:pt>
                      <c:pt idx="7">
                        <c:v>2.6286000000000001E-8</c:v>
                      </c:pt>
                      <c:pt idx="8">
                        <c:v>2.5287E-8</c:v>
                      </c:pt>
                      <c:pt idx="9">
                        <c:v>2.4167999999999998E-8</c:v>
                      </c:pt>
                      <c:pt idx="10">
                        <c:v>2.1651E-8</c:v>
                      </c:pt>
                      <c:pt idx="11">
                        <c:v>1.8617000000000001E-8</c:v>
                      </c:pt>
                      <c:pt idx="12">
                        <c:v>1.5682000000000001E-8</c:v>
                      </c:pt>
                      <c:pt idx="13">
                        <c:v>1.3087999999999999E-8</c:v>
                      </c:pt>
                      <c:pt idx="14">
                        <c:v>1.0881999999999999E-8</c:v>
                      </c:pt>
                      <c:pt idx="15">
                        <c:v>9.0374000000000002E-9</c:v>
                      </c:pt>
                      <c:pt idx="16">
                        <c:v>7.5054000000000002E-9</c:v>
                      </c:pt>
                      <c:pt idx="17">
                        <c:v>6.2367000000000002E-9</c:v>
                      </c:pt>
                      <c:pt idx="18">
                        <c:v>3.0026E-9</c:v>
                      </c:pt>
                      <c:pt idx="19">
                        <c:v>1.4716E-9</c:v>
                      </c:pt>
                      <c:pt idx="20">
                        <c:v>7.3396000000000002E-10</c:v>
                      </c:pt>
                      <c:pt idx="21">
                        <c:v>3.7203000000000001E-10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7.1561999999999995E-10</c:v>
                      </c:pt>
                      <c:pt idx="1">
                        <c:v>2.8980000000000001E-9</c:v>
                      </c:pt>
                      <c:pt idx="2">
                        <c:v>8.2424000000000004E-9</c:v>
                      </c:pt>
                      <c:pt idx="3">
                        <c:v>1.5529E-8</c:v>
                      </c:pt>
                      <c:pt idx="4">
                        <c:v>2.0094999999999999E-8</c:v>
                      </c:pt>
                      <c:pt idx="5">
                        <c:v>1.5249E-8</c:v>
                      </c:pt>
                      <c:pt idx="6">
                        <c:v>1.5168999999999998E-8</c:v>
                      </c:pt>
                      <c:pt idx="7">
                        <c:v>1.5720000000000001E-8</c:v>
                      </c:pt>
                      <c:pt idx="8">
                        <c:v>1.5907000000000001E-8</c:v>
                      </c:pt>
                      <c:pt idx="9">
                        <c:v>1.5048E-8</c:v>
                      </c:pt>
                      <c:pt idx="10">
                        <c:v>1.3334E-8</c:v>
                      </c:pt>
                      <c:pt idx="11">
                        <c:v>1.1335E-8</c:v>
                      </c:pt>
                      <c:pt idx="12">
                        <c:v>9.4348000000000005E-9</c:v>
                      </c:pt>
                      <c:pt idx="13">
                        <c:v>7.7792999999999994E-9</c:v>
                      </c:pt>
                      <c:pt idx="14">
                        <c:v>6.3892000000000002E-9</c:v>
                      </c:pt>
                      <c:pt idx="15">
                        <c:v>5.2408000000000003E-9</c:v>
                      </c:pt>
                      <c:pt idx="16">
                        <c:v>4.2986E-9</c:v>
                      </c:pt>
                      <c:pt idx="17">
                        <c:v>3.5279000000000002E-9</c:v>
                      </c:pt>
                      <c:pt idx="18">
                        <c:v>1.6170000000000001E-9</c:v>
                      </c:pt>
                      <c:pt idx="19">
                        <c:v>7.5574000000000002E-10</c:v>
                      </c:pt>
                      <c:pt idx="20">
                        <c:v>3.6006E-10</c:v>
                      </c:pt>
                      <c:pt idx="21">
                        <c:v>1.7457E-10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2.6148E-3</c:v>
                      </c:pt>
                      <c:pt idx="1">
                        <c:v>1.1518E-2</c:v>
                      </c:pt>
                      <c:pt idx="2">
                        <c:v>3.6734000000000003E-2</c:v>
                      </c:pt>
                      <c:pt idx="3">
                        <c:v>7.9414999999999999E-2</c:v>
                      </c:pt>
                      <c:pt idx="4">
                        <c:v>0.12</c:v>
                      </c:pt>
                      <c:pt idx="5">
                        <c:v>0.18770999999999999</c:v>
                      </c:pt>
                      <c:pt idx="6">
                        <c:v>0.22700999999999999</c:v>
                      </c:pt>
                      <c:pt idx="7">
                        <c:v>0.28682999999999997</c:v>
                      </c:pt>
                      <c:pt idx="8">
                        <c:v>0.35458000000000001</c:v>
                      </c:pt>
                      <c:pt idx="9">
                        <c:v>0.4103</c:v>
                      </c:pt>
                      <c:pt idx="10">
                        <c:v>0.44497999999999999</c:v>
                      </c:pt>
                      <c:pt idx="11">
                        <c:v>0.46307999999999999</c:v>
                      </c:pt>
                      <c:pt idx="12">
                        <c:v>0.47182000000000002</c:v>
                      </c:pt>
                      <c:pt idx="13">
                        <c:v>0.47595999999999999</c:v>
                      </c:pt>
                      <c:pt idx="14">
                        <c:v>0.47796</c:v>
                      </c:pt>
                      <c:pt idx="15">
                        <c:v>0.47893999999999998</c:v>
                      </c:pt>
                      <c:pt idx="16">
                        <c:v>0.47943000000000002</c:v>
                      </c:pt>
                      <c:pt idx="17">
                        <c:v>0.47969000000000001</c:v>
                      </c:pt>
                      <c:pt idx="18">
                        <c:v>0.47996</c:v>
                      </c:pt>
                      <c:pt idx="19">
                        <c:v>0.47999000000000003</c:v>
                      </c:pt>
                      <c:pt idx="20">
                        <c:v>0.48</c:v>
                      </c:pt>
                      <c:pt idx="21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7.9389000000000004E-12</c:v>
                      </c:pt>
                      <c:pt idx="1">
                        <c:v>4.5007000000000002E-11</c:v>
                      </c:pt>
                      <c:pt idx="2">
                        <c:v>1.7283000000000001E-10</c:v>
                      </c:pt>
                      <c:pt idx="3">
                        <c:v>4.2663999999999999E-10</c:v>
                      </c:pt>
                      <c:pt idx="4">
                        <c:v>7.0533999999999997E-10</c:v>
                      </c:pt>
                      <c:pt idx="5">
                        <c:v>1.1828000000000001E-9</c:v>
                      </c:pt>
                      <c:pt idx="6">
                        <c:v>1.3850000000000001E-9</c:v>
                      </c:pt>
                      <c:pt idx="7">
                        <c:v>1.6712E-9</c:v>
                      </c:pt>
                      <c:pt idx="8">
                        <c:v>1.9502000000000002E-9</c:v>
                      </c:pt>
                      <c:pt idx="9">
                        <c:v>2.1094999999999998E-9</c:v>
                      </c:pt>
                      <c:pt idx="10">
                        <c:v>2.1206999999999999E-9</c:v>
                      </c:pt>
                      <c:pt idx="11">
                        <c:v>2.0312000000000002E-9</c:v>
                      </c:pt>
                      <c:pt idx="12">
                        <c:v>1.8931E-9</c:v>
                      </c:pt>
                      <c:pt idx="13">
                        <c:v>1.7376999999999999E-9</c:v>
                      </c:pt>
                      <c:pt idx="14">
                        <c:v>1.5805000000000001E-9</c:v>
                      </c:pt>
                      <c:pt idx="15">
                        <c:v>1.4288000000000001E-9</c:v>
                      </c:pt>
                      <c:pt idx="16">
                        <c:v>1.2859999999999999E-9</c:v>
                      </c:pt>
                      <c:pt idx="17">
                        <c:v>1.1534E-9</c:v>
                      </c:pt>
                      <c:pt idx="18">
                        <c:v>7.2827000000000001E-10</c:v>
                      </c:pt>
                      <c:pt idx="19">
                        <c:v>4.4821E-10</c:v>
                      </c:pt>
                      <c:pt idx="20">
                        <c:v>2.7161999999999999E-10</c:v>
                      </c:pt>
                      <c:pt idx="21">
                        <c:v>1.6297999999999999E-10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6.0284999999999998E-7</c:v>
                      </c:pt>
                      <c:pt idx="1">
                        <c:v>1.5203000000000001E-6</c:v>
                      </c:pt>
                      <c:pt idx="2">
                        <c:v>4.6573000000000003E-6</c:v>
                      </c:pt>
                      <c:pt idx="3">
                        <c:v>1.8770000000000002E-5</c:v>
                      </c:pt>
                      <c:pt idx="4">
                        <c:v>8.5548000000000002E-5</c:v>
                      </c:pt>
                      <c:pt idx="5">
                        <c:v>1.4453000000000001E-2</c:v>
                      </c:pt>
                      <c:pt idx="6">
                        <c:v>3.3766999999999998E-2</c:v>
                      </c:pt>
                      <c:pt idx="7">
                        <c:v>6.3521999999999995E-2</c:v>
                      </c:pt>
                      <c:pt idx="8">
                        <c:v>9.733E-2</c:v>
                      </c:pt>
                      <c:pt idx="9">
                        <c:v>0.12515999999999999</c:v>
                      </c:pt>
                      <c:pt idx="10">
                        <c:v>0.14249000000000001</c:v>
                      </c:pt>
                      <c:pt idx="11">
                        <c:v>0.15154000000000001</c:v>
                      </c:pt>
                      <c:pt idx="12">
                        <c:v>0.15590999999999999</c:v>
                      </c:pt>
                      <c:pt idx="13">
                        <c:v>0.15798000000000001</c:v>
                      </c:pt>
                      <c:pt idx="14">
                        <c:v>0.15898000000000001</c:v>
                      </c:pt>
                      <c:pt idx="15">
                        <c:v>0.15947</c:v>
                      </c:pt>
                      <c:pt idx="16">
                        <c:v>0.15972</c:v>
                      </c:pt>
                      <c:pt idx="17">
                        <c:v>0.15984000000000001</c:v>
                      </c:pt>
                      <c:pt idx="18">
                        <c:v>0.15998000000000001</c:v>
                      </c:pt>
                      <c:pt idx="19">
                        <c:v>0.16</c:v>
                      </c:pt>
                      <c:pt idx="20">
                        <c:v>0.16</c:v>
                      </c:pt>
                      <c:pt idx="21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-18.63</c:v>
                      </c:pt>
                      <c:pt idx="4">
                        <c:v>-18.649999999999999</c:v>
                      </c:pt>
                      <c:pt idx="5">
                        <c:v>-18.77</c:v>
                      </c:pt>
                      <c:pt idx="6">
                        <c:v>-18.809999999999999</c:v>
                      </c:pt>
                      <c:pt idx="7">
                        <c:v>-18.84</c:v>
                      </c:pt>
                      <c:pt idx="8">
                        <c:v>-18.88</c:v>
                      </c:pt>
                      <c:pt idx="9">
                        <c:v>-18.93</c:v>
                      </c:pt>
                      <c:pt idx="10">
                        <c:v>-18.97</c:v>
                      </c:pt>
                      <c:pt idx="11">
                        <c:v>-19.010000000000002</c:v>
                      </c:pt>
                      <c:pt idx="12">
                        <c:v>-19.05</c:v>
                      </c:pt>
                      <c:pt idx="13">
                        <c:v>-19.09</c:v>
                      </c:pt>
                      <c:pt idx="14">
                        <c:v>-19.14</c:v>
                      </c:pt>
                      <c:pt idx="15">
                        <c:v>-19.18</c:v>
                      </c:pt>
                      <c:pt idx="16">
                        <c:v>-19.22</c:v>
                      </c:pt>
                      <c:pt idx="17">
                        <c:v>-19.260000000000002</c:v>
                      </c:pt>
                      <c:pt idx="18">
                        <c:v>-19.43</c:v>
                      </c:pt>
                      <c:pt idx="19">
                        <c:v>-19.59</c:v>
                      </c:pt>
                      <c:pt idx="20">
                        <c:v>-19.739999999999998</c:v>
                      </c:pt>
                      <c:pt idx="21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-16.940000000000001</c:v>
                      </c:pt>
                      <c:pt idx="1">
                        <c:v>-16.03</c:v>
                      </c:pt>
                      <c:pt idx="2">
                        <c:v>-14.99</c:v>
                      </c:pt>
                      <c:pt idx="3">
                        <c:v>-13.72</c:v>
                      </c:pt>
                      <c:pt idx="4">
                        <c:v>-12.32</c:v>
                      </c:pt>
                      <c:pt idx="5">
                        <c:v>-7.4779999999999998</c:v>
                      </c:pt>
                      <c:pt idx="6">
                        <c:v>-6.7469999999999999</c:v>
                      </c:pt>
                      <c:pt idx="7">
                        <c:v>-6.2640000000000002</c:v>
                      </c:pt>
                      <c:pt idx="8">
                        <c:v>-5.99</c:v>
                      </c:pt>
                      <c:pt idx="9">
                        <c:v>-5.8659999999999997</c:v>
                      </c:pt>
                      <c:pt idx="10">
                        <c:v>-5.8310000000000004</c:v>
                      </c:pt>
                      <c:pt idx="11">
                        <c:v>-5.8419999999999996</c:v>
                      </c:pt>
                      <c:pt idx="12">
                        <c:v>-5.8739999999999997</c:v>
                      </c:pt>
                      <c:pt idx="13">
                        <c:v>-5.9160000000000004</c:v>
                      </c:pt>
                      <c:pt idx="14">
                        <c:v>-5.9630000000000001</c:v>
                      </c:pt>
                      <c:pt idx="15">
                        <c:v>-6.0110000000000001</c:v>
                      </c:pt>
                      <c:pt idx="16">
                        <c:v>-6.06</c:v>
                      </c:pt>
                      <c:pt idx="17">
                        <c:v>-6.109</c:v>
                      </c:pt>
                      <c:pt idx="18">
                        <c:v>-6.3049999999999997</c:v>
                      </c:pt>
                      <c:pt idx="19">
                        <c:v>-6.4960000000000004</c:v>
                      </c:pt>
                      <c:pt idx="20">
                        <c:v>-6.681</c:v>
                      </c:pt>
                      <c:pt idx="21">
                        <c:v>-6.8579999999999997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-22.32</c:v>
                      </c:pt>
                      <c:pt idx="2">
                        <c:v>-21.49</c:v>
                      </c:pt>
                      <c:pt idx="3">
                        <c:v>-21.1</c:v>
                      </c:pt>
                      <c:pt idx="4">
                        <c:v>-21.07</c:v>
                      </c:pt>
                      <c:pt idx="5">
                        <c:v>-21.96</c:v>
                      </c:pt>
                      <c:pt idx="6">
                        <c:v>-22.15</c:v>
                      </c:pt>
                      <c:pt idx="7">
                        <c:v>-22.33</c:v>
                      </c:pt>
                      <c:pt idx="8">
                        <c:v>-22.53</c:v>
                      </c:pt>
                      <c:pt idx="9">
                        <c:v>-22.76</c:v>
                      </c:pt>
                      <c:pt idx="10">
                        <c:v>-23.03</c:v>
                      </c:pt>
                      <c:pt idx="11">
                        <c:v>-23.31</c:v>
                      </c:pt>
                      <c:pt idx="12">
                        <c:v>-23.6</c:v>
                      </c:pt>
                      <c:pt idx="13">
                        <c:v>-23.89</c:v>
                      </c:pt>
                      <c:pt idx="14">
                        <c:v>-24.17</c:v>
                      </c:pt>
                      <c:pt idx="15">
                        <c:v>-24.46</c:v>
                      </c:pt>
                      <c:pt idx="16">
                        <c:v>-24.74</c:v>
                      </c:pt>
                      <c:pt idx="17">
                        <c:v>-25.02</c:v>
                      </c:pt>
                      <c:pt idx="18">
                        <c:v>-26.11</c:v>
                      </c:pt>
                      <c:pt idx="19">
                        <c:v>-27.16</c:v>
                      </c:pt>
                      <c:pt idx="20">
                        <c:v>-28.16</c:v>
                      </c:pt>
                      <c:pt idx="21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ALL!$F$123:$AL$123</c:f>
              <c:numCache>
                <c:formatCode>General</c:formatCode>
                <c:ptCount val="33"/>
                <c:pt idx="0">
                  <c:v>-118.71261861858054</c:v>
                </c:pt>
                <c:pt idx="1">
                  <c:v>-120.7389420475556</c:v>
                </c:pt>
                <c:pt idx="2">
                  <c:v>-123.10007850606294</c:v>
                </c:pt>
                <c:pt idx="3">
                  <c:v>-125.88153060332675</c:v>
                </c:pt>
                <c:pt idx="4">
                  <c:v>-129.25102128622936</c:v>
                </c:pt>
                <c:pt idx="5">
                  <c:v>-146.08333058409522</c:v>
                </c:pt>
                <c:pt idx="6">
                  <c:v>-151.18332469683455</c:v>
                </c:pt>
                <c:pt idx="7">
                  <c:v>-157.05564013848053</c:v>
                </c:pt>
                <c:pt idx="8">
                  <c:v>-163.80903002438845</c:v>
                </c:pt>
                <c:pt idx="9">
                  <c:v>-171.43590274669373</c:v>
                </c:pt>
                <c:pt idx="10">
                  <c:v>-179.80315444371192</c:v>
                </c:pt>
                <c:pt idx="11">
                  <c:v>-188.57811924408358</c:v>
                </c:pt>
                <c:pt idx="12">
                  <c:v>-197.66919538194188</c:v>
                </c:pt>
                <c:pt idx="13">
                  <c:v>-206.96207761380688</c:v>
                </c:pt>
                <c:pt idx="14">
                  <c:v>-216.37127495349259</c:v>
                </c:pt>
                <c:pt idx="15">
                  <c:v>-226.01883270381796</c:v>
                </c:pt>
                <c:pt idx="16">
                  <c:v>-235.75052137219026</c:v>
                </c:pt>
                <c:pt idx="17">
                  <c:v>-245.64072448759993</c:v>
                </c:pt>
                <c:pt idx="18">
                  <c:v>-286.45356128246726</c:v>
                </c:pt>
                <c:pt idx="19">
                  <c:v>-329.31369783256116</c:v>
                </c:pt>
                <c:pt idx="20">
                  <c:v>-373.88882629028967</c:v>
                </c:pt>
                <c:pt idx="21">
                  <c:v>-420.32313921787591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ALL!$F$126:$AL$126</c:f>
              <c:numCache>
                <c:formatCode>General</c:formatCode>
                <c:ptCount val="33"/>
                <c:pt idx="0">
                  <c:v>-118.71261861858054</c:v>
                </c:pt>
                <c:pt idx="1">
                  <c:v>-119.7389420475556</c:v>
                </c:pt>
                <c:pt idx="2">
                  <c:v>-121.10007850606294</c:v>
                </c:pt>
                <c:pt idx="3">
                  <c:v>-122.88153060332675</c:v>
                </c:pt>
                <c:pt idx="4">
                  <c:v>-125.25102128622936</c:v>
                </c:pt>
                <c:pt idx="5">
                  <c:v>-141.08333058409522</c:v>
                </c:pt>
                <c:pt idx="6">
                  <c:v>-145.18332469683455</c:v>
                </c:pt>
                <c:pt idx="7">
                  <c:v>-150.05564013848053</c:v>
                </c:pt>
                <c:pt idx="8">
                  <c:v>-155.80903002438845</c:v>
                </c:pt>
                <c:pt idx="9">
                  <c:v>-162.43590274669373</c:v>
                </c:pt>
                <c:pt idx="10">
                  <c:v>-169.80315444371192</c:v>
                </c:pt>
                <c:pt idx="11">
                  <c:v>-177.57811924408358</c:v>
                </c:pt>
                <c:pt idx="12">
                  <c:v>-185.66919538194188</c:v>
                </c:pt>
                <c:pt idx="13">
                  <c:v>-193.96207761380688</c:v>
                </c:pt>
                <c:pt idx="14">
                  <c:v>-202.37127495349259</c:v>
                </c:pt>
                <c:pt idx="15">
                  <c:v>-211.01883270381796</c:v>
                </c:pt>
                <c:pt idx="16">
                  <c:v>-219.75052137219026</c:v>
                </c:pt>
                <c:pt idx="17">
                  <c:v>-228.64072448759993</c:v>
                </c:pt>
                <c:pt idx="18">
                  <c:v>-268.45356128246726</c:v>
                </c:pt>
                <c:pt idx="19">
                  <c:v>-310.31369783256116</c:v>
                </c:pt>
                <c:pt idx="20">
                  <c:v>-353.88882629028967</c:v>
                </c:pt>
                <c:pt idx="21">
                  <c:v>-399.32313921787591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ALL!$B$114:$B$115</c:f>
              <c:numCache>
                <c:formatCode>0</c:formatCode>
                <c:ptCount val="2"/>
                <c:pt idx="0">
                  <c:v>-420.32313921787591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-118.71167058600003</c:v>
                </c:pt>
                <c:pt idx="1">
                  <c:v>-120.73720750350002</c:v>
                </c:pt>
                <c:pt idx="2">
                  <c:v>-123.09648429375001</c:v>
                </c:pt>
                <c:pt idx="3">
                  <c:v>-125.88127225050002</c:v>
                </c:pt>
                <c:pt idx="4">
                  <c:v>-129.24938058375</c:v>
                </c:pt>
                <c:pt idx="5">
                  <c:v>-146.0833088967</c:v>
                </c:pt>
                <c:pt idx="6">
                  <c:v>-151.18473855059997</c:v>
                </c:pt>
                <c:pt idx="7">
                  <c:v>-157.05675523305004</c:v>
                </c:pt>
                <c:pt idx="8">
                  <c:v>-163.80838781400004</c:v>
                </c:pt>
                <c:pt idx="9">
                  <c:v>-171.4374437598</c:v>
                </c:pt>
                <c:pt idx="10">
                  <c:v>-179.80426857120005</c:v>
                </c:pt>
                <c:pt idx="11">
                  <c:v>-188.57727167369995</c:v>
                </c:pt>
                <c:pt idx="12">
                  <c:v>-197.66745964800003</c:v>
                </c:pt>
                <c:pt idx="13">
                  <c:v>-206.96408667990008</c:v>
                </c:pt>
                <c:pt idx="14">
                  <c:v>-216.36969020040004</c:v>
                </c:pt>
                <c:pt idx="15">
                  <c:v>-226.01684990070004</c:v>
                </c:pt>
                <c:pt idx="16">
                  <c:v>-235.74979861200001</c:v>
                </c:pt>
                <c:pt idx="17">
                  <c:v>-245.64028714350005</c:v>
                </c:pt>
                <c:pt idx="18">
                  <c:v>-286.45630067550002</c:v>
                </c:pt>
                <c:pt idx="19">
                  <c:v>-329.31561089700006</c:v>
                </c:pt>
                <c:pt idx="20">
                  <c:v>-373.88795921640008</c:v>
                </c:pt>
                <c:pt idx="21">
                  <c:v>-420.32291850000001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774B-47E8-A19D-44B695C09DB0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-26.425154293125008</c:v>
                      </c:pt>
                      <c:pt idx="1">
                        <c:v>-28.364464649062501</c:v>
                      </c:pt>
                      <c:pt idx="2">
                        <c:v>-30.317966817187507</c:v>
                      </c:pt>
                      <c:pt idx="3">
                        <c:v>-32.3061508434375</c:v>
                      </c:pt>
                      <c:pt idx="4">
                        <c:v>-34.298533692187497</c:v>
                      </c:pt>
                      <c:pt idx="5">
                        <c:v>-42.400411140937507</c:v>
                      </c:pt>
                      <c:pt idx="6">
                        <c:v>-44.465265250312498</c:v>
                      </c:pt>
                      <c:pt idx="7">
                        <c:v>-46.513828136250005</c:v>
                      </c:pt>
                      <c:pt idx="8">
                        <c:v>-48.58461672</c:v>
                      </c:pt>
                      <c:pt idx="9">
                        <c:v>-50.700376355625004</c:v>
                      </c:pt>
                      <c:pt idx="10">
                        <c:v>-52.798800258749999</c:v>
                      </c:pt>
                      <c:pt idx="11">
                        <c:v>-54.905621806875004</c:v>
                      </c:pt>
                      <c:pt idx="12">
                        <c:v>-57.020840999999997</c:v>
                      </c:pt>
                      <c:pt idx="13">
                        <c:v>-59.144457838125021</c:v>
                      </c:pt>
                      <c:pt idx="14">
                        <c:v>-61.30850393250001</c:v>
                      </c:pt>
                      <c:pt idx="15">
                        <c:v>-63.44996576625001</c:v>
                      </c:pt>
                      <c:pt idx="16">
                        <c:v>-65.599825245000005</c:v>
                      </c:pt>
                      <c:pt idx="17">
                        <c:v>-67.75808236875001</c:v>
                      </c:pt>
                      <c:pt idx="18">
                        <c:v>-76.50436994343751</c:v>
                      </c:pt>
                      <c:pt idx="19">
                        <c:v>-85.359852885937514</c:v>
                      </c:pt>
                      <c:pt idx="20">
                        <c:v>-94.291668134999995</c:v>
                      </c:pt>
                      <c:pt idx="21">
                        <c:v>-103.30766249999999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-50"/>
          <c:min val="-3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0</c:v>
                </c:pt>
                <c:pt idx="1">
                  <c:v>2.8227000000000001E-35</c:v>
                </c:pt>
                <c:pt idx="2">
                  <c:v>2.6125000000000001E-26</c:v>
                </c:pt>
                <c:pt idx="3">
                  <c:v>6.3016000000000003E-22</c:v>
                </c:pt>
                <c:pt idx="4">
                  <c:v>4.6219999999999997E-20</c:v>
                </c:pt>
                <c:pt idx="5">
                  <c:v>1.0271E-13</c:v>
                </c:pt>
                <c:pt idx="6">
                  <c:v>4.2760999999999998E-10</c:v>
                </c:pt>
                <c:pt idx="7">
                  <c:v>6.7368999999999998E-9</c:v>
                </c:pt>
                <c:pt idx="8">
                  <c:v>1.3224E-8</c:v>
                </c:pt>
                <c:pt idx="9">
                  <c:v>1.4313000000000001E-8</c:v>
                </c:pt>
                <c:pt idx="10">
                  <c:v>1.6196000000000002E-8</c:v>
                </c:pt>
                <c:pt idx="11">
                  <c:v>1.8801999999999999E-8</c:v>
                </c:pt>
                <c:pt idx="12">
                  <c:v>2.7488999999999999E-8</c:v>
                </c:pt>
                <c:pt idx="13">
                  <c:v>1.9198999999999999E-8</c:v>
                </c:pt>
                <c:pt idx="14">
                  <c:v>1.9329999999999998E-8</c:v>
                </c:pt>
                <c:pt idx="15">
                  <c:v>3.0685E-8</c:v>
                </c:pt>
                <c:pt idx="16">
                  <c:v>2.9145000000000001E-8</c:v>
                </c:pt>
                <c:pt idx="17">
                  <c:v>2.9124E-8</c:v>
                </c:pt>
                <c:pt idx="18">
                  <c:v>2.8829E-8</c:v>
                </c:pt>
                <c:pt idx="19">
                  <c:v>2.0467000000000001E-8</c:v>
                </c:pt>
                <c:pt idx="20">
                  <c:v>2.5906E-8</c:v>
                </c:pt>
                <c:pt idx="21">
                  <c:v>2.4614999999999999E-8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3.6883999999999998E-9</c:v>
                </c:pt>
                <c:pt idx="1">
                  <c:v>1.4574E-9</c:v>
                </c:pt>
                <c:pt idx="2">
                  <c:v>2.4654999999999999E-13</c:v>
                </c:pt>
                <c:pt idx="3">
                  <c:v>2.5759999999999999E-22</c:v>
                </c:pt>
                <c:pt idx="4">
                  <c:v>1.1609000000000001E-36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7.4734000000000003E-10</c:v>
                </c:pt>
                <c:pt idx="1">
                  <c:v>6.9597999999999999E-9</c:v>
                </c:pt>
                <c:pt idx="2">
                  <c:v>1.3611E-8</c:v>
                </c:pt>
                <c:pt idx="3">
                  <c:v>2.2326000000000001E-8</c:v>
                </c:pt>
                <c:pt idx="4">
                  <c:v>3.3273999999999997E-8</c:v>
                </c:pt>
                <c:pt idx="5">
                  <c:v>1.7159000000000002E-8</c:v>
                </c:pt>
                <c:pt idx="6">
                  <c:v>3.6573999999999998E-9</c:v>
                </c:pt>
                <c:pt idx="7">
                  <c:v>5.8700000000000002E-13</c:v>
                </c:pt>
                <c:pt idx="8">
                  <c:v>2.0051999999999999E-20</c:v>
                </c:pt>
                <c:pt idx="9">
                  <c:v>8.5854999999999993E-31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0.15739</c:v>
                </c:pt>
                <c:pt idx="1">
                  <c:v>0.14849000000000001</c:v>
                </c:pt>
                <c:pt idx="2">
                  <c:v>0.12328</c:v>
                </c:pt>
                <c:pt idx="3">
                  <c:v>8.0623E-2</c:v>
                </c:pt>
                <c:pt idx="4">
                  <c:v>4.0173E-2</c:v>
                </c:pt>
                <c:pt idx="5">
                  <c:v>1.2006E-3</c:v>
                </c:pt>
                <c:pt idx="6">
                  <c:v>5.2276999999999998E-4</c:v>
                </c:pt>
                <c:pt idx="7">
                  <c:v>2.1332999999999999E-4</c:v>
                </c:pt>
                <c:pt idx="8">
                  <c:v>7.5371999999999996E-5</c:v>
                </c:pt>
                <c:pt idx="9">
                  <c:v>2.2756E-5</c:v>
                </c:pt>
                <c:pt idx="10">
                  <c:v>6.2272999999999997E-6</c:v>
                </c:pt>
                <c:pt idx="11">
                  <c:v>1.6602E-6</c:v>
                </c:pt>
                <c:pt idx="12">
                  <c:v>4.5165E-7</c:v>
                </c:pt>
                <c:pt idx="13">
                  <c:v>1.2802999999999999E-7</c:v>
                </c:pt>
                <c:pt idx="14">
                  <c:v>3.8083999999999999E-8</c:v>
                </c:pt>
                <c:pt idx="15">
                  <c:v>1.1895E-8</c:v>
                </c:pt>
                <c:pt idx="16">
                  <c:v>3.8935999999999999E-9</c:v>
                </c:pt>
                <c:pt idx="17">
                  <c:v>1.3319999999999999E-9</c:v>
                </c:pt>
                <c:pt idx="18">
                  <c:v>2.6763999999999999E-11</c:v>
                </c:pt>
                <c:pt idx="19">
                  <c:v>8.8239000000000004E-13</c:v>
                </c:pt>
                <c:pt idx="20">
                  <c:v>4.2381999999999998E-14</c:v>
                </c:pt>
                <c:pt idx="21">
                  <c:v>2.7263000000000001E-15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0.16261</c:v>
                </c:pt>
                <c:pt idx="1">
                  <c:v>0.17151</c:v>
                </c:pt>
                <c:pt idx="2">
                  <c:v>0.19672000000000001</c:v>
                </c:pt>
                <c:pt idx="3">
                  <c:v>0.23934</c:v>
                </c:pt>
                <c:pt idx="4">
                  <c:v>0.27966000000000002</c:v>
                </c:pt>
                <c:pt idx="5">
                  <c:v>0.28988999999999998</c:v>
                </c:pt>
                <c:pt idx="6">
                  <c:v>0.25194</c:v>
                </c:pt>
                <c:pt idx="7">
                  <c:v>0.19273999999999999</c:v>
                </c:pt>
                <c:pt idx="8">
                  <c:v>0.12526999999999999</c:v>
                </c:pt>
                <c:pt idx="9">
                  <c:v>6.9651000000000005E-2</c:v>
                </c:pt>
                <c:pt idx="10">
                  <c:v>3.5006000000000002E-2</c:v>
                </c:pt>
                <c:pt idx="11">
                  <c:v>1.6919E-2</c:v>
                </c:pt>
                <c:pt idx="12">
                  <c:v>8.1831000000000004E-3</c:v>
                </c:pt>
                <c:pt idx="13">
                  <c:v>4.0353999999999998E-3</c:v>
                </c:pt>
                <c:pt idx="14">
                  <c:v>2.0431999999999998E-3</c:v>
                </c:pt>
                <c:pt idx="15">
                  <c:v>1.0639E-3</c:v>
                </c:pt>
                <c:pt idx="16">
                  <c:v>5.6939000000000002E-4</c:v>
                </c:pt>
                <c:pt idx="17">
                  <c:v>3.1274999999999999E-4</c:v>
                </c:pt>
                <c:pt idx="18">
                  <c:v>3.5703E-5</c:v>
                </c:pt>
                <c:pt idx="19">
                  <c:v>5.4586999999999999E-6</c:v>
                </c:pt>
                <c:pt idx="20">
                  <c:v>1.0409000000000001E-6</c:v>
                </c:pt>
                <c:pt idx="21">
                  <c:v>2.3547E-7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6.0284999999999998E-7</c:v>
                </c:pt>
                <c:pt idx="1">
                  <c:v>1.5203000000000001E-6</c:v>
                </c:pt>
                <c:pt idx="2">
                  <c:v>4.6573000000000003E-6</c:v>
                </c:pt>
                <c:pt idx="3">
                  <c:v>1.8770000000000002E-5</c:v>
                </c:pt>
                <c:pt idx="4">
                  <c:v>8.5548000000000002E-5</c:v>
                </c:pt>
                <c:pt idx="5">
                  <c:v>1.4453000000000001E-2</c:v>
                </c:pt>
                <c:pt idx="6">
                  <c:v>3.3766999999999998E-2</c:v>
                </c:pt>
                <c:pt idx="7">
                  <c:v>6.3521999999999995E-2</c:v>
                </c:pt>
                <c:pt idx="8">
                  <c:v>9.733E-2</c:v>
                </c:pt>
                <c:pt idx="9">
                  <c:v>0.12515999999999999</c:v>
                </c:pt>
                <c:pt idx="10">
                  <c:v>0.14249000000000001</c:v>
                </c:pt>
                <c:pt idx="11">
                  <c:v>0.15154000000000001</c:v>
                </c:pt>
                <c:pt idx="12">
                  <c:v>0.15590999999999999</c:v>
                </c:pt>
                <c:pt idx="13">
                  <c:v>0.15798000000000001</c:v>
                </c:pt>
                <c:pt idx="14">
                  <c:v>0.15898000000000001</c:v>
                </c:pt>
                <c:pt idx="15">
                  <c:v>0.15947</c:v>
                </c:pt>
                <c:pt idx="16">
                  <c:v>0.15972</c:v>
                </c:pt>
                <c:pt idx="17">
                  <c:v>0.15984000000000001</c:v>
                </c:pt>
                <c:pt idx="18">
                  <c:v>0.15998000000000001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3.1046999999999998E-9</c:v>
                </c:pt>
                <c:pt idx="1">
                  <c:v>1.0810000000000001E-8</c:v>
                </c:pt>
                <c:pt idx="2">
                  <c:v>2.6921E-8</c:v>
                </c:pt>
                <c:pt idx="3">
                  <c:v>4.5091000000000003E-8</c:v>
                </c:pt>
                <c:pt idx="4">
                  <c:v>5.2542000000000002E-8</c:v>
                </c:pt>
                <c:pt idx="5">
                  <c:v>2.8801999999999999E-8</c:v>
                </c:pt>
                <c:pt idx="6">
                  <c:v>2.6886E-8</c:v>
                </c:pt>
                <c:pt idx="7">
                  <c:v>2.6286000000000001E-8</c:v>
                </c:pt>
                <c:pt idx="8">
                  <c:v>2.5287E-8</c:v>
                </c:pt>
                <c:pt idx="9">
                  <c:v>2.4167999999999998E-8</c:v>
                </c:pt>
                <c:pt idx="10">
                  <c:v>2.1651E-8</c:v>
                </c:pt>
                <c:pt idx="11">
                  <c:v>1.8617000000000001E-8</c:v>
                </c:pt>
                <c:pt idx="12">
                  <c:v>1.5682000000000001E-8</c:v>
                </c:pt>
                <c:pt idx="13">
                  <c:v>1.3087999999999999E-8</c:v>
                </c:pt>
                <c:pt idx="14">
                  <c:v>1.0881999999999999E-8</c:v>
                </c:pt>
                <c:pt idx="15">
                  <c:v>9.0374000000000002E-9</c:v>
                </c:pt>
                <c:pt idx="16">
                  <c:v>7.5054000000000002E-9</c:v>
                </c:pt>
                <c:pt idx="17">
                  <c:v>6.2367000000000002E-9</c:v>
                </c:pt>
                <c:pt idx="18">
                  <c:v>3.0026E-9</c:v>
                </c:pt>
                <c:pt idx="19">
                  <c:v>1.4716E-9</c:v>
                </c:pt>
                <c:pt idx="20">
                  <c:v>7.3396000000000002E-10</c:v>
                </c:pt>
                <c:pt idx="21">
                  <c:v>3.7203000000000001E-10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7.1561999999999995E-10</c:v>
                </c:pt>
                <c:pt idx="1">
                  <c:v>2.8980000000000001E-9</c:v>
                </c:pt>
                <c:pt idx="2">
                  <c:v>8.2424000000000004E-9</c:v>
                </c:pt>
                <c:pt idx="3">
                  <c:v>1.5529E-8</c:v>
                </c:pt>
                <c:pt idx="4">
                  <c:v>2.0094999999999999E-8</c:v>
                </c:pt>
                <c:pt idx="5">
                  <c:v>1.5249E-8</c:v>
                </c:pt>
                <c:pt idx="6">
                  <c:v>1.5168999999999998E-8</c:v>
                </c:pt>
                <c:pt idx="7">
                  <c:v>1.5720000000000001E-8</c:v>
                </c:pt>
                <c:pt idx="8">
                  <c:v>1.5907000000000001E-8</c:v>
                </c:pt>
                <c:pt idx="9">
                  <c:v>1.5048E-8</c:v>
                </c:pt>
                <c:pt idx="10">
                  <c:v>1.3334E-8</c:v>
                </c:pt>
                <c:pt idx="11">
                  <c:v>1.1335E-8</c:v>
                </c:pt>
                <c:pt idx="12">
                  <c:v>9.4348000000000005E-9</c:v>
                </c:pt>
                <c:pt idx="13">
                  <c:v>7.7792999999999994E-9</c:v>
                </c:pt>
                <c:pt idx="14">
                  <c:v>6.3892000000000002E-9</c:v>
                </c:pt>
                <c:pt idx="15">
                  <c:v>5.2408000000000003E-9</c:v>
                </c:pt>
                <c:pt idx="16">
                  <c:v>4.2986E-9</c:v>
                </c:pt>
                <c:pt idx="17">
                  <c:v>3.5279000000000002E-9</c:v>
                </c:pt>
                <c:pt idx="18">
                  <c:v>1.6170000000000001E-9</c:v>
                </c:pt>
                <c:pt idx="19">
                  <c:v>7.5574000000000002E-10</c:v>
                </c:pt>
                <c:pt idx="20">
                  <c:v>3.6006E-10</c:v>
                </c:pt>
                <c:pt idx="21">
                  <c:v>1.7457E-10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2.6148E-3</c:v>
                </c:pt>
                <c:pt idx="1">
                  <c:v>1.1518E-2</c:v>
                </c:pt>
                <c:pt idx="2">
                  <c:v>3.6734000000000003E-2</c:v>
                </c:pt>
                <c:pt idx="3">
                  <c:v>7.9414999999999999E-2</c:v>
                </c:pt>
                <c:pt idx="4">
                  <c:v>0.12</c:v>
                </c:pt>
                <c:pt idx="5">
                  <c:v>0.18770999999999999</c:v>
                </c:pt>
                <c:pt idx="6">
                  <c:v>0.22700999999999999</c:v>
                </c:pt>
                <c:pt idx="7">
                  <c:v>0.28682999999999997</c:v>
                </c:pt>
                <c:pt idx="8">
                  <c:v>0.35458000000000001</c:v>
                </c:pt>
                <c:pt idx="9">
                  <c:v>0.4103</c:v>
                </c:pt>
                <c:pt idx="10">
                  <c:v>0.44497999999999999</c:v>
                </c:pt>
                <c:pt idx="11">
                  <c:v>0.46307999999999999</c:v>
                </c:pt>
                <c:pt idx="12">
                  <c:v>0.47182000000000002</c:v>
                </c:pt>
                <c:pt idx="13">
                  <c:v>0.47595999999999999</c:v>
                </c:pt>
                <c:pt idx="14">
                  <c:v>0.47796</c:v>
                </c:pt>
                <c:pt idx="15">
                  <c:v>0.47893999999999998</c:v>
                </c:pt>
                <c:pt idx="16">
                  <c:v>0.47943000000000002</c:v>
                </c:pt>
                <c:pt idx="17">
                  <c:v>0.47969000000000001</c:v>
                </c:pt>
                <c:pt idx="18">
                  <c:v>0.47996</c:v>
                </c:pt>
                <c:pt idx="19">
                  <c:v>0.47999000000000003</c:v>
                </c:pt>
                <c:pt idx="20">
                  <c:v>0.48</c:v>
                </c:pt>
                <c:pt idx="21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(l)Se[r]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7.9389000000000004E-12</c:v>
                </c:pt>
                <c:pt idx="1">
                  <c:v>4.5007000000000002E-11</c:v>
                </c:pt>
                <c:pt idx="2">
                  <c:v>1.7283000000000001E-10</c:v>
                </c:pt>
                <c:pt idx="3">
                  <c:v>4.2663999999999999E-10</c:v>
                </c:pt>
                <c:pt idx="4">
                  <c:v>7.0533999999999997E-10</c:v>
                </c:pt>
                <c:pt idx="5">
                  <c:v>1.1828000000000001E-9</c:v>
                </c:pt>
                <c:pt idx="6">
                  <c:v>1.3850000000000001E-9</c:v>
                </c:pt>
                <c:pt idx="7">
                  <c:v>1.6712E-9</c:v>
                </c:pt>
                <c:pt idx="8">
                  <c:v>1.9502000000000002E-9</c:v>
                </c:pt>
                <c:pt idx="9">
                  <c:v>2.1094999999999998E-9</c:v>
                </c:pt>
                <c:pt idx="10">
                  <c:v>2.1206999999999999E-9</c:v>
                </c:pt>
                <c:pt idx="11">
                  <c:v>2.0312000000000002E-9</c:v>
                </c:pt>
                <c:pt idx="12">
                  <c:v>1.8931E-9</c:v>
                </c:pt>
                <c:pt idx="13">
                  <c:v>1.7376999999999999E-9</c:v>
                </c:pt>
                <c:pt idx="14">
                  <c:v>1.5805000000000001E-9</c:v>
                </c:pt>
                <c:pt idx="15">
                  <c:v>1.4288000000000001E-9</c:v>
                </c:pt>
                <c:pt idx="16">
                  <c:v>1.2859999999999999E-9</c:v>
                </c:pt>
                <c:pt idx="17">
                  <c:v>1.1534E-9</c:v>
                </c:pt>
                <c:pt idx="18">
                  <c:v>7.2827000000000001E-10</c:v>
                </c:pt>
                <c:pt idx="19">
                  <c:v>4.4821E-10</c:v>
                </c:pt>
                <c:pt idx="20">
                  <c:v>2.7161999999999999E-10</c:v>
                </c:pt>
                <c:pt idx="21">
                  <c:v>1.6297999999999999E-10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838.5</c:v>
                </c:pt>
                <c:pt idx="20">
                  <c:v>919.2</c:v>
                </c:pt>
                <c:pt idx="21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6.0284999999999998E-7</c:v>
                </c:pt>
                <c:pt idx="1">
                  <c:v>1.5203000000000001E-6</c:v>
                </c:pt>
                <c:pt idx="2">
                  <c:v>4.6573000000000003E-6</c:v>
                </c:pt>
                <c:pt idx="3">
                  <c:v>1.8770000000000002E-5</c:v>
                </c:pt>
                <c:pt idx="4">
                  <c:v>8.5548000000000002E-5</c:v>
                </c:pt>
                <c:pt idx="5">
                  <c:v>1.4453000000000001E-2</c:v>
                </c:pt>
                <c:pt idx="6">
                  <c:v>3.3766999999999998E-2</c:v>
                </c:pt>
                <c:pt idx="7">
                  <c:v>6.3521999999999995E-2</c:v>
                </c:pt>
                <c:pt idx="8">
                  <c:v>9.733E-2</c:v>
                </c:pt>
                <c:pt idx="9">
                  <c:v>0.12515999999999999</c:v>
                </c:pt>
                <c:pt idx="10">
                  <c:v>0.14249000000000001</c:v>
                </c:pt>
                <c:pt idx="11">
                  <c:v>0.15154000000000001</c:v>
                </c:pt>
                <c:pt idx="12">
                  <c:v>0.15590999999999999</c:v>
                </c:pt>
                <c:pt idx="13">
                  <c:v>0.15798000000000001</c:v>
                </c:pt>
                <c:pt idx="14">
                  <c:v>0.15898000000000001</c:v>
                </c:pt>
                <c:pt idx="15">
                  <c:v>0.15947</c:v>
                </c:pt>
                <c:pt idx="16">
                  <c:v>0.15972</c:v>
                </c:pt>
                <c:pt idx="17">
                  <c:v>0.15984000000000001</c:v>
                </c:pt>
                <c:pt idx="18">
                  <c:v>0.15998000000000001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-18.63</c:v>
                      </c:pt>
                      <c:pt idx="4">
                        <c:v>-18.649999999999999</c:v>
                      </c:pt>
                      <c:pt idx="5">
                        <c:v>-18.77</c:v>
                      </c:pt>
                      <c:pt idx="6">
                        <c:v>-18.809999999999999</c:v>
                      </c:pt>
                      <c:pt idx="7">
                        <c:v>-18.84</c:v>
                      </c:pt>
                      <c:pt idx="8">
                        <c:v>-18.88</c:v>
                      </c:pt>
                      <c:pt idx="9">
                        <c:v>-18.93</c:v>
                      </c:pt>
                      <c:pt idx="10">
                        <c:v>-18.97</c:v>
                      </c:pt>
                      <c:pt idx="11">
                        <c:v>-19.010000000000002</c:v>
                      </c:pt>
                      <c:pt idx="12">
                        <c:v>-19.05</c:v>
                      </c:pt>
                      <c:pt idx="13">
                        <c:v>-19.09</c:v>
                      </c:pt>
                      <c:pt idx="14">
                        <c:v>-19.14</c:v>
                      </c:pt>
                      <c:pt idx="15">
                        <c:v>-19.18</c:v>
                      </c:pt>
                      <c:pt idx="16">
                        <c:v>-19.22</c:v>
                      </c:pt>
                      <c:pt idx="17">
                        <c:v>-19.260000000000002</c:v>
                      </c:pt>
                      <c:pt idx="18">
                        <c:v>-19.43</c:v>
                      </c:pt>
                      <c:pt idx="19">
                        <c:v>-19.59</c:v>
                      </c:pt>
                      <c:pt idx="20">
                        <c:v>-19.739999999999998</c:v>
                      </c:pt>
                      <c:pt idx="21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E7A-412E-BBF5-89E233391AB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-16.940000000000001</c:v>
                      </c:pt>
                      <c:pt idx="1">
                        <c:v>-16.03</c:v>
                      </c:pt>
                      <c:pt idx="2">
                        <c:v>-14.99</c:v>
                      </c:pt>
                      <c:pt idx="3">
                        <c:v>-13.72</c:v>
                      </c:pt>
                      <c:pt idx="4">
                        <c:v>-12.32</c:v>
                      </c:pt>
                      <c:pt idx="5">
                        <c:v>-7.4779999999999998</c:v>
                      </c:pt>
                      <c:pt idx="6">
                        <c:v>-6.7469999999999999</c:v>
                      </c:pt>
                      <c:pt idx="7">
                        <c:v>-6.2640000000000002</c:v>
                      </c:pt>
                      <c:pt idx="8">
                        <c:v>-5.99</c:v>
                      </c:pt>
                      <c:pt idx="9">
                        <c:v>-5.8659999999999997</c:v>
                      </c:pt>
                      <c:pt idx="10">
                        <c:v>-5.8310000000000004</c:v>
                      </c:pt>
                      <c:pt idx="11">
                        <c:v>-5.8419999999999996</c:v>
                      </c:pt>
                      <c:pt idx="12">
                        <c:v>-5.8739999999999997</c:v>
                      </c:pt>
                      <c:pt idx="13">
                        <c:v>-5.9160000000000004</c:v>
                      </c:pt>
                      <c:pt idx="14">
                        <c:v>-5.9630000000000001</c:v>
                      </c:pt>
                      <c:pt idx="15">
                        <c:v>-6.0110000000000001</c:v>
                      </c:pt>
                      <c:pt idx="16">
                        <c:v>-6.06</c:v>
                      </c:pt>
                      <c:pt idx="17">
                        <c:v>-6.109</c:v>
                      </c:pt>
                      <c:pt idx="18">
                        <c:v>-6.3049999999999997</c:v>
                      </c:pt>
                      <c:pt idx="19">
                        <c:v>-6.4960000000000004</c:v>
                      </c:pt>
                      <c:pt idx="20">
                        <c:v>-6.681</c:v>
                      </c:pt>
                      <c:pt idx="21">
                        <c:v>-6.8579999999999997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E7A-412E-BBF5-89E233391AB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-22.32</c:v>
                      </c:pt>
                      <c:pt idx="2">
                        <c:v>-21.49</c:v>
                      </c:pt>
                      <c:pt idx="3">
                        <c:v>-21.1</c:v>
                      </c:pt>
                      <c:pt idx="4">
                        <c:v>-21.07</c:v>
                      </c:pt>
                      <c:pt idx="5">
                        <c:v>-21.96</c:v>
                      </c:pt>
                      <c:pt idx="6">
                        <c:v>-22.15</c:v>
                      </c:pt>
                      <c:pt idx="7">
                        <c:v>-22.33</c:v>
                      </c:pt>
                      <c:pt idx="8">
                        <c:v>-22.53</c:v>
                      </c:pt>
                      <c:pt idx="9">
                        <c:v>-22.76</c:v>
                      </c:pt>
                      <c:pt idx="10">
                        <c:v>-23.03</c:v>
                      </c:pt>
                      <c:pt idx="11">
                        <c:v>-23.31</c:v>
                      </c:pt>
                      <c:pt idx="12">
                        <c:v>-23.6</c:v>
                      </c:pt>
                      <c:pt idx="13">
                        <c:v>-23.89</c:v>
                      </c:pt>
                      <c:pt idx="14">
                        <c:v>-24.17</c:v>
                      </c:pt>
                      <c:pt idx="15">
                        <c:v>-24.46</c:v>
                      </c:pt>
                      <c:pt idx="16">
                        <c:v>-24.74</c:v>
                      </c:pt>
                      <c:pt idx="17">
                        <c:v>-25.02</c:v>
                      </c:pt>
                      <c:pt idx="18">
                        <c:v>-26.11</c:v>
                      </c:pt>
                      <c:pt idx="19">
                        <c:v>-27.16</c:v>
                      </c:pt>
                      <c:pt idx="20">
                        <c:v>-28.16</c:v>
                      </c:pt>
                      <c:pt idx="21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838.5</c:v>
                      </c:pt>
                      <c:pt idx="20">
                        <c:v>919.2</c:v>
                      </c:pt>
                      <c:pt idx="2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>
                  <c:v>899</c:v>
                </c:pt>
                <c:pt idx="20">
                  <c:v>919.2</c:v>
                </c:pt>
                <c:pt idx="21">
                  <c:v>1000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-117.09948072150002</c:v>
                </c:pt>
                <c:pt idx="1">
                  <c:v>-125.07102838275001</c:v>
                </c:pt>
                <c:pt idx="2">
                  <c:v>-134.16330412799999</c:v>
                </c:pt>
                <c:pt idx="3">
                  <c:v>-144.20011954500001</c:v>
                </c:pt>
                <c:pt idx="4">
                  <c:v>-155.08302679650001</c:v>
                </c:pt>
                <c:pt idx="5">
                  <c:v>-157.90303081799999</c:v>
                </c:pt>
                <c:pt idx="6">
                  <c:v>-160.80166506600003</c:v>
                </c:pt>
                <c:pt idx="7">
                  <c:v>-163.74699354599997</c:v>
                </c:pt>
                <c:pt idx="8">
                  <c:v>-166.72850673000002</c:v>
                </c:pt>
                <c:pt idx="9">
                  <c:v>-169.70799117600001</c:v>
                </c:pt>
                <c:pt idx="10">
                  <c:v>-172.74699497025</c:v>
                </c:pt>
                <c:pt idx="11">
                  <c:v>-175.89480646875001</c:v>
                </c:pt>
                <c:pt idx="12">
                  <c:v>-179.16906072600003</c:v>
                </c:pt>
                <c:pt idx="13">
                  <c:v>-182.61973204425001</c:v>
                </c:pt>
                <c:pt idx="14">
                  <c:v>-186.06790069800002</c:v>
                </c:pt>
                <c:pt idx="15">
                  <c:v>-189.55262405100001</c:v>
                </c:pt>
                <c:pt idx="16">
                  <c:v>-193.116318525</c:v>
                </c:pt>
                <c:pt idx="17">
                  <c:v>-196.62626807100003</c:v>
                </c:pt>
                <c:pt idx="18">
                  <c:v>-200.33823918075001</c:v>
                </c:pt>
                <c:pt idx="19">
                  <c:v>-204.06027915000001</c:v>
                </c:pt>
                <c:pt idx="20">
                  <c:v>-207.84291103800001</c:v>
                </c:pt>
                <c:pt idx="21">
                  <c:v>-223.52286075000004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 formatCode="0">
                  <c:v>899</c:v>
                </c:pt>
                <c:pt idx="20" formatCode="0">
                  <c:v>919.2</c:v>
                </c:pt>
                <c:pt idx="21" formatCode="0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1.7357E-34</c:v>
                </c:pt>
                <c:pt idx="4">
                  <c:v>3.0869999999999998E-28</c:v>
                </c:pt>
                <c:pt idx="5">
                  <c:v>6.2228000000000003E-27</c:v>
                </c:pt>
                <c:pt idx="6">
                  <c:v>1.0345000000000001E-25</c:v>
                </c:pt>
                <c:pt idx="7">
                  <c:v>1.4437E-24</c:v>
                </c:pt>
                <c:pt idx="8">
                  <c:v>1.7176E-23</c:v>
                </c:pt>
                <c:pt idx="9">
                  <c:v>1.7664999999999999E-22</c:v>
                </c:pt>
                <c:pt idx="10">
                  <c:v>1.6209000000000001E-21</c:v>
                </c:pt>
                <c:pt idx="11">
                  <c:v>1.6736E-20</c:v>
                </c:pt>
                <c:pt idx="12">
                  <c:v>1.645E-19</c:v>
                </c:pt>
                <c:pt idx="13">
                  <c:v>1.6065000000000001E-18</c:v>
                </c:pt>
                <c:pt idx="14">
                  <c:v>1.4519000000000001E-17</c:v>
                </c:pt>
                <c:pt idx="15">
                  <c:v>1.2263000000000001E-16</c:v>
                </c:pt>
                <c:pt idx="16">
                  <c:v>9.7497999999999992E-16</c:v>
                </c:pt>
                <c:pt idx="17">
                  <c:v>7.3444E-15</c:v>
                </c:pt>
                <c:pt idx="18">
                  <c:v>5.2733999999999999E-14</c:v>
                </c:pt>
                <c:pt idx="19" formatCode="General">
                  <c:v>3.6285999999999998E-13</c:v>
                </c:pt>
                <c:pt idx="20" formatCode="General">
                  <c:v>2.4051999999999999E-12</c:v>
                </c:pt>
                <c:pt idx="21" formatCode="General">
                  <c:v>3.5008000000000002E-9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 formatCode="0">
                  <c:v>899</c:v>
                </c:pt>
                <c:pt idx="20" formatCode="0">
                  <c:v>919.2</c:v>
                </c:pt>
                <c:pt idx="21" formatCode="0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3.7200000000000002E-30</c:v>
                </c:pt>
                <c:pt idx="4">
                  <c:v>1.1679000000000001E-24</c:v>
                </c:pt>
                <c:pt idx="5">
                  <c:v>1.6382E-23</c:v>
                </c:pt>
                <c:pt idx="6">
                  <c:v>1.9391999999999999E-22</c:v>
                </c:pt>
                <c:pt idx="7">
                  <c:v>1.9677E-21</c:v>
                </c:pt>
                <c:pt idx="8">
                  <c:v>1.7350000000000001E-20</c:v>
                </c:pt>
                <c:pt idx="9">
                  <c:v>1.3457E-19</c:v>
                </c:pt>
                <c:pt idx="10">
                  <c:v>9.4361999999999999E-19</c:v>
                </c:pt>
                <c:pt idx="11">
                  <c:v>7.3002000000000006E-18</c:v>
                </c:pt>
                <c:pt idx="12">
                  <c:v>5.4006000000000001E-17</c:v>
                </c:pt>
                <c:pt idx="13">
                  <c:v>3.9637000000000002E-16</c:v>
                </c:pt>
                <c:pt idx="14">
                  <c:v>2.7161000000000001E-15</c:v>
                </c:pt>
                <c:pt idx="15">
                  <c:v>1.7527999999999999E-14</c:v>
                </c:pt>
                <c:pt idx="16">
                  <c:v>1.0719E-13</c:v>
                </c:pt>
                <c:pt idx="17">
                  <c:v>6.2481999999999996E-13</c:v>
                </c:pt>
                <c:pt idx="18">
                  <c:v>3.4897999999999999E-12</c:v>
                </c:pt>
                <c:pt idx="19" formatCode="General">
                  <c:v>1.8764999999999999E-11</c:v>
                </c:pt>
                <c:pt idx="20" formatCode="General">
                  <c:v>9.7580999999999996E-11</c:v>
                </c:pt>
                <c:pt idx="21" formatCode="General">
                  <c:v>5.5392999999999998E-8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 formatCode="0">
                  <c:v>899</c:v>
                </c:pt>
                <c:pt idx="20" formatCode="0">
                  <c:v>919.2</c:v>
                </c:pt>
                <c:pt idx="21" formatCode="0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6.2204000000000002E-34</c:v>
                </c:pt>
                <c:pt idx="3">
                  <c:v>7.3199000000000005E-27</c:v>
                </c:pt>
                <c:pt idx="4">
                  <c:v>1.0145000000000001E-21</c:v>
                </c:pt>
                <c:pt idx="5">
                  <c:v>1.1992000000000001E-20</c:v>
                </c:pt>
                <c:pt idx="6">
                  <c:v>1.2093999999999999E-19</c:v>
                </c:pt>
                <c:pt idx="7">
                  <c:v>1.0558999999999999E-18</c:v>
                </c:pt>
                <c:pt idx="8">
                  <c:v>8.0830999999999998E-18</c:v>
                </c:pt>
                <c:pt idx="9">
                  <c:v>5.4881000000000002E-17</c:v>
                </c:pt>
                <c:pt idx="10">
                  <c:v>3.3849999999999998E-16</c:v>
                </c:pt>
                <c:pt idx="11">
                  <c:v>2.2411999999999998E-15</c:v>
                </c:pt>
                <c:pt idx="12">
                  <c:v>1.4152E-14</c:v>
                </c:pt>
                <c:pt idx="13">
                  <c:v>8.7949999999999994E-14</c:v>
                </c:pt>
                <c:pt idx="14">
                  <c:v>5.1176000000000003E-13</c:v>
                </c:pt>
                <c:pt idx="15">
                  <c:v>2.8099999999999999E-12</c:v>
                </c:pt>
                <c:pt idx="16">
                  <c:v>1.4645000000000002E-11</c:v>
                </c:pt>
                <c:pt idx="17">
                  <c:v>7.2831000000000004E-11</c:v>
                </c:pt>
                <c:pt idx="18">
                  <c:v>3.4731000000000001E-10</c:v>
                </c:pt>
                <c:pt idx="19" formatCode="General">
                  <c:v>1.5951E-9</c:v>
                </c:pt>
                <c:pt idx="20" formatCode="General">
                  <c:v>7.0852000000000003E-9</c:v>
                </c:pt>
                <c:pt idx="21" formatCode="General">
                  <c:v>2.1295999999999999E-6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 formatCode="0">
                  <c:v>899</c:v>
                </c:pt>
                <c:pt idx="20" formatCode="0">
                  <c:v>919.2</c:v>
                </c:pt>
                <c:pt idx="21" formatCode="0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1.0329E-31</c:v>
                </c:pt>
                <c:pt idx="3">
                  <c:v>2.6072999999999999E-25</c:v>
                </c:pt>
                <c:pt idx="4">
                  <c:v>1.1713E-20</c:v>
                </c:pt>
                <c:pt idx="5">
                  <c:v>1.0937000000000001E-19</c:v>
                </c:pt>
                <c:pt idx="6">
                  <c:v>8.8435999999999997E-19</c:v>
                </c:pt>
                <c:pt idx="7">
                  <c:v>6.2750000000000001E-18</c:v>
                </c:pt>
                <c:pt idx="8">
                  <c:v>3.9528000000000001E-17</c:v>
                </c:pt>
                <c:pt idx="9">
                  <c:v>2.2335000000000002E-16</c:v>
                </c:pt>
                <c:pt idx="10">
                  <c:v>1.1553000000000001E-15</c:v>
                </c:pt>
                <c:pt idx="11">
                  <c:v>6.2573000000000001E-15</c:v>
                </c:pt>
                <c:pt idx="12">
                  <c:v>3.2312999999999999E-14</c:v>
                </c:pt>
                <c:pt idx="13">
                  <c:v>1.6328000000000001E-13</c:v>
                </c:pt>
                <c:pt idx="14">
                  <c:v>7.7624000000000003E-13</c:v>
                </c:pt>
                <c:pt idx="15">
                  <c:v>3.4961E-12</c:v>
                </c:pt>
                <c:pt idx="16">
                  <c:v>1.4994999999999999E-11</c:v>
                </c:pt>
                <c:pt idx="17">
                  <c:v>6.1540999999999997E-11</c:v>
                </c:pt>
                <c:pt idx="18">
                  <c:v>2.4273E-10</c:v>
                </c:pt>
                <c:pt idx="19" formatCode="General">
                  <c:v>9.2372999999999997E-10</c:v>
                </c:pt>
                <c:pt idx="20" formatCode="General">
                  <c:v>3.4045E-9</c:v>
                </c:pt>
                <c:pt idx="21" formatCode="General">
                  <c:v>4.8808999999999997E-7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 formatCode="0">
                  <c:v>899</c:v>
                </c:pt>
                <c:pt idx="20" formatCode="0">
                  <c:v>919.2</c:v>
                </c:pt>
                <c:pt idx="21" formatCode="0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2.7002000000000002E-36</c:v>
                </c:pt>
                <c:pt idx="2">
                  <c:v>8.0344000000000001E-28</c:v>
                </c:pt>
                <c:pt idx="3">
                  <c:v>5.0715999999999996E-22</c:v>
                </c:pt>
                <c:pt idx="4">
                  <c:v>8.2863999999999993E-18</c:v>
                </c:pt>
                <c:pt idx="5">
                  <c:v>6.2630999999999999E-17</c:v>
                </c:pt>
                <c:pt idx="6">
                  <c:v>4.1549000000000002E-16</c:v>
                </c:pt>
                <c:pt idx="7">
                  <c:v>2.4484999999999999E-15</c:v>
                </c:pt>
                <c:pt idx="8">
                  <c:v>1.2954E-14</c:v>
                </c:pt>
                <c:pt idx="9">
                  <c:v>6.2109000000000003E-14</c:v>
                </c:pt>
                <c:pt idx="10">
                  <c:v>2.7439000000000001E-13</c:v>
                </c:pt>
                <c:pt idx="11">
                  <c:v>1.2371000000000001E-12</c:v>
                </c:pt>
                <c:pt idx="12">
                  <c:v>5.3116999999999997E-12</c:v>
                </c:pt>
                <c:pt idx="13">
                  <c:v>2.2169000000000001E-11</c:v>
                </c:pt>
                <c:pt idx="14">
                  <c:v>8.7407999999999994E-11</c:v>
                </c:pt>
                <c:pt idx="15">
                  <c:v>3.2755000000000002E-10</c:v>
                </c:pt>
                <c:pt idx="16">
                  <c:v>1.1720000000000001E-9</c:v>
                </c:pt>
                <c:pt idx="17">
                  <c:v>4.0216000000000003E-9</c:v>
                </c:pt>
                <c:pt idx="18">
                  <c:v>1.3284E-8</c:v>
                </c:pt>
                <c:pt idx="19" formatCode="General">
                  <c:v>4.2389999999999998E-8</c:v>
                </c:pt>
                <c:pt idx="20" formatCode="General">
                  <c:v>1.3112E-7</c:v>
                </c:pt>
                <c:pt idx="21" formatCode="General">
                  <c:v>9.3438000000000002E-6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 formatCode="0">
                  <c:v>899</c:v>
                </c:pt>
                <c:pt idx="20" formatCode="0">
                  <c:v>919.2</c:v>
                </c:pt>
                <c:pt idx="21" formatCode="0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1.7012999999999999E-36</c:v>
                </c:pt>
                <c:pt idx="1">
                  <c:v>2.2943999999999999E-26</c:v>
                </c:pt>
                <c:pt idx="2">
                  <c:v>5.2738000000000002E-20</c:v>
                </c:pt>
                <c:pt idx="3">
                  <c:v>1.2123999999999999E-15</c:v>
                </c:pt>
                <c:pt idx="4">
                  <c:v>1.8039E-12</c:v>
                </c:pt>
                <c:pt idx="5">
                  <c:v>8.2828000000000002E-12</c:v>
                </c:pt>
                <c:pt idx="6">
                  <c:v>3.4486E-11</c:v>
                </c:pt>
                <c:pt idx="7">
                  <c:v>1.3137000000000001E-10</c:v>
                </c:pt>
                <c:pt idx="8">
                  <c:v>4.6152000000000003E-10</c:v>
                </c:pt>
                <c:pt idx="9">
                  <c:v>1.5057999999999999E-9</c:v>
                </c:pt>
                <c:pt idx="10">
                  <c:v>4.6168E-9</c:v>
                </c:pt>
                <c:pt idx="11">
                  <c:v>1.4248E-8</c:v>
                </c:pt>
                <c:pt idx="12">
                  <c:v>4.2289000000000002E-8</c:v>
                </c:pt>
                <c:pt idx="13">
                  <c:v>1.2242999999999999E-7</c:v>
                </c:pt>
                <c:pt idx="14">
                  <c:v>3.3939999999999998E-7</c:v>
                </c:pt>
                <c:pt idx="15">
                  <c:v>9.0484000000000005E-7</c:v>
                </c:pt>
                <c:pt idx="16">
                  <c:v>2.3281000000000002E-6</c:v>
                </c:pt>
                <c:pt idx="17">
                  <c:v>5.7991000000000001E-6</c:v>
                </c:pt>
                <c:pt idx="18">
                  <c:v>1.4025E-5</c:v>
                </c:pt>
                <c:pt idx="19" formatCode="General">
                  <c:v>3.3022999999999999E-5</c:v>
                </c:pt>
                <c:pt idx="20" formatCode="General">
                  <c:v>7.5883000000000005E-5</c:v>
                </c:pt>
                <c:pt idx="21" formatCode="General">
                  <c:v>1.7390999999999999E-3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ser>
          <c:idx val="10"/>
          <c:order val="10"/>
          <c:tx>
            <c:strRef>
              <c:f>FLUID!$E$14</c:f>
              <c:strCache>
                <c:ptCount val="1"/>
                <c:pt idx="0">
                  <c:v>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 formatCode="0">
                  <c:v>899</c:v>
                </c:pt>
                <c:pt idx="20" formatCode="0">
                  <c:v>919.2</c:v>
                </c:pt>
                <c:pt idx="2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FLUID!$F$14:$AL$14</c:f>
              <c:numCache>
                <c:formatCode>0.0E+00</c:formatCode>
                <c:ptCount val="33"/>
                <c:pt idx="0">
                  <c:v>0</c:v>
                </c:pt>
                <c:pt idx="1">
                  <c:v>1.4729999999999999E-35</c:v>
                </c:pt>
                <c:pt idx="2">
                  <c:v>7.7269999999999998E-28</c:v>
                </c:pt>
                <c:pt idx="3">
                  <c:v>1.5352999999999999E-22</c:v>
                </c:pt>
                <c:pt idx="4">
                  <c:v>1.1133000000000001E-18</c:v>
                </c:pt>
                <c:pt idx="5">
                  <c:v>7.1330000000000005E-18</c:v>
                </c:pt>
                <c:pt idx="6">
                  <c:v>4.0607999999999998E-17</c:v>
                </c:pt>
                <c:pt idx="7">
                  <c:v>2.0767000000000001E-16</c:v>
                </c:pt>
                <c:pt idx="8">
                  <c:v>9.6315000000000008E-16</c:v>
                </c:pt>
                <c:pt idx="9">
                  <c:v>4.0859000000000004E-15</c:v>
                </c:pt>
                <c:pt idx="10">
                  <c:v>1.6018000000000001E-14</c:v>
                </c:pt>
                <c:pt idx="11">
                  <c:v>6.0298999999999996E-14</c:v>
                </c:pt>
                <c:pt idx="12">
                  <c:v>2.1380000000000001E-13</c:v>
                </c:pt>
                <c:pt idx="13">
                  <c:v>7.2132E-13</c:v>
                </c:pt>
                <c:pt idx="14">
                  <c:v>2.3009E-12</c:v>
                </c:pt>
                <c:pt idx="15">
                  <c:v>6.9719000000000002E-12</c:v>
                </c:pt>
                <c:pt idx="16">
                  <c:v>2.015E-11</c:v>
                </c:pt>
                <c:pt idx="17">
                  <c:v>5.5747000000000001E-11</c:v>
                </c:pt>
                <c:pt idx="18">
                  <c:v>1.4813999999999999E-10</c:v>
                </c:pt>
                <c:pt idx="19" formatCode="General">
                  <c:v>3.7928999999999999E-10</c:v>
                </c:pt>
                <c:pt idx="20" formatCode="General">
                  <c:v>9.382699999999999E-10</c:v>
                </c:pt>
                <c:pt idx="21" formatCode="General">
                  <c:v>2.6289000000000001E-8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F8F-421C-B882-6FC6CED20D0E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 formatCode="0">
                  <c:v>899</c:v>
                </c:pt>
                <c:pt idx="20" formatCode="0">
                  <c:v>919.2</c:v>
                </c:pt>
                <c:pt idx="2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F8F-421C-B882-6FC6CED20D0E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F8F-421C-B882-6FC6CED20D0E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*Ge3Se4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1.6880000000000001E-12</c:v>
                      </c:pt>
                      <c:pt idx="1">
                        <c:v>2.4017000000000002E-11</c:v>
                      </c:pt>
                      <c:pt idx="2">
                        <c:v>1.0867E-10</c:v>
                      </c:pt>
                      <c:pt idx="3">
                        <c:v>3.1420999999999999E-10</c:v>
                      </c:pt>
                      <c:pt idx="4">
                        <c:v>9.3474000000000002E-10</c:v>
                      </c:pt>
                      <c:pt idx="5">
                        <c:v>1.126E-9</c:v>
                      </c:pt>
                      <c:pt idx="6">
                        <c:v>1.4882999999999999E-9</c:v>
                      </c:pt>
                      <c:pt idx="7">
                        <c:v>1.3916E-9</c:v>
                      </c:pt>
                      <c:pt idx="8">
                        <c:v>9.1682000000000005E-10</c:v>
                      </c:pt>
                      <c:pt idx="9">
                        <c:v>9.6391999999999994E-11</c:v>
                      </c:pt>
                      <c:pt idx="10">
                        <c:v>2.7370000000000001E-5</c:v>
                      </c:pt>
                      <c:pt idx="11">
                        <c:v>6.3547999999999999E-3</c:v>
                      </c:pt>
                      <c:pt idx="12">
                        <c:v>7.9120999999999997E-2</c:v>
                      </c:pt>
                      <c:pt idx="13">
                        <c:v>7.9999000000000001E-2</c:v>
                      </c:pt>
                      <c:pt idx="14">
                        <c:v>0.08</c:v>
                      </c:pt>
                      <c:pt idx="15">
                        <c:v>8.0001000000000003E-2</c:v>
                      </c:pt>
                      <c:pt idx="16">
                        <c:v>8.0002000000000004E-2</c:v>
                      </c:pt>
                      <c:pt idx="17">
                        <c:v>8.0005999999999994E-2</c:v>
                      </c:pt>
                      <c:pt idx="18">
                        <c:v>8.0014000000000002E-2</c:v>
                      </c:pt>
                      <c:pt idx="19" formatCode="General">
                        <c:v>8.0033000000000007E-2</c:v>
                      </c:pt>
                      <c:pt idx="20" formatCode="General">
                        <c:v>8.0075999999999994E-2</c:v>
                      </c:pt>
                      <c:pt idx="21" formatCode="General">
                        <c:v>8.1759999999999999E-2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5F8F-421C-B882-6FC6CED20D0E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*Ge4Se5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1.5381000000000001E-12</c:v>
                      </c:pt>
                      <c:pt idx="1">
                        <c:v>3.1208999999999999E-11</c:v>
                      </c:pt>
                      <c:pt idx="2">
                        <c:v>1.9100999999999999E-10</c:v>
                      </c:pt>
                      <c:pt idx="3">
                        <c:v>7.3943999999999998E-10</c:v>
                      </c:pt>
                      <c:pt idx="4">
                        <c:v>3.9514000000000002E-9</c:v>
                      </c:pt>
                      <c:pt idx="5">
                        <c:v>6.4348000000000002E-9</c:v>
                      </c:pt>
                      <c:pt idx="6">
                        <c:v>1.3008999999999999E-8</c:v>
                      </c:pt>
                      <c:pt idx="7">
                        <c:v>2.5351E-8</c:v>
                      </c:pt>
                      <c:pt idx="8">
                        <c:v>6.8684999999999996E-8</c:v>
                      </c:pt>
                      <c:pt idx="9">
                        <c:v>4.2212999999999998E-7</c:v>
                      </c:pt>
                      <c:pt idx="10">
                        <c:v>3.6378000000000001E-2</c:v>
                      </c:pt>
                      <c:pt idx="11">
                        <c:v>4.8994999999999997E-2</c:v>
                      </c:pt>
                      <c:pt idx="12">
                        <c:v>5.8631999999999998E-4</c:v>
                      </c:pt>
                      <c:pt idx="13">
                        <c:v>4.4288000000000001E-7</c:v>
                      </c:pt>
                      <c:pt idx="14">
                        <c:v>1.3381999999999999E-7</c:v>
                      </c:pt>
                      <c:pt idx="15">
                        <c:v>5.6266000000000002E-8</c:v>
                      </c:pt>
                      <c:pt idx="16">
                        <c:v>2.6082999999999999E-8</c:v>
                      </c:pt>
                      <c:pt idx="17">
                        <c:v>1.3621E-8</c:v>
                      </c:pt>
                      <c:pt idx="18">
                        <c:v>8.5926999999999999E-9</c:v>
                      </c:pt>
                      <c:pt idx="19" formatCode="General">
                        <c:v>4.3988999999999998E-9</c:v>
                      </c:pt>
                      <c:pt idx="20" formatCode="General">
                        <c:v>2.1421999999999999E-9</c:v>
                      </c:pt>
                      <c:pt idx="21" formatCode="General">
                        <c:v>6.0282999999999997E-10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F8F-421C-B882-6FC6CED20D0E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0.1236</c:v>
                      </c:pt>
                      <c:pt idx="11">
                        <c:v>0.10465000000000001</c:v>
                      </c:pt>
                      <c:pt idx="12">
                        <c:v>8.0293000000000003E-2</c:v>
                      </c:pt>
                      <c:pt idx="13">
                        <c:v>0.08</c:v>
                      </c:pt>
                      <c:pt idx="14">
                        <c:v>7.9999000000000001E-2</c:v>
                      </c:pt>
                      <c:pt idx="15">
                        <c:v>7.9996999999999999E-2</c:v>
                      </c:pt>
                      <c:pt idx="16">
                        <c:v>7.9992999999999995E-2</c:v>
                      </c:pt>
                      <c:pt idx="17">
                        <c:v>7.9982999999999999E-2</c:v>
                      </c:pt>
                      <c:pt idx="18">
                        <c:v>7.9958000000000001E-2</c:v>
                      </c:pt>
                      <c:pt idx="19" formatCode="General">
                        <c:v>7.9901E-2</c:v>
                      </c:pt>
                      <c:pt idx="20" formatCode="General">
                        <c:v>7.9771999999999996E-2</c:v>
                      </c:pt>
                      <c:pt idx="21" formatCode="General">
                        <c:v>7.4720999999999996E-2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F8F-421C-B882-6FC6CED20D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5.0812999999999997E-2</c:v>
                      </c:pt>
                      <c:pt idx="11">
                        <c:v>3.0737000000000001E-4</c:v>
                      </c:pt>
                      <c:pt idx="12">
                        <c:v>3.0769000000000002E-7</c:v>
                      </c:pt>
                      <c:pt idx="13">
                        <c:v>7.1432999999999995E-10</c:v>
                      </c:pt>
                      <c:pt idx="14">
                        <c:v>3.6143999999999998E-9</c:v>
                      </c:pt>
                      <c:pt idx="15">
                        <c:v>5.4865E-9</c:v>
                      </c:pt>
                      <c:pt idx="16">
                        <c:v>5.2828E-9</c:v>
                      </c:pt>
                      <c:pt idx="17">
                        <c:v>4.4753E-9</c:v>
                      </c:pt>
                      <c:pt idx="18">
                        <c:v>4.0423000000000004E-9</c:v>
                      </c:pt>
                      <c:pt idx="19" formatCode="General">
                        <c:v>2.6203000000000001E-9</c:v>
                      </c:pt>
                      <c:pt idx="20" formatCode="General">
                        <c:v>1.5176E-9</c:v>
                      </c:pt>
                      <c:pt idx="21" formatCode="General">
                        <c:v>6.8446000000000003E-10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-18.649999999999999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-19.09</c:v>
                      </c:pt>
                      <c:pt idx="5">
                        <c:v>-19.14</c:v>
                      </c:pt>
                      <c:pt idx="6">
                        <c:v>-19.18</c:v>
                      </c:pt>
                      <c:pt idx="7">
                        <c:v>-19.22</c:v>
                      </c:pt>
                      <c:pt idx="8">
                        <c:v>-19.260000000000002</c:v>
                      </c:pt>
                      <c:pt idx="9">
                        <c:v>-19.3</c:v>
                      </c:pt>
                      <c:pt idx="10">
                        <c:v>-19.350000000000001</c:v>
                      </c:pt>
                      <c:pt idx="11">
                        <c:v>-19.39</c:v>
                      </c:pt>
                      <c:pt idx="12">
                        <c:v>-19.43</c:v>
                      </c:pt>
                      <c:pt idx="13">
                        <c:v>-19.47</c:v>
                      </c:pt>
                      <c:pt idx="14">
                        <c:v>-19.510000000000002</c:v>
                      </c:pt>
                      <c:pt idx="15">
                        <c:v>-19.55</c:v>
                      </c:pt>
                      <c:pt idx="16">
                        <c:v>-19.59</c:v>
                      </c:pt>
                      <c:pt idx="17">
                        <c:v>-19.62</c:v>
                      </c:pt>
                      <c:pt idx="18">
                        <c:v>-19.66</c:v>
                      </c:pt>
                      <c:pt idx="19" formatCode="General">
                        <c:v>-19.7</c:v>
                      </c:pt>
                      <c:pt idx="20" formatCode="General">
                        <c:v>-19.739999999999998</c:v>
                      </c:pt>
                      <c:pt idx="21" formatCode="General">
                        <c:v>-19.89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-13.81</c:v>
                      </c:pt>
                      <c:pt idx="2">
                        <c:v>-12.4</c:v>
                      </c:pt>
                      <c:pt idx="3">
                        <c:v>-11.54</c:v>
                      </c:pt>
                      <c:pt idx="4">
                        <c:v>-10.99</c:v>
                      </c:pt>
                      <c:pt idx="5">
                        <c:v>-10.89</c:v>
                      </c:pt>
                      <c:pt idx="6">
                        <c:v>-10.79</c:v>
                      </c:pt>
                      <c:pt idx="7">
                        <c:v>-10.71</c:v>
                      </c:pt>
                      <c:pt idx="8">
                        <c:v>-10.63</c:v>
                      </c:pt>
                      <c:pt idx="9">
                        <c:v>-10.56</c:v>
                      </c:pt>
                      <c:pt idx="10">
                        <c:v>-10.5</c:v>
                      </c:pt>
                      <c:pt idx="11">
                        <c:v>-10.52</c:v>
                      </c:pt>
                      <c:pt idx="12">
                        <c:v>-10.56</c:v>
                      </c:pt>
                      <c:pt idx="13">
                        <c:v>-10.64</c:v>
                      </c:pt>
                      <c:pt idx="14">
                        <c:v>-10.73</c:v>
                      </c:pt>
                      <c:pt idx="15">
                        <c:v>-10.82</c:v>
                      </c:pt>
                      <c:pt idx="16">
                        <c:v>-10.93</c:v>
                      </c:pt>
                      <c:pt idx="17">
                        <c:v>-11.04</c:v>
                      </c:pt>
                      <c:pt idx="18">
                        <c:v>-11.17</c:v>
                      </c:pt>
                      <c:pt idx="19" formatCode="General">
                        <c:v>-11.31</c:v>
                      </c:pt>
                      <c:pt idx="20" formatCode="General">
                        <c:v>-11.46</c:v>
                      </c:pt>
                      <c:pt idx="21" formatCode="General">
                        <c:v>-12.14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-19.13</c:v>
                      </c:pt>
                      <c:pt idx="2">
                        <c:v>-16.48</c:v>
                      </c:pt>
                      <c:pt idx="3">
                        <c:v>-14.74</c:v>
                      </c:pt>
                      <c:pt idx="4">
                        <c:v>-13.53</c:v>
                      </c:pt>
                      <c:pt idx="5">
                        <c:v>-13.28</c:v>
                      </c:pt>
                      <c:pt idx="6">
                        <c:v>-13.06</c:v>
                      </c:pt>
                      <c:pt idx="7">
                        <c:v>-12.85</c:v>
                      </c:pt>
                      <c:pt idx="8">
                        <c:v>-12.66</c:v>
                      </c:pt>
                      <c:pt idx="9">
                        <c:v>-12.48</c:v>
                      </c:pt>
                      <c:pt idx="10">
                        <c:v>-12.31</c:v>
                      </c:pt>
                      <c:pt idx="11">
                        <c:v>-12.11</c:v>
                      </c:pt>
                      <c:pt idx="12">
                        <c:v>-11.92</c:v>
                      </c:pt>
                      <c:pt idx="13">
                        <c:v>-11.73</c:v>
                      </c:pt>
                      <c:pt idx="14">
                        <c:v>-11.54</c:v>
                      </c:pt>
                      <c:pt idx="15">
                        <c:v>-11.36</c:v>
                      </c:pt>
                      <c:pt idx="16">
                        <c:v>-11.18</c:v>
                      </c:pt>
                      <c:pt idx="17">
                        <c:v>-11</c:v>
                      </c:pt>
                      <c:pt idx="18">
                        <c:v>-10.83</c:v>
                      </c:pt>
                      <c:pt idx="19" formatCode="General">
                        <c:v>-10.66</c:v>
                      </c:pt>
                      <c:pt idx="20" formatCode="General">
                        <c:v>-10.49</c:v>
                      </c:pt>
                      <c:pt idx="21" formatCode="General">
                        <c:v>-9.8290000000000006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6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>
                  <c:v>899</c:v>
                </c:pt>
                <c:pt idx="20">
                  <c:v>919.2</c:v>
                </c:pt>
                <c:pt idx="21">
                  <c:v>1000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>
                  <c:v>899</c:v>
                </c:pt>
                <c:pt idx="20">
                  <c:v>919.2</c:v>
                </c:pt>
                <c:pt idx="21">
                  <c:v>1000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FLUID!$F$124:$AL$124</c:f>
              <c:numCache>
                <c:formatCode>General</c:formatCode>
                <c:ptCount val="33"/>
                <c:pt idx="0">
                  <c:v>-5.6787934735444514E-34</c:v>
                </c:pt>
                <c:pt idx="1">
                  <c:v>-8.0719938410411484E-24</c:v>
                </c:pt>
                <c:pt idx="2">
                  <c:v>-1.9633000223739784E-17</c:v>
                </c:pt>
                <c:pt idx="3">
                  <c:v>-4.786348099617865E-13</c:v>
                </c:pt>
                <c:pt idx="4">
                  <c:v>-7.5617360633340844E-10</c:v>
                </c:pt>
                <c:pt idx="5">
                  <c:v>-3.5233773717862824E-9</c:v>
                </c:pt>
                <c:pt idx="6">
                  <c:v>-1.4899679287307649E-8</c:v>
                </c:pt>
                <c:pt idx="7">
                  <c:v>-5.7618395684811074E-8</c:v>
                </c:pt>
                <c:pt idx="8">
                  <c:v>-2.0556439115261291E-7</c:v>
                </c:pt>
                <c:pt idx="9">
                  <c:v>-6.8080187385380331E-7</c:v>
                </c:pt>
                <c:pt idx="10">
                  <c:v>-2.1186336505247058E-6</c:v>
                </c:pt>
                <c:pt idx="11">
                  <c:v>-6.6135441862516572E-6</c:v>
                </c:pt>
                <c:pt idx="12">
                  <c:v>-1.9851853236968716E-5</c:v>
                </c:pt>
                <c:pt idx="13">
                  <c:v>-5.8069348411056457E-5</c:v>
                </c:pt>
                <c:pt idx="14">
                  <c:v>-1.6250396227926025E-4</c:v>
                </c:pt>
                <c:pt idx="15">
                  <c:v>-4.3734383286197766E-4</c:v>
                </c:pt>
                <c:pt idx="16">
                  <c:v>-1.1350234421290905E-3</c:v>
                </c:pt>
                <c:pt idx="17">
                  <c:v>-2.8496235333634145E-3</c:v>
                </c:pt>
                <c:pt idx="18">
                  <c:v>-6.9478112077712801E-3</c:v>
                </c:pt>
                <c:pt idx="19">
                  <c:v>-1.648028910793806E-2</c:v>
                </c:pt>
                <c:pt idx="20">
                  <c:v>-3.813420448806646E-2</c:v>
                </c:pt>
                <c:pt idx="21">
                  <c:v>-0.89875492590405626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>
                  <c:v>899</c:v>
                </c:pt>
                <c:pt idx="20">
                  <c:v>919.2</c:v>
                </c:pt>
                <c:pt idx="21">
                  <c:v>1000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-5.6787934735444514E-34</c:v>
                </c:pt>
                <c:pt idx="1">
                  <c:v>1</c:v>
                </c:pt>
                <c:pt idx="2">
                  <c:v>2</c:v>
                </c:pt>
                <c:pt idx="3">
                  <c:v>2.9999999999995213</c:v>
                </c:pt>
                <c:pt idx="4">
                  <c:v>3.9999999992438262</c:v>
                </c:pt>
                <c:pt idx="5">
                  <c:v>4.9999999964766229</c:v>
                </c:pt>
                <c:pt idx="6">
                  <c:v>5.9999999851003203</c:v>
                </c:pt>
                <c:pt idx="7">
                  <c:v>6.9999999423816046</c:v>
                </c:pt>
                <c:pt idx="8">
                  <c:v>7.9999997944356087</c:v>
                </c:pt>
                <c:pt idx="9">
                  <c:v>8.9999993191981265</c:v>
                </c:pt>
                <c:pt idx="10">
                  <c:v>9.9999978813663493</c:v>
                </c:pt>
                <c:pt idx="11">
                  <c:v>10.999993386455813</c:v>
                </c:pt>
                <c:pt idx="12">
                  <c:v>11.999980148146763</c:v>
                </c:pt>
                <c:pt idx="13">
                  <c:v>12.999941930651589</c:v>
                </c:pt>
                <c:pt idx="14">
                  <c:v>13.999837496037721</c:v>
                </c:pt>
                <c:pt idx="15">
                  <c:v>14.999562656167138</c:v>
                </c:pt>
                <c:pt idx="16">
                  <c:v>15.99886497655787</c:v>
                </c:pt>
                <c:pt idx="17">
                  <c:v>16.997150376466635</c:v>
                </c:pt>
                <c:pt idx="18">
                  <c:v>17.99305218879223</c:v>
                </c:pt>
                <c:pt idx="19">
                  <c:v>18.983519710892061</c:v>
                </c:pt>
                <c:pt idx="20">
                  <c:v>19.961865795511933</c:v>
                </c:pt>
                <c:pt idx="21">
                  <c:v>20.101245074095942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>
                  <c:v>899</c:v>
                </c:pt>
                <c:pt idx="20">
                  <c:v>919.2</c:v>
                </c:pt>
                <c:pt idx="21">
                  <c:v>1000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FLUID!$B$114:$B$115</c:f>
              <c:numCache>
                <c:formatCode>0</c:formatCode>
                <c:ptCount val="2"/>
                <c:pt idx="0">
                  <c:v>-223.52286075000004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>
                  <c:v>899</c:v>
                </c:pt>
                <c:pt idx="20">
                  <c:v>919.2</c:v>
                </c:pt>
                <c:pt idx="21">
                  <c:v>1000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-117.09948072150002</c:v>
                </c:pt>
                <c:pt idx="1">
                  <c:v>-125.07102838275001</c:v>
                </c:pt>
                <c:pt idx="2">
                  <c:v>-134.16330412799999</c:v>
                </c:pt>
                <c:pt idx="3">
                  <c:v>-144.20011954500001</c:v>
                </c:pt>
                <c:pt idx="4">
                  <c:v>-155.08302679650001</c:v>
                </c:pt>
                <c:pt idx="5">
                  <c:v>-157.90303081799999</c:v>
                </c:pt>
                <c:pt idx="6">
                  <c:v>-160.80166506600003</c:v>
                </c:pt>
                <c:pt idx="7">
                  <c:v>-163.74699354599997</c:v>
                </c:pt>
                <c:pt idx="8">
                  <c:v>-166.72850673000002</c:v>
                </c:pt>
                <c:pt idx="9">
                  <c:v>-169.70799117600001</c:v>
                </c:pt>
                <c:pt idx="10">
                  <c:v>-172.74699497025</c:v>
                </c:pt>
                <c:pt idx="11">
                  <c:v>-175.89480646875001</c:v>
                </c:pt>
                <c:pt idx="12">
                  <c:v>-179.16906072600003</c:v>
                </c:pt>
                <c:pt idx="13">
                  <c:v>-182.61973204425001</c:v>
                </c:pt>
                <c:pt idx="14">
                  <c:v>-186.06790069800002</c:v>
                </c:pt>
                <c:pt idx="15">
                  <c:v>-189.55262405100001</c:v>
                </c:pt>
                <c:pt idx="16">
                  <c:v>-193.116318525</c:v>
                </c:pt>
                <c:pt idx="17">
                  <c:v>-196.62626807100003</c:v>
                </c:pt>
                <c:pt idx="18">
                  <c:v>-200.33823918075001</c:v>
                </c:pt>
                <c:pt idx="19">
                  <c:v>-204.06027915000001</c:v>
                </c:pt>
                <c:pt idx="20">
                  <c:v>-207.84291103800001</c:v>
                </c:pt>
                <c:pt idx="21">
                  <c:v>-223.52286075000004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>
                        <c:v>899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-11.637500000000001</c:v>
                      </c:pt>
                      <c:pt idx="1">
                        <c:v>-11.65625</c:v>
                      </c:pt>
                      <c:pt idx="2">
                        <c:v>-11.731249999999999</c:v>
                      </c:pt>
                      <c:pt idx="3">
                        <c:v>-11.831250000000479</c:v>
                      </c:pt>
                      <c:pt idx="4">
                        <c:v>-11.931250000756174</c:v>
                      </c:pt>
                      <c:pt idx="5">
                        <c:v>-11.962500003523378</c:v>
                      </c:pt>
                      <c:pt idx="6">
                        <c:v>-11.98750001489968</c:v>
                      </c:pt>
                      <c:pt idx="7">
                        <c:v>-12.012500057618395</c:v>
                      </c:pt>
                      <c:pt idx="8">
                        <c:v>-12.037500205564392</c:v>
                      </c:pt>
                      <c:pt idx="9">
                        <c:v>-12.062500680801874</c:v>
                      </c:pt>
                      <c:pt idx="10">
                        <c:v>-12.093752118633651</c:v>
                      </c:pt>
                      <c:pt idx="11">
                        <c:v>-12.118756613544187</c:v>
                      </c:pt>
                      <c:pt idx="12">
                        <c:v>-12.143769851853238</c:v>
                      </c:pt>
                      <c:pt idx="13">
                        <c:v>-12.16880806934841</c:v>
                      </c:pt>
                      <c:pt idx="14">
                        <c:v>-12.193912503962281</c:v>
                      </c:pt>
                      <c:pt idx="15">
                        <c:v>-12.219187343832862</c:v>
                      </c:pt>
                      <c:pt idx="16">
                        <c:v>-12.24488502344213</c:v>
                      </c:pt>
                      <c:pt idx="17">
                        <c:v>-12.265349623533364</c:v>
                      </c:pt>
                      <c:pt idx="18">
                        <c:v>-12.294447811207771</c:v>
                      </c:pt>
                      <c:pt idx="19">
                        <c:v>-12.328980289107937</c:v>
                      </c:pt>
                      <c:pt idx="20">
                        <c:v>-12.375634204488065</c:v>
                      </c:pt>
                      <c:pt idx="21">
                        <c:v>-13.330004925904056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>
                        <c:v>899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-11.637500000000001</c:v>
                      </c:pt>
                      <c:pt idx="1">
                        <c:v>-10.65625</c:v>
                      </c:pt>
                      <c:pt idx="2">
                        <c:v>-9.7312499999999993</c:v>
                      </c:pt>
                      <c:pt idx="3">
                        <c:v>-8.8312500000004786</c:v>
                      </c:pt>
                      <c:pt idx="4">
                        <c:v>-7.9312500007561741</c:v>
                      </c:pt>
                      <c:pt idx="5">
                        <c:v>-6.9625000035233775</c:v>
                      </c:pt>
                      <c:pt idx="6">
                        <c:v>-5.9875000148996804</c:v>
                      </c:pt>
                      <c:pt idx="7">
                        <c:v>-5.0125000576183947</c:v>
                      </c:pt>
                      <c:pt idx="8">
                        <c:v>-4.0375002055643918</c:v>
                      </c:pt>
                      <c:pt idx="9">
                        <c:v>-3.0625006808018735</c:v>
                      </c:pt>
                      <c:pt idx="10">
                        <c:v>-2.0937521186336507</c:v>
                      </c:pt>
                      <c:pt idx="11">
                        <c:v>-1.1187566135441873</c:v>
                      </c:pt>
                      <c:pt idx="12">
                        <c:v>-0.14376985185323754</c:v>
                      </c:pt>
                      <c:pt idx="13">
                        <c:v>0.83119193065159003</c:v>
                      </c:pt>
                      <c:pt idx="14">
                        <c:v>1.8060874960377191</c:v>
                      </c:pt>
                      <c:pt idx="15">
                        <c:v>2.7808126561671376</c:v>
                      </c:pt>
                      <c:pt idx="16">
                        <c:v>3.75511497655787</c:v>
                      </c:pt>
                      <c:pt idx="17">
                        <c:v>4.7346503764666359</c:v>
                      </c:pt>
                      <c:pt idx="18">
                        <c:v>5.7055521887922289</c:v>
                      </c:pt>
                      <c:pt idx="19">
                        <c:v>6.6710197108920628</c:v>
                      </c:pt>
                      <c:pt idx="20">
                        <c:v>7.6243657955119346</c:v>
                      </c:pt>
                      <c:pt idx="21">
                        <c:v>7.6699950740959437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>
                        <c:v>899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>
                        <c:v>899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>
                        <c:v>899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>
                        <c:v>899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>
                        <c:v>899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>
                        <c:v>899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>
                        <c:v>899</c:v>
                      </c:pt>
                      <c:pt idx="20">
                        <c:v>919.2</c:v>
                      </c:pt>
                      <c:pt idx="21">
                        <c:v>1000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2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*Ge3Se4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 formatCode="0">
                  <c:v>899</c:v>
                </c:pt>
                <c:pt idx="20" formatCode="0">
                  <c:v>919.2</c:v>
                </c:pt>
                <c:pt idx="2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FLUID!$F$4:$AL$4</c:f>
              <c:numCache>
                <c:formatCode>0.0E+00</c:formatCode>
                <c:ptCount val="33"/>
                <c:pt idx="0">
                  <c:v>1.6880000000000001E-12</c:v>
                </c:pt>
                <c:pt idx="1">
                  <c:v>2.4017000000000002E-11</c:v>
                </c:pt>
                <c:pt idx="2">
                  <c:v>1.0867E-10</c:v>
                </c:pt>
                <c:pt idx="3">
                  <c:v>3.1420999999999999E-10</c:v>
                </c:pt>
                <c:pt idx="4">
                  <c:v>9.3474000000000002E-10</c:v>
                </c:pt>
                <c:pt idx="5">
                  <c:v>1.126E-9</c:v>
                </c:pt>
                <c:pt idx="6">
                  <c:v>1.4882999999999999E-9</c:v>
                </c:pt>
                <c:pt idx="7">
                  <c:v>1.3916E-9</c:v>
                </c:pt>
                <c:pt idx="8">
                  <c:v>9.1682000000000005E-10</c:v>
                </c:pt>
                <c:pt idx="9">
                  <c:v>9.6391999999999994E-11</c:v>
                </c:pt>
                <c:pt idx="10">
                  <c:v>2.7370000000000001E-5</c:v>
                </c:pt>
                <c:pt idx="11">
                  <c:v>6.3547999999999999E-3</c:v>
                </c:pt>
                <c:pt idx="12">
                  <c:v>7.9120999999999997E-2</c:v>
                </c:pt>
                <c:pt idx="13">
                  <c:v>7.9999000000000001E-2</c:v>
                </c:pt>
                <c:pt idx="14">
                  <c:v>0.08</c:v>
                </c:pt>
                <c:pt idx="15">
                  <c:v>8.0001000000000003E-2</c:v>
                </c:pt>
                <c:pt idx="16">
                  <c:v>8.0002000000000004E-2</c:v>
                </c:pt>
                <c:pt idx="17">
                  <c:v>8.0005999999999994E-2</c:v>
                </c:pt>
                <c:pt idx="18">
                  <c:v>8.0014000000000002E-2</c:v>
                </c:pt>
                <c:pt idx="19" formatCode="General">
                  <c:v>8.0033000000000007E-2</c:v>
                </c:pt>
                <c:pt idx="20" formatCode="General">
                  <c:v>8.0075999999999994E-2</c:v>
                </c:pt>
                <c:pt idx="21" formatCode="General">
                  <c:v>8.1759999999999999E-2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*Ge4Se5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 formatCode="0">
                  <c:v>899</c:v>
                </c:pt>
                <c:pt idx="20" formatCode="0">
                  <c:v>919.2</c:v>
                </c:pt>
                <c:pt idx="2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1.5381000000000001E-12</c:v>
                </c:pt>
                <c:pt idx="1">
                  <c:v>3.1208999999999999E-11</c:v>
                </c:pt>
                <c:pt idx="2">
                  <c:v>1.9100999999999999E-10</c:v>
                </c:pt>
                <c:pt idx="3">
                  <c:v>7.3943999999999998E-10</c:v>
                </c:pt>
                <c:pt idx="4">
                  <c:v>3.9514000000000002E-9</c:v>
                </c:pt>
                <c:pt idx="5">
                  <c:v>6.4348000000000002E-9</c:v>
                </c:pt>
                <c:pt idx="6">
                  <c:v>1.3008999999999999E-8</c:v>
                </c:pt>
                <c:pt idx="7">
                  <c:v>2.5351E-8</c:v>
                </c:pt>
                <c:pt idx="8">
                  <c:v>6.8684999999999996E-8</c:v>
                </c:pt>
                <c:pt idx="9">
                  <c:v>4.2212999999999998E-7</c:v>
                </c:pt>
                <c:pt idx="10">
                  <c:v>3.6378000000000001E-2</c:v>
                </c:pt>
                <c:pt idx="11">
                  <c:v>4.8994999999999997E-2</c:v>
                </c:pt>
                <c:pt idx="12">
                  <c:v>5.8631999999999998E-4</c:v>
                </c:pt>
                <c:pt idx="13">
                  <c:v>4.4288000000000001E-7</c:v>
                </c:pt>
                <c:pt idx="14">
                  <c:v>1.3381999999999999E-7</c:v>
                </c:pt>
                <c:pt idx="15">
                  <c:v>5.6266000000000002E-8</c:v>
                </c:pt>
                <c:pt idx="16">
                  <c:v>2.6082999999999999E-8</c:v>
                </c:pt>
                <c:pt idx="17">
                  <c:v>1.3621E-8</c:v>
                </c:pt>
                <c:pt idx="18">
                  <c:v>8.5926999999999999E-9</c:v>
                </c:pt>
                <c:pt idx="19" formatCode="General">
                  <c:v>4.3988999999999998E-9</c:v>
                </c:pt>
                <c:pt idx="20" formatCode="General">
                  <c:v>2.1421999999999999E-9</c:v>
                </c:pt>
                <c:pt idx="21" formatCode="General">
                  <c:v>6.0282999999999997E-10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B3-4D01-BEA3-739B2EC62692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 formatCode="0">
                  <c:v>899</c:v>
                </c:pt>
                <c:pt idx="20" formatCode="0">
                  <c:v>919.2</c:v>
                </c:pt>
                <c:pt idx="2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0.1236</c:v>
                </c:pt>
                <c:pt idx="11">
                  <c:v>0.10465000000000001</c:v>
                </c:pt>
                <c:pt idx="12">
                  <c:v>8.0293000000000003E-2</c:v>
                </c:pt>
                <c:pt idx="13">
                  <c:v>0.08</c:v>
                </c:pt>
                <c:pt idx="14">
                  <c:v>7.9999000000000001E-2</c:v>
                </c:pt>
                <c:pt idx="15">
                  <c:v>7.9996999999999999E-2</c:v>
                </c:pt>
                <c:pt idx="16">
                  <c:v>7.9992999999999995E-2</c:v>
                </c:pt>
                <c:pt idx="17">
                  <c:v>7.9982999999999999E-2</c:v>
                </c:pt>
                <c:pt idx="18">
                  <c:v>7.9958000000000001E-2</c:v>
                </c:pt>
                <c:pt idx="19" formatCode="General">
                  <c:v>7.9901E-2</c:v>
                </c:pt>
                <c:pt idx="20" formatCode="General">
                  <c:v>7.9771999999999996E-2</c:v>
                </c:pt>
                <c:pt idx="21" formatCode="General">
                  <c:v>7.4720999999999996E-2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B3-4D01-BEA3-739B2EC62692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616.4</c:v>
                </c:pt>
                <c:pt idx="6">
                  <c:v>636.6</c:v>
                </c:pt>
                <c:pt idx="7">
                  <c:v>656.8</c:v>
                </c:pt>
                <c:pt idx="8">
                  <c:v>677</c:v>
                </c:pt>
                <c:pt idx="9">
                  <c:v>697.1</c:v>
                </c:pt>
                <c:pt idx="10">
                  <c:v>717.3</c:v>
                </c:pt>
                <c:pt idx="11">
                  <c:v>737.5</c:v>
                </c:pt>
                <c:pt idx="12">
                  <c:v>757.7</c:v>
                </c:pt>
                <c:pt idx="13">
                  <c:v>777.9</c:v>
                </c:pt>
                <c:pt idx="14">
                  <c:v>798.1</c:v>
                </c:pt>
                <c:pt idx="15">
                  <c:v>818.3</c:v>
                </c:pt>
                <c:pt idx="16">
                  <c:v>838.5</c:v>
                </c:pt>
                <c:pt idx="17">
                  <c:v>858.7</c:v>
                </c:pt>
                <c:pt idx="18">
                  <c:v>878.9</c:v>
                </c:pt>
                <c:pt idx="19" formatCode="0">
                  <c:v>899</c:v>
                </c:pt>
                <c:pt idx="20" formatCode="0">
                  <c:v>919.2</c:v>
                </c:pt>
                <c:pt idx="2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5.0812999999999997E-2</c:v>
                </c:pt>
                <c:pt idx="11">
                  <c:v>3.0737000000000001E-4</c:v>
                </c:pt>
                <c:pt idx="12">
                  <c:v>3.0769000000000002E-7</c:v>
                </c:pt>
                <c:pt idx="13">
                  <c:v>7.1432999999999995E-10</c:v>
                </c:pt>
                <c:pt idx="14">
                  <c:v>3.6143999999999998E-9</c:v>
                </c:pt>
                <c:pt idx="15">
                  <c:v>5.4865E-9</c:v>
                </c:pt>
                <c:pt idx="16">
                  <c:v>5.2828E-9</c:v>
                </c:pt>
                <c:pt idx="17">
                  <c:v>4.4753E-9</c:v>
                </c:pt>
                <c:pt idx="18">
                  <c:v>4.0423000000000004E-9</c:v>
                </c:pt>
                <c:pt idx="19" formatCode="General">
                  <c:v>2.6203000000000001E-9</c:v>
                </c:pt>
                <c:pt idx="20" formatCode="General">
                  <c:v>1.5176E-9</c:v>
                </c:pt>
                <c:pt idx="21" formatCode="General">
                  <c:v>6.8446000000000003E-10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B3-4D01-BEA3-739B2EC6269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3-4D01-BEA3-739B2EC62692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1.7357E-34</c:v>
                      </c:pt>
                      <c:pt idx="4">
                        <c:v>3.0869999999999998E-28</c:v>
                      </c:pt>
                      <c:pt idx="5">
                        <c:v>6.2228000000000003E-27</c:v>
                      </c:pt>
                      <c:pt idx="6">
                        <c:v>1.0345000000000001E-25</c:v>
                      </c:pt>
                      <c:pt idx="7">
                        <c:v>1.4437E-24</c:v>
                      </c:pt>
                      <c:pt idx="8">
                        <c:v>1.7176E-23</c:v>
                      </c:pt>
                      <c:pt idx="9">
                        <c:v>1.7664999999999999E-22</c:v>
                      </c:pt>
                      <c:pt idx="10">
                        <c:v>1.6209000000000001E-21</c:v>
                      </c:pt>
                      <c:pt idx="11">
                        <c:v>1.6736E-20</c:v>
                      </c:pt>
                      <c:pt idx="12">
                        <c:v>1.645E-19</c:v>
                      </c:pt>
                      <c:pt idx="13">
                        <c:v>1.6065000000000001E-18</c:v>
                      </c:pt>
                      <c:pt idx="14">
                        <c:v>1.4519000000000001E-17</c:v>
                      </c:pt>
                      <c:pt idx="15">
                        <c:v>1.2263000000000001E-16</c:v>
                      </c:pt>
                      <c:pt idx="16">
                        <c:v>9.7497999999999992E-16</c:v>
                      </c:pt>
                      <c:pt idx="17">
                        <c:v>7.3444E-15</c:v>
                      </c:pt>
                      <c:pt idx="18">
                        <c:v>5.2733999999999999E-14</c:v>
                      </c:pt>
                      <c:pt idx="19" formatCode="General">
                        <c:v>3.6285999999999998E-13</c:v>
                      </c:pt>
                      <c:pt idx="20" formatCode="General">
                        <c:v>2.4051999999999999E-12</c:v>
                      </c:pt>
                      <c:pt idx="21" formatCode="General">
                        <c:v>3.5008000000000002E-9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3.7200000000000002E-30</c:v>
                      </c:pt>
                      <c:pt idx="4">
                        <c:v>1.1679000000000001E-24</c:v>
                      </c:pt>
                      <c:pt idx="5">
                        <c:v>1.6382E-23</c:v>
                      </c:pt>
                      <c:pt idx="6">
                        <c:v>1.9391999999999999E-22</c:v>
                      </c:pt>
                      <c:pt idx="7">
                        <c:v>1.9677E-21</c:v>
                      </c:pt>
                      <c:pt idx="8">
                        <c:v>1.7350000000000001E-20</c:v>
                      </c:pt>
                      <c:pt idx="9">
                        <c:v>1.3457E-19</c:v>
                      </c:pt>
                      <c:pt idx="10">
                        <c:v>9.4361999999999999E-19</c:v>
                      </c:pt>
                      <c:pt idx="11">
                        <c:v>7.3002000000000006E-18</c:v>
                      </c:pt>
                      <c:pt idx="12">
                        <c:v>5.4006000000000001E-17</c:v>
                      </c:pt>
                      <c:pt idx="13">
                        <c:v>3.9637000000000002E-16</c:v>
                      </c:pt>
                      <c:pt idx="14">
                        <c:v>2.7161000000000001E-15</c:v>
                      </c:pt>
                      <c:pt idx="15">
                        <c:v>1.7527999999999999E-14</c:v>
                      </c:pt>
                      <c:pt idx="16">
                        <c:v>1.0719E-13</c:v>
                      </c:pt>
                      <c:pt idx="17">
                        <c:v>6.2481999999999996E-13</c:v>
                      </c:pt>
                      <c:pt idx="18">
                        <c:v>3.4897999999999999E-12</c:v>
                      </c:pt>
                      <c:pt idx="19" formatCode="General">
                        <c:v>1.8764999999999999E-11</c:v>
                      </c:pt>
                      <c:pt idx="20" formatCode="General">
                        <c:v>9.7580999999999996E-11</c:v>
                      </c:pt>
                      <c:pt idx="21" formatCode="General">
                        <c:v>5.5392999999999998E-8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6.2204000000000002E-34</c:v>
                      </c:pt>
                      <c:pt idx="3">
                        <c:v>7.3199000000000005E-27</c:v>
                      </c:pt>
                      <c:pt idx="4">
                        <c:v>1.0145000000000001E-21</c:v>
                      </c:pt>
                      <c:pt idx="5">
                        <c:v>1.1992000000000001E-20</c:v>
                      </c:pt>
                      <c:pt idx="6">
                        <c:v>1.2093999999999999E-19</c:v>
                      </c:pt>
                      <c:pt idx="7">
                        <c:v>1.0558999999999999E-18</c:v>
                      </c:pt>
                      <c:pt idx="8">
                        <c:v>8.0830999999999998E-18</c:v>
                      </c:pt>
                      <c:pt idx="9">
                        <c:v>5.4881000000000002E-17</c:v>
                      </c:pt>
                      <c:pt idx="10">
                        <c:v>3.3849999999999998E-16</c:v>
                      </c:pt>
                      <c:pt idx="11">
                        <c:v>2.2411999999999998E-15</c:v>
                      </c:pt>
                      <c:pt idx="12">
                        <c:v>1.4152E-14</c:v>
                      </c:pt>
                      <c:pt idx="13">
                        <c:v>8.7949999999999994E-14</c:v>
                      </c:pt>
                      <c:pt idx="14">
                        <c:v>5.1176000000000003E-13</c:v>
                      </c:pt>
                      <c:pt idx="15">
                        <c:v>2.8099999999999999E-12</c:v>
                      </c:pt>
                      <c:pt idx="16">
                        <c:v>1.4645000000000002E-11</c:v>
                      </c:pt>
                      <c:pt idx="17">
                        <c:v>7.2831000000000004E-11</c:v>
                      </c:pt>
                      <c:pt idx="18">
                        <c:v>3.4731000000000001E-10</c:v>
                      </c:pt>
                      <c:pt idx="19" formatCode="General">
                        <c:v>1.5951E-9</c:v>
                      </c:pt>
                      <c:pt idx="20" formatCode="General">
                        <c:v>7.0852000000000003E-9</c:v>
                      </c:pt>
                      <c:pt idx="21" formatCode="General">
                        <c:v>2.1295999999999999E-6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1.0329E-31</c:v>
                      </c:pt>
                      <c:pt idx="3">
                        <c:v>2.6072999999999999E-25</c:v>
                      </c:pt>
                      <c:pt idx="4">
                        <c:v>1.1713E-20</c:v>
                      </c:pt>
                      <c:pt idx="5">
                        <c:v>1.0937000000000001E-19</c:v>
                      </c:pt>
                      <c:pt idx="6">
                        <c:v>8.8435999999999997E-19</c:v>
                      </c:pt>
                      <c:pt idx="7">
                        <c:v>6.2750000000000001E-18</c:v>
                      </c:pt>
                      <c:pt idx="8">
                        <c:v>3.9528000000000001E-17</c:v>
                      </c:pt>
                      <c:pt idx="9">
                        <c:v>2.2335000000000002E-16</c:v>
                      </c:pt>
                      <c:pt idx="10">
                        <c:v>1.1553000000000001E-15</c:v>
                      </c:pt>
                      <c:pt idx="11">
                        <c:v>6.2573000000000001E-15</c:v>
                      </c:pt>
                      <c:pt idx="12">
                        <c:v>3.2312999999999999E-14</c:v>
                      </c:pt>
                      <c:pt idx="13">
                        <c:v>1.6328000000000001E-13</c:v>
                      </c:pt>
                      <c:pt idx="14">
                        <c:v>7.7624000000000003E-13</c:v>
                      </c:pt>
                      <c:pt idx="15">
                        <c:v>3.4961E-12</c:v>
                      </c:pt>
                      <c:pt idx="16">
                        <c:v>1.4994999999999999E-11</c:v>
                      </c:pt>
                      <c:pt idx="17">
                        <c:v>6.1540999999999997E-11</c:v>
                      </c:pt>
                      <c:pt idx="18">
                        <c:v>2.4273E-10</c:v>
                      </c:pt>
                      <c:pt idx="19" formatCode="General">
                        <c:v>9.2372999999999997E-10</c:v>
                      </c:pt>
                      <c:pt idx="20" formatCode="General">
                        <c:v>3.4045E-9</c:v>
                      </c:pt>
                      <c:pt idx="21" formatCode="General">
                        <c:v>4.8808999999999997E-7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2.7002000000000002E-36</c:v>
                      </c:pt>
                      <c:pt idx="2">
                        <c:v>8.0344000000000001E-28</c:v>
                      </c:pt>
                      <c:pt idx="3">
                        <c:v>5.0715999999999996E-22</c:v>
                      </c:pt>
                      <c:pt idx="4">
                        <c:v>8.2863999999999993E-18</c:v>
                      </c:pt>
                      <c:pt idx="5">
                        <c:v>6.2630999999999999E-17</c:v>
                      </c:pt>
                      <c:pt idx="6">
                        <c:v>4.1549000000000002E-16</c:v>
                      </c:pt>
                      <c:pt idx="7">
                        <c:v>2.4484999999999999E-15</c:v>
                      </c:pt>
                      <c:pt idx="8">
                        <c:v>1.2954E-14</c:v>
                      </c:pt>
                      <c:pt idx="9">
                        <c:v>6.2109000000000003E-14</c:v>
                      </c:pt>
                      <c:pt idx="10">
                        <c:v>2.7439000000000001E-13</c:v>
                      </c:pt>
                      <c:pt idx="11">
                        <c:v>1.2371000000000001E-12</c:v>
                      </c:pt>
                      <c:pt idx="12">
                        <c:v>5.3116999999999997E-12</c:v>
                      </c:pt>
                      <c:pt idx="13">
                        <c:v>2.2169000000000001E-11</c:v>
                      </c:pt>
                      <c:pt idx="14">
                        <c:v>8.7407999999999994E-11</c:v>
                      </c:pt>
                      <c:pt idx="15">
                        <c:v>3.2755000000000002E-10</c:v>
                      </c:pt>
                      <c:pt idx="16">
                        <c:v>1.1720000000000001E-9</c:v>
                      </c:pt>
                      <c:pt idx="17">
                        <c:v>4.0216000000000003E-9</c:v>
                      </c:pt>
                      <c:pt idx="18">
                        <c:v>1.3284E-8</c:v>
                      </c:pt>
                      <c:pt idx="19" formatCode="General">
                        <c:v>4.2389999999999998E-8</c:v>
                      </c:pt>
                      <c:pt idx="20" formatCode="General">
                        <c:v>1.3112E-7</c:v>
                      </c:pt>
                      <c:pt idx="21" formatCode="General">
                        <c:v>9.3438000000000002E-6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1.7012999999999999E-36</c:v>
                      </c:pt>
                      <c:pt idx="1">
                        <c:v>2.2943999999999999E-26</c:v>
                      </c:pt>
                      <c:pt idx="2">
                        <c:v>5.2738000000000002E-20</c:v>
                      </c:pt>
                      <c:pt idx="3">
                        <c:v>1.2123999999999999E-15</c:v>
                      </c:pt>
                      <c:pt idx="4">
                        <c:v>1.8039E-12</c:v>
                      </c:pt>
                      <c:pt idx="5">
                        <c:v>8.2828000000000002E-12</c:v>
                      </c:pt>
                      <c:pt idx="6">
                        <c:v>3.4486E-11</c:v>
                      </c:pt>
                      <c:pt idx="7">
                        <c:v>1.3137000000000001E-10</c:v>
                      </c:pt>
                      <c:pt idx="8">
                        <c:v>4.6152000000000003E-10</c:v>
                      </c:pt>
                      <c:pt idx="9">
                        <c:v>1.5057999999999999E-9</c:v>
                      </c:pt>
                      <c:pt idx="10">
                        <c:v>4.6168E-9</c:v>
                      </c:pt>
                      <c:pt idx="11">
                        <c:v>1.4248E-8</c:v>
                      </c:pt>
                      <c:pt idx="12">
                        <c:v>4.2289000000000002E-8</c:v>
                      </c:pt>
                      <c:pt idx="13">
                        <c:v>1.2242999999999999E-7</c:v>
                      </c:pt>
                      <c:pt idx="14">
                        <c:v>3.3939999999999998E-7</c:v>
                      </c:pt>
                      <c:pt idx="15">
                        <c:v>9.0484000000000005E-7</c:v>
                      </c:pt>
                      <c:pt idx="16">
                        <c:v>2.3281000000000002E-6</c:v>
                      </c:pt>
                      <c:pt idx="17">
                        <c:v>5.7991000000000001E-6</c:v>
                      </c:pt>
                      <c:pt idx="18">
                        <c:v>1.4025E-5</c:v>
                      </c:pt>
                      <c:pt idx="19" formatCode="General">
                        <c:v>3.3022999999999999E-5</c:v>
                      </c:pt>
                      <c:pt idx="20" formatCode="General">
                        <c:v>7.5883000000000005E-5</c:v>
                      </c:pt>
                      <c:pt idx="21" formatCode="General">
                        <c:v>1.7390999999999999E-3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1.4729999999999999E-35</c:v>
                      </c:pt>
                      <c:pt idx="2">
                        <c:v>7.7269999999999998E-28</c:v>
                      </c:pt>
                      <c:pt idx="3">
                        <c:v>1.5352999999999999E-22</c:v>
                      </c:pt>
                      <c:pt idx="4">
                        <c:v>1.1133000000000001E-18</c:v>
                      </c:pt>
                      <c:pt idx="5">
                        <c:v>7.1330000000000005E-18</c:v>
                      </c:pt>
                      <c:pt idx="6">
                        <c:v>4.0607999999999998E-17</c:v>
                      </c:pt>
                      <c:pt idx="7">
                        <c:v>2.0767000000000001E-16</c:v>
                      </c:pt>
                      <c:pt idx="8">
                        <c:v>9.6315000000000008E-16</c:v>
                      </c:pt>
                      <c:pt idx="9">
                        <c:v>4.0859000000000004E-15</c:v>
                      </c:pt>
                      <c:pt idx="10">
                        <c:v>1.6018000000000001E-14</c:v>
                      </c:pt>
                      <c:pt idx="11">
                        <c:v>6.0298999999999996E-14</c:v>
                      </c:pt>
                      <c:pt idx="12">
                        <c:v>2.1380000000000001E-13</c:v>
                      </c:pt>
                      <c:pt idx="13">
                        <c:v>7.2132E-13</c:v>
                      </c:pt>
                      <c:pt idx="14">
                        <c:v>2.3009E-12</c:v>
                      </c:pt>
                      <c:pt idx="15">
                        <c:v>6.9719000000000002E-12</c:v>
                      </c:pt>
                      <c:pt idx="16">
                        <c:v>2.015E-11</c:v>
                      </c:pt>
                      <c:pt idx="17">
                        <c:v>5.5747000000000001E-11</c:v>
                      </c:pt>
                      <c:pt idx="18">
                        <c:v>1.4813999999999999E-10</c:v>
                      </c:pt>
                      <c:pt idx="19" formatCode="General">
                        <c:v>3.7928999999999999E-10</c:v>
                      </c:pt>
                      <c:pt idx="20" formatCode="General">
                        <c:v>9.382699999999999E-10</c:v>
                      </c:pt>
                      <c:pt idx="21" formatCode="General">
                        <c:v>2.6289000000000001E-8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3B3-4D01-BEA3-739B2EC6269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-18.649999999999999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-19.09</c:v>
                      </c:pt>
                      <c:pt idx="5">
                        <c:v>-19.14</c:v>
                      </c:pt>
                      <c:pt idx="6">
                        <c:v>-19.18</c:v>
                      </c:pt>
                      <c:pt idx="7">
                        <c:v>-19.22</c:v>
                      </c:pt>
                      <c:pt idx="8">
                        <c:v>-19.260000000000002</c:v>
                      </c:pt>
                      <c:pt idx="9">
                        <c:v>-19.3</c:v>
                      </c:pt>
                      <c:pt idx="10">
                        <c:v>-19.350000000000001</c:v>
                      </c:pt>
                      <c:pt idx="11">
                        <c:v>-19.39</c:v>
                      </c:pt>
                      <c:pt idx="12">
                        <c:v>-19.43</c:v>
                      </c:pt>
                      <c:pt idx="13">
                        <c:v>-19.47</c:v>
                      </c:pt>
                      <c:pt idx="14">
                        <c:v>-19.510000000000002</c:v>
                      </c:pt>
                      <c:pt idx="15">
                        <c:v>-19.55</c:v>
                      </c:pt>
                      <c:pt idx="16">
                        <c:v>-19.59</c:v>
                      </c:pt>
                      <c:pt idx="17">
                        <c:v>-19.62</c:v>
                      </c:pt>
                      <c:pt idx="18">
                        <c:v>-19.66</c:v>
                      </c:pt>
                      <c:pt idx="19" formatCode="General">
                        <c:v>-19.7</c:v>
                      </c:pt>
                      <c:pt idx="20" formatCode="General">
                        <c:v>-19.739999999999998</c:v>
                      </c:pt>
                      <c:pt idx="21" formatCode="General">
                        <c:v>-19.89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-13.81</c:v>
                      </c:pt>
                      <c:pt idx="2">
                        <c:v>-12.4</c:v>
                      </c:pt>
                      <c:pt idx="3">
                        <c:v>-11.54</c:v>
                      </c:pt>
                      <c:pt idx="4">
                        <c:v>-10.99</c:v>
                      </c:pt>
                      <c:pt idx="5">
                        <c:v>-10.89</c:v>
                      </c:pt>
                      <c:pt idx="6">
                        <c:v>-10.79</c:v>
                      </c:pt>
                      <c:pt idx="7">
                        <c:v>-10.71</c:v>
                      </c:pt>
                      <c:pt idx="8">
                        <c:v>-10.63</c:v>
                      </c:pt>
                      <c:pt idx="9">
                        <c:v>-10.56</c:v>
                      </c:pt>
                      <c:pt idx="10">
                        <c:v>-10.5</c:v>
                      </c:pt>
                      <c:pt idx="11">
                        <c:v>-10.52</c:v>
                      </c:pt>
                      <c:pt idx="12">
                        <c:v>-10.56</c:v>
                      </c:pt>
                      <c:pt idx="13">
                        <c:v>-10.64</c:v>
                      </c:pt>
                      <c:pt idx="14">
                        <c:v>-10.73</c:v>
                      </c:pt>
                      <c:pt idx="15">
                        <c:v>-10.82</c:v>
                      </c:pt>
                      <c:pt idx="16">
                        <c:v>-10.93</c:v>
                      </c:pt>
                      <c:pt idx="17">
                        <c:v>-11.04</c:v>
                      </c:pt>
                      <c:pt idx="18">
                        <c:v>-11.17</c:v>
                      </c:pt>
                      <c:pt idx="19" formatCode="General">
                        <c:v>-11.31</c:v>
                      </c:pt>
                      <c:pt idx="20" formatCode="General">
                        <c:v>-11.46</c:v>
                      </c:pt>
                      <c:pt idx="21" formatCode="General">
                        <c:v>-12.14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-19.13</c:v>
                      </c:pt>
                      <c:pt idx="2">
                        <c:v>-16.48</c:v>
                      </c:pt>
                      <c:pt idx="3">
                        <c:v>-14.74</c:v>
                      </c:pt>
                      <c:pt idx="4">
                        <c:v>-13.53</c:v>
                      </c:pt>
                      <c:pt idx="5">
                        <c:v>-13.28</c:v>
                      </c:pt>
                      <c:pt idx="6">
                        <c:v>-13.06</c:v>
                      </c:pt>
                      <c:pt idx="7">
                        <c:v>-12.85</c:v>
                      </c:pt>
                      <c:pt idx="8">
                        <c:v>-12.66</c:v>
                      </c:pt>
                      <c:pt idx="9">
                        <c:v>-12.48</c:v>
                      </c:pt>
                      <c:pt idx="10">
                        <c:v>-12.31</c:v>
                      </c:pt>
                      <c:pt idx="11">
                        <c:v>-12.11</c:v>
                      </c:pt>
                      <c:pt idx="12">
                        <c:v>-11.92</c:v>
                      </c:pt>
                      <c:pt idx="13">
                        <c:v>-11.73</c:v>
                      </c:pt>
                      <c:pt idx="14">
                        <c:v>-11.54</c:v>
                      </c:pt>
                      <c:pt idx="15">
                        <c:v>-11.36</c:v>
                      </c:pt>
                      <c:pt idx="16">
                        <c:v>-11.18</c:v>
                      </c:pt>
                      <c:pt idx="17">
                        <c:v>-11</c:v>
                      </c:pt>
                      <c:pt idx="18">
                        <c:v>-10.83</c:v>
                      </c:pt>
                      <c:pt idx="19" formatCode="General">
                        <c:v>-10.66</c:v>
                      </c:pt>
                      <c:pt idx="20" formatCode="General">
                        <c:v>-10.49</c:v>
                      </c:pt>
                      <c:pt idx="21" formatCode="General">
                        <c:v>-9.8290000000000006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616.4</c:v>
                      </c:pt>
                      <c:pt idx="6">
                        <c:v>636.6</c:v>
                      </c:pt>
                      <c:pt idx="7">
                        <c:v>656.8</c:v>
                      </c:pt>
                      <c:pt idx="8">
                        <c:v>677</c:v>
                      </c:pt>
                      <c:pt idx="9">
                        <c:v>697.1</c:v>
                      </c:pt>
                      <c:pt idx="10">
                        <c:v>717.3</c:v>
                      </c:pt>
                      <c:pt idx="11">
                        <c:v>737.5</c:v>
                      </c:pt>
                      <c:pt idx="12">
                        <c:v>757.7</c:v>
                      </c:pt>
                      <c:pt idx="13">
                        <c:v>777.9</c:v>
                      </c:pt>
                      <c:pt idx="14">
                        <c:v>798.1</c:v>
                      </c:pt>
                      <c:pt idx="15">
                        <c:v>818.3</c:v>
                      </c:pt>
                      <c:pt idx="16">
                        <c:v>838.5</c:v>
                      </c:pt>
                      <c:pt idx="17">
                        <c:v>858.7</c:v>
                      </c:pt>
                      <c:pt idx="18">
                        <c:v>878.9</c:v>
                      </c:pt>
                      <c:pt idx="19" formatCode="0">
                        <c:v>899</c:v>
                      </c:pt>
                      <c:pt idx="20" formatCode="0">
                        <c:v>919.2</c:v>
                      </c:pt>
                      <c:pt idx="2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-117.09948072150002</c:v>
                </c:pt>
                <c:pt idx="1">
                  <c:v>-118.98138465149999</c:v>
                </c:pt>
                <c:pt idx="2">
                  <c:v>-120.91997684250001</c:v>
                </c:pt>
                <c:pt idx="3">
                  <c:v>-122.95412342474999</c:v>
                </c:pt>
                <c:pt idx="4">
                  <c:v>-126.01262887875001</c:v>
                </c:pt>
                <c:pt idx="5">
                  <c:v>-142.28828008919999</c:v>
                </c:pt>
                <c:pt idx="6">
                  <c:v>-146.58550303380002</c:v>
                </c:pt>
                <c:pt idx="7">
                  <c:v>-151.04452199114999</c:v>
                </c:pt>
                <c:pt idx="8">
                  <c:v>-155.50782956760003</c:v>
                </c:pt>
                <c:pt idx="9">
                  <c:v>-160.11998415449997</c:v>
                </c:pt>
                <c:pt idx="10">
                  <c:v>-168.711232287</c:v>
                </c:pt>
                <c:pt idx="11">
                  <c:v>-177.38472745350003</c:v>
                </c:pt>
                <c:pt idx="12">
                  <c:v>-186.14954908800001</c:v>
                </c:pt>
                <c:pt idx="13">
                  <c:v>-195.08190623460004</c:v>
                </c:pt>
                <c:pt idx="14">
                  <c:v>-232.27161045600005</c:v>
                </c:pt>
                <c:pt idx="15">
                  <c:v>-271.50034602840009</c:v>
                </c:pt>
                <c:pt idx="16">
                  <c:v>-312.76477551150003</c:v>
                </c:pt>
                <c:pt idx="17">
                  <c:v>-355.73657426639994</c:v>
                </c:pt>
                <c:pt idx="18">
                  <c:v>-400.5842955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8"/>
          <c:order val="8"/>
          <c:tx>
            <c:strRef>
              <c:f>SOLID!$E$12</c:f>
              <c:strCache>
                <c:ptCount val="1"/>
                <c:pt idx="0">
                  <c:v>Ge2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2.8410999999999999E-35</c:v>
                </c:pt>
                <c:pt idx="13">
                  <c:v>8.6182999999999996E-34</c:v>
                </c:pt>
                <c:pt idx="14">
                  <c:v>9.4454000000000001E-29</c:v>
                </c:pt>
                <c:pt idx="15">
                  <c:v>8.6050999999999998E-25</c:v>
                </c:pt>
                <c:pt idx="16">
                  <c:v>1.3367E-21</c:v>
                </c:pt>
                <c:pt idx="17">
                  <c:v>5.6430999999999998E-19</c:v>
                </c:pt>
                <c:pt idx="18">
                  <c:v>8.8784999999999997E-17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6.1216000000000001E-36</c:v>
                </c:pt>
                <c:pt idx="8">
                  <c:v>7.5483999999999999E-34</c:v>
                </c:pt>
                <c:pt idx="9">
                  <c:v>6.4778000000000002E-32</c:v>
                </c:pt>
                <c:pt idx="10">
                  <c:v>1.7163E-30</c:v>
                </c:pt>
                <c:pt idx="11">
                  <c:v>3.6084E-29</c:v>
                </c:pt>
                <c:pt idx="12">
                  <c:v>6.1321999999999997E-28</c:v>
                </c:pt>
                <c:pt idx="13">
                  <c:v>8.6068999999999998E-27</c:v>
                </c:pt>
                <c:pt idx="14">
                  <c:v>6.9381000000000001E-23</c:v>
                </c:pt>
                <c:pt idx="15">
                  <c:v>8.2535E-20</c:v>
                </c:pt>
                <c:pt idx="16">
                  <c:v>2.514E-17</c:v>
                </c:pt>
                <c:pt idx="17">
                  <c:v>2.8042000000000001E-15</c:v>
                </c:pt>
                <c:pt idx="18">
                  <c:v>1.4598E-13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</c:v>
                </c:pt>
                <c:pt idx="1">
                  <c:v>1.4789E-36</c:v>
                </c:pt>
                <c:pt idx="2">
                  <c:v>1.4752999999999999E-34</c:v>
                </c:pt>
                <c:pt idx="3">
                  <c:v>8.3737000000000002E-33</c:v>
                </c:pt>
                <c:pt idx="4">
                  <c:v>2.9790999999999999E-31</c:v>
                </c:pt>
                <c:pt idx="5">
                  <c:v>1.6497E-26</c:v>
                </c:pt>
                <c:pt idx="6">
                  <c:v>1.3662999999999999E-25</c:v>
                </c:pt>
                <c:pt idx="7">
                  <c:v>9.4198999999999997E-25</c:v>
                </c:pt>
                <c:pt idx="8">
                  <c:v>5.5292999999999999E-24</c:v>
                </c:pt>
                <c:pt idx="9">
                  <c:v>2.8124000000000002E-23</c:v>
                </c:pt>
                <c:pt idx="10">
                  <c:v>5.3419000000000001E-23</c:v>
                </c:pt>
                <c:pt idx="11">
                  <c:v>9.5889999999999996E-23</c:v>
                </c:pt>
                <c:pt idx="12">
                  <c:v>1.6252E-22</c:v>
                </c:pt>
                <c:pt idx="13">
                  <c:v>2.6167E-22</c:v>
                </c:pt>
                <c:pt idx="14">
                  <c:v>1.1613E-21</c:v>
                </c:pt>
                <c:pt idx="15">
                  <c:v>3.1419999999999999E-21</c:v>
                </c:pt>
                <c:pt idx="16">
                  <c:v>6.0357999999999998E-21</c:v>
                </c:pt>
                <c:pt idx="17">
                  <c:v>9.0656000000000005E-21</c:v>
                </c:pt>
                <c:pt idx="18">
                  <c:v>1.1346E-20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1.7012999999999999E-36</c:v>
                </c:pt>
                <c:pt idx="1">
                  <c:v>1.9338999999999999E-33</c:v>
                </c:pt>
                <c:pt idx="2">
                  <c:v>8.8807999999999993E-31</c:v>
                </c:pt>
                <c:pt idx="3">
                  <c:v>1.9417E-28</c:v>
                </c:pt>
                <c:pt idx="4">
                  <c:v>6.3660000000000002E-27</c:v>
                </c:pt>
                <c:pt idx="5">
                  <c:v>6.6177999999999998E-24</c:v>
                </c:pt>
                <c:pt idx="6">
                  <c:v>2.272E-23</c:v>
                </c:pt>
                <c:pt idx="7">
                  <c:v>6.7347000000000004E-23</c:v>
                </c:pt>
                <c:pt idx="8">
                  <c:v>1.7571E-22</c:v>
                </c:pt>
                <c:pt idx="9">
                  <c:v>4.1138E-22</c:v>
                </c:pt>
                <c:pt idx="10">
                  <c:v>8.6744999999999998E-22</c:v>
                </c:pt>
                <c:pt idx="11">
                  <c:v>1.6832000000000001E-21</c:v>
                </c:pt>
                <c:pt idx="12">
                  <c:v>3.025E-21</c:v>
                </c:pt>
                <c:pt idx="13">
                  <c:v>5.0780999999999998E-21</c:v>
                </c:pt>
                <c:pt idx="14">
                  <c:v>2.3265999999999999E-20</c:v>
                </c:pt>
                <c:pt idx="15">
                  <c:v>5.5564999999999998E-20</c:v>
                </c:pt>
                <c:pt idx="16">
                  <c:v>8.4864000000000003E-20</c:v>
                </c:pt>
                <c:pt idx="17">
                  <c:v>9.4253999999999996E-20</c:v>
                </c:pt>
                <c:pt idx="18">
                  <c:v>8.2804000000000002E-20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SOLID!$F$16:$AL$16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7.7588000000000001E-36</c:v>
                </c:pt>
                <c:pt idx="5">
                  <c:v>8.6558000000000003E-30</c:v>
                </c:pt>
                <c:pt idx="6">
                  <c:v>1.2250999999999999E-28</c:v>
                </c:pt>
                <c:pt idx="7">
                  <c:v>1.3556999999999999E-27</c:v>
                </c:pt>
                <c:pt idx="8">
                  <c:v>1.2094999999999999E-26</c:v>
                </c:pt>
                <c:pt idx="9">
                  <c:v>8.9431000000000004E-26</c:v>
                </c:pt>
                <c:pt idx="10">
                  <c:v>5.5738999999999996E-25</c:v>
                </c:pt>
                <c:pt idx="11">
                  <c:v>2.9985000000000001E-24</c:v>
                </c:pt>
                <c:pt idx="12">
                  <c:v>1.4124E-23</c:v>
                </c:pt>
                <c:pt idx="13">
                  <c:v>5.9069000000000006E-23</c:v>
                </c:pt>
                <c:pt idx="14">
                  <c:v>6.8385000000000006E-21</c:v>
                </c:pt>
                <c:pt idx="15">
                  <c:v>2.4507000000000001E-19</c:v>
                </c:pt>
                <c:pt idx="16">
                  <c:v>3.8469999999999996E-18</c:v>
                </c:pt>
                <c:pt idx="17">
                  <c:v>3.3061E-17</c:v>
                </c:pt>
                <c:pt idx="18">
                  <c:v>1.8061999999999999E-16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SOLID!$F$17:$AL$17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E1-40A6-A933-2A862B83ED7D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*Ge3Se4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1.7328E-12</c:v>
                      </c:pt>
                      <c:pt idx="1">
                        <c:v>5.8658000000000003E-12</c:v>
                      </c:pt>
                      <c:pt idx="2">
                        <c:v>2.2289999999999999E-12</c:v>
                      </c:pt>
                      <c:pt idx="3">
                        <c:v>1.5316999999999999E-25</c:v>
                      </c:pt>
                      <c:pt idx="4">
                        <c:v>1.0019E-27</c:v>
                      </c:pt>
                      <c:pt idx="5">
                        <c:v>3.1653999999999998E-21</c:v>
                      </c:pt>
                      <c:pt idx="6">
                        <c:v>1.3899000000000001E-23</c:v>
                      </c:pt>
                      <c:pt idx="7">
                        <c:v>6.9124999999999997E-29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2E1-40A6-A933-2A862B83ED7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*Ge4Se5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1.6805999999999999E-12</c:v>
                      </c:pt>
                      <c:pt idx="1">
                        <c:v>5.5805999999999999E-12</c:v>
                      </c:pt>
                      <c:pt idx="2">
                        <c:v>2.2454000000000001E-12</c:v>
                      </c:pt>
                      <c:pt idx="3">
                        <c:v>5.3380999999999999E-25</c:v>
                      </c:pt>
                      <c:pt idx="4">
                        <c:v>7.0713999999999996E-27</c:v>
                      </c:pt>
                      <c:pt idx="5">
                        <c:v>4.0008999999999998E-20</c:v>
                      </c:pt>
                      <c:pt idx="6">
                        <c:v>2.4845000000000002E-22</c:v>
                      </c:pt>
                      <c:pt idx="7">
                        <c:v>1.8056000000000001E-27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E1-40A6-A933-2A862B83ED7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5.0070999999999999E-19</c:v>
                      </c:pt>
                      <c:pt idx="6">
                        <c:v>1.7460999999999999E-14</c:v>
                      </c:pt>
                      <c:pt idx="7">
                        <c:v>4.7011999999999999E-11</c:v>
                      </c:pt>
                      <c:pt idx="8">
                        <c:v>2.0171E-9</c:v>
                      </c:pt>
                      <c:pt idx="9">
                        <c:v>2.7532000000000001E-2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0.16</c:v>
                      </c:pt>
                      <c:pt idx="13">
                        <c:v>0.16</c:v>
                      </c:pt>
                      <c:pt idx="14">
                        <c:v>0.16</c:v>
                      </c:pt>
                      <c:pt idx="15">
                        <c:v>0.16</c:v>
                      </c:pt>
                      <c:pt idx="16">
                        <c:v>0.16</c:v>
                      </c:pt>
                      <c:pt idx="17">
                        <c:v>0.16</c:v>
                      </c:pt>
                      <c:pt idx="18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2E1-40A6-A933-2A862B83ED7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2.6805000000000002E-25</c:v>
                      </c:pt>
                      <c:pt idx="1">
                        <c:v>2.0495000000000001E-17</c:v>
                      </c:pt>
                      <c:pt idx="2">
                        <c:v>3.6011000000000002E-11</c:v>
                      </c:pt>
                      <c:pt idx="3">
                        <c:v>2.8117E-8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0.21506</c:v>
                      </c:pt>
                      <c:pt idx="10">
                        <c:v>0.48</c:v>
                      </c:pt>
                      <c:pt idx="11">
                        <c:v>0.48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2E1-40A6-A933-2A862B83ED7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5.4249000000000002E-9</c:v>
                      </c:pt>
                      <c:pt idx="5">
                        <c:v>3.1469999999999999E-18</c:v>
                      </c:pt>
                      <c:pt idx="6">
                        <c:v>3.4140999999999998E-21</c:v>
                      </c:pt>
                      <c:pt idx="7">
                        <c:v>1.3232999999999999E-26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2E1-40A6-A933-2A862B83ED7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5.0070999999999999E-19</c:v>
                      </c:pt>
                      <c:pt idx="6">
                        <c:v>1.7460999999999999E-14</c:v>
                      </c:pt>
                      <c:pt idx="7">
                        <c:v>4.7011999999999999E-11</c:v>
                      </c:pt>
                      <c:pt idx="8">
                        <c:v>2.0171E-9</c:v>
                      </c:pt>
                      <c:pt idx="9">
                        <c:v>2.7532000000000001E-2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0.16</c:v>
                      </c:pt>
                      <c:pt idx="13">
                        <c:v>0.16</c:v>
                      </c:pt>
                      <c:pt idx="14">
                        <c:v>0.16</c:v>
                      </c:pt>
                      <c:pt idx="15">
                        <c:v>0.16</c:v>
                      </c:pt>
                      <c:pt idx="16">
                        <c:v>0.16</c:v>
                      </c:pt>
                      <c:pt idx="17">
                        <c:v>0.16</c:v>
                      </c:pt>
                      <c:pt idx="18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E1-40A6-A933-2A862B83ED7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D2E1-40A6-A933-2A862B83ED7D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1.0499E-30</c:v>
                      </c:pt>
                      <c:pt idx="12">
                        <c:v>2.0256000000000001E-23</c:v>
                      </c:pt>
                      <c:pt idx="13">
                        <c:v>1.1368E-18</c:v>
                      </c:pt>
                      <c:pt idx="14">
                        <c:v>3.5636000000000001E-13</c:v>
                      </c:pt>
                      <c:pt idx="15">
                        <c:v>5.0767E-12</c:v>
                      </c:pt>
                      <c:pt idx="16">
                        <c:v>4.8987999999999999E-11</c:v>
                      </c:pt>
                      <c:pt idx="17">
                        <c:v>3.9090000000000001E-10</c:v>
                      </c:pt>
                      <c:pt idx="18">
                        <c:v>2.8992000000000001E-9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2E1-40A6-A933-2A862B83ED7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0.32</c:v>
                      </c:pt>
                      <c:pt idx="5">
                        <c:v>0.32</c:v>
                      </c:pt>
                      <c:pt idx="6">
                        <c:v>0.32</c:v>
                      </c:pt>
                      <c:pt idx="7">
                        <c:v>0.32</c:v>
                      </c:pt>
                      <c:pt idx="8">
                        <c:v>0.32</c:v>
                      </c:pt>
                      <c:pt idx="9">
                        <c:v>0.26494000000000001</c:v>
                      </c:pt>
                      <c:pt idx="10">
                        <c:v>4.6556000000000003E-9</c:v>
                      </c:pt>
                      <c:pt idx="11">
                        <c:v>1.9812999999999999E-10</c:v>
                      </c:pt>
                      <c:pt idx="12">
                        <c:v>1.5669999999999999E-11</c:v>
                      </c:pt>
                      <c:pt idx="13">
                        <c:v>4.7772999999999998E-12</c:v>
                      </c:pt>
                      <c:pt idx="14">
                        <c:v>1.8851000000000001E-21</c:v>
                      </c:pt>
                      <c:pt idx="15">
                        <c:v>1.3119999999999999E-36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2E1-40A6-A933-2A862B83ED7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5.1747999999999999E-35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4.9085999999999998E-29</c:v>
                      </c:pt>
                      <c:pt idx="12">
                        <c:v>7.8558000000000003E-22</c:v>
                      </c:pt>
                      <c:pt idx="13">
                        <c:v>3.6916000000000003E-17</c:v>
                      </c:pt>
                      <c:pt idx="14">
                        <c:v>6.1864999999999999E-12</c:v>
                      </c:pt>
                      <c:pt idx="15">
                        <c:v>3.3754000000000002E-11</c:v>
                      </c:pt>
                      <c:pt idx="16">
                        <c:v>9.8782999999999994E-11</c:v>
                      </c:pt>
                      <c:pt idx="17">
                        <c:v>3.9090000000000001E-10</c:v>
                      </c:pt>
                      <c:pt idx="18">
                        <c:v>2.8993000000000001E-9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2E1-40A6-A933-2A862B83ED7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1.4803E-34</c:v>
                      </c:pt>
                      <c:pt idx="12">
                        <c:v>1.4866999999999999E-27</c:v>
                      </c:pt>
                      <c:pt idx="13">
                        <c:v>4.4685000000000002E-23</c:v>
                      </c:pt>
                      <c:pt idx="14">
                        <c:v>1.4711999999999999E-18</c:v>
                      </c:pt>
                      <c:pt idx="15">
                        <c:v>1.9296000000000001E-18</c:v>
                      </c:pt>
                      <c:pt idx="16">
                        <c:v>1.5774E-18</c:v>
                      </c:pt>
                      <c:pt idx="17">
                        <c:v>1.9562E-18</c:v>
                      </c:pt>
                      <c:pt idx="18">
                        <c:v>4.9766999999999999E-18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2E1-40A6-A933-2A862B83ED7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-18.63</c:v>
                      </c:pt>
                      <c:pt idx="4">
                        <c:v>-18.649999999999999</c:v>
                      </c:pt>
                      <c:pt idx="5">
                        <c:v>-18.77</c:v>
                      </c:pt>
                      <c:pt idx="6">
                        <c:v>-18.809999999999999</c:v>
                      </c:pt>
                      <c:pt idx="7">
                        <c:v>-18.84</c:v>
                      </c:pt>
                      <c:pt idx="8">
                        <c:v>-18.88</c:v>
                      </c:pt>
                      <c:pt idx="9">
                        <c:v>-18.93</c:v>
                      </c:pt>
                      <c:pt idx="10">
                        <c:v>-18.97</c:v>
                      </c:pt>
                      <c:pt idx="11">
                        <c:v>-19.010000000000002</c:v>
                      </c:pt>
                      <c:pt idx="12">
                        <c:v>-19.05</c:v>
                      </c:pt>
                      <c:pt idx="13">
                        <c:v>-19.09</c:v>
                      </c:pt>
                      <c:pt idx="14">
                        <c:v>-19.260000000000002</c:v>
                      </c:pt>
                      <c:pt idx="15">
                        <c:v>-19.43</c:v>
                      </c:pt>
                      <c:pt idx="16">
                        <c:v>-19.59</c:v>
                      </c:pt>
                      <c:pt idx="17">
                        <c:v>-19.739999999999998</c:v>
                      </c:pt>
                      <c:pt idx="18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2E1-40A6-A933-2A862B83ED7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-4.0949999999999998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-4.6959999999999997</c:v>
                      </c:pt>
                      <c:pt idx="16">
                        <c:v>-4.8869999999999996</c:v>
                      </c:pt>
                      <c:pt idx="17">
                        <c:v>-5.0709999999999997</c:v>
                      </c:pt>
                      <c:pt idx="18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2E1-40A6-A933-2A862B83ED7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-22.18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-25.6</c:v>
                      </c:pt>
                      <c:pt idx="16">
                        <c:v>-26.65</c:v>
                      </c:pt>
                      <c:pt idx="17">
                        <c:v>-27.65</c:v>
                      </c:pt>
                      <c:pt idx="18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2E1-40A6-A933-2A862B83ED7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2E1-40A6-A933-2A862B83ED7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2E1-40A6-A933-2A862B83ED7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2E1-40A6-A933-2A862B83ED7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2E1-40A6-A933-2A862B83ED7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2E1-40A6-A933-2A862B83ED7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2E1-40A6-A933-2A862B83ED7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2E1-40A6-A933-2A862B83ED7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2E1-40A6-A933-2A862B83ED7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2E1-40A6-A933-2A862B83ED7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2E1-40A6-A933-2A862B83ED7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-3.7478383207116506E-33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-2.9772735687165694E-27</c:v>
                </c:pt>
                <c:pt idx="12">
                  <c:v>-4.9956299024990075E-20</c:v>
                </c:pt>
                <c:pt idx="13">
                  <c:v>-2.4584595733219511E-15</c:v>
                </c:pt>
                <c:pt idx="14">
                  <c:v>-4.8959435423258838E-10</c:v>
                </c:pt>
                <c:pt idx="15">
                  <c:v>-3.1205914641186131E-9</c:v>
                </c:pt>
                <c:pt idx="16">
                  <c:v>-1.0517531332620774E-8</c:v>
                </c:pt>
                <c:pt idx="17">
                  <c:v>-4.7342966564904998E-8</c:v>
                </c:pt>
                <c:pt idx="18">
                  <c:v>-3.9541750520909509E-7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SOLID!$F$124:$AL$124</c:f>
              <c:numCache>
                <c:formatCode>General</c:formatCode>
                <c:ptCount val="33"/>
                <c:pt idx="0">
                  <c:v>-5.6787934735444514E-34</c:v>
                </c:pt>
                <c:pt idx="1">
                  <c:v>-6.5419306321169064E-31</c:v>
                </c:pt>
                <c:pt idx="2">
                  <c:v>-3.0415857990091814E-28</c:v>
                </c:pt>
                <c:pt idx="3">
                  <c:v>-6.737792584201325E-26</c:v>
                </c:pt>
                <c:pt idx="4">
                  <c:v>-2.3146586454042856E-24</c:v>
                </c:pt>
                <c:pt idx="5">
                  <c:v>-3.1402417246027454E-21</c:v>
                </c:pt>
                <c:pt idx="6">
                  <c:v>-1.1469173108226167E-20</c:v>
                </c:pt>
                <c:pt idx="7">
                  <c:v>-3.6201048005888614E-20</c:v>
                </c:pt>
                <c:pt idx="8">
                  <c:v>-1.008449868729376E-19</c:v>
                </c:pt>
                <c:pt idx="9">
                  <c:v>-2.5430213994468466E-19</c:v>
                </c:pt>
                <c:pt idx="10">
                  <c:v>-5.6296712242669006E-19</c:v>
                </c:pt>
                <c:pt idx="11">
                  <c:v>-1.1462980122629907E-18</c:v>
                </c:pt>
                <c:pt idx="12">
                  <c:v>-2.1611271934503513E-18</c:v>
                </c:pt>
                <c:pt idx="13">
                  <c:v>-3.8103254758522015E-18</c:v>
                </c:pt>
                <c:pt idx="14">
                  <c:v>-2.3608225546823828E-17</c:v>
                </c:pt>
                <c:pt idx="15">
                  <c:v>-1.8902647896984945E-16</c:v>
                </c:pt>
                <c:pt idx="16">
                  <c:v>-5.0132769083383937E-15</c:v>
                </c:pt>
                <c:pt idx="17">
                  <c:v>-3.617252646130867E-13</c:v>
                </c:pt>
                <c:pt idx="18">
                  <c:v>-2.0067969524951993E-11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-5.6787934735444514E-34</c:v>
                </c:pt>
                <c:pt idx="1">
                  <c:v>-6.5419306321169064E-31</c:v>
                </c:pt>
                <c:pt idx="2">
                  <c:v>-3.0415857990091814E-28</c:v>
                </c:pt>
                <c:pt idx="3">
                  <c:v>-6.737792584201325E-26</c:v>
                </c:pt>
                <c:pt idx="4">
                  <c:v>-2.3146586454042856E-24</c:v>
                </c:pt>
                <c:pt idx="5">
                  <c:v>-3.1402417246027454E-21</c:v>
                </c:pt>
                <c:pt idx="6">
                  <c:v>-1.1469173108226167E-20</c:v>
                </c:pt>
                <c:pt idx="7">
                  <c:v>-3.6201048005892364E-20</c:v>
                </c:pt>
                <c:pt idx="8">
                  <c:v>-1.008449868729376E-19</c:v>
                </c:pt>
                <c:pt idx="9">
                  <c:v>-2.5430213994468466E-19</c:v>
                </c:pt>
                <c:pt idx="10">
                  <c:v>-5.6296712242669006E-19</c:v>
                </c:pt>
                <c:pt idx="11">
                  <c:v>-1.1462980152402642E-18</c:v>
                </c:pt>
                <c:pt idx="12">
                  <c:v>-2.2110834924753413E-18</c:v>
                </c:pt>
                <c:pt idx="13">
                  <c:v>-2.4622698987978033E-15</c:v>
                </c:pt>
                <c:pt idx="14">
                  <c:v>-4.8959437784081389E-10</c:v>
                </c:pt>
                <c:pt idx="15">
                  <c:v>-3.120591653145092E-9</c:v>
                </c:pt>
                <c:pt idx="16">
                  <c:v>-1.0517536345897683E-8</c:v>
                </c:pt>
                <c:pt idx="17">
                  <c:v>-4.7343328290169613E-8</c:v>
                </c:pt>
                <c:pt idx="18">
                  <c:v>-3.9543757317862007E-7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SOLID!$B$114:$B$115</c:f>
              <c:numCache>
                <c:formatCode>0</c:formatCode>
                <c:ptCount val="2"/>
                <c:pt idx="0">
                  <c:v>-400.5842955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B8-4099-89EB-409D78398715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-117.09948072150002</c:v>
                </c:pt>
                <c:pt idx="1">
                  <c:v>-118.98138465149999</c:v>
                </c:pt>
                <c:pt idx="2">
                  <c:v>-120.91997684250001</c:v>
                </c:pt>
                <c:pt idx="3">
                  <c:v>-122.95412342474999</c:v>
                </c:pt>
                <c:pt idx="4">
                  <c:v>-126.01262887875001</c:v>
                </c:pt>
                <c:pt idx="5">
                  <c:v>-142.28828008919999</c:v>
                </c:pt>
                <c:pt idx="6">
                  <c:v>-146.58550303380002</c:v>
                </c:pt>
                <c:pt idx="7">
                  <c:v>-151.04452199114999</c:v>
                </c:pt>
                <c:pt idx="8">
                  <c:v>-155.50782956760003</c:v>
                </c:pt>
                <c:pt idx="9">
                  <c:v>-160.11998415449997</c:v>
                </c:pt>
                <c:pt idx="10">
                  <c:v>-168.711232287</c:v>
                </c:pt>
                <c:pt idx="11">
                  <c:v>-177.38472745350003</c:v>
                </c:pt>
                <c:pt idx="12">
                  <c:v>-186.14954908800001</c:v>
                </c:pt>
                <c:pt idx="13">
                  <c:v>-195.08190623460004</c:v>
                </c:pt>
                <c:pt idx="14">
                  <c:v>-232.27161045600005</c:v>
                </c:pt>
                <c:pt idx="15">
                  <c:v>-271.50034602840009</c:v>
                </c:pt>
                <c:pt idx="16">
                  <c:v>-312.76477551150003</c:v>
                </c:pt>
                <c:pt idx="17">
                  <c:v>-355.73657426639994</c:v>
                </c:pt>
                <c:pt idx="18">
                  <c:v>-400.5842955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-45.198083454750012</c:v>
                      </c:pt>
                      <c:pt idx="1">
                        <c:v>-45.968417722500007</c:v>
                      </c:pt>
                      <c:pt idx="2">
                        <c:v>-46.762327755000001</c:v>
                      </c:pt>
                      <c:pt idx="3">
                        <c:v>-47.597382090750003</c:v>
                      </c:pt>
                      <c:pt idx="4">
                        <c:v>-96.926001056999993</c:v>
                      </c:pt>
                      <c:pt idx="5">
                        <c:v>-104.39220671145002</c:v>
                      </c:pt>
                      <c:pt idx="6">
                        <c:v>-106.36110359205</c:v>
                      </c:pt>
                      <c:pt idx="7">
                        <c:v>-108.42165952065001</c:v>
                      </c:pt>
                      <c:pt idx="8">
                        <c:v>-110.46412559160001</c:v>
                      </c:pt>
                      <c:pt idx="9">
                        <c:v>-93.222518191718905</c:v>
                      </c:pt>
                      <c:pt idx="10">
                        <c:v>-1.7259833729759402E-6</c:v>
                      </c:pt>
                      <c:pt idx="11">
                        <c:v>-7.7224983798950523E-8</c:v>
                      </c:pt>
                      <c:pt idx="12">
                        <c:v>-6.4091639299229987E-9</c:v>
                      </c:pt>
                      <c:pt idx="13">
                        <c:v>-2.047642376936023E-9</c:v>
                      </c:pt>
                      <c:pt idx="14">
                        <c:v>-9.6741746112353355E-19</c:v>
                      </c:pt>
                      <c:pt idx="15">
                        <c:v>-7.630601019855077E-18</c:v>
                      </c:pt>
                      <c:pt idx="16">
                        <c:v>-2.6769670109555827E-15</c:v>
                      </c:pt>
                      <c:pt idx="17">
                        <c:v>-3.3976100137178335E-13</c:v>
                      </c:pt>
                      <c:pt idx="18">
                        <c:v>-1.9933522283282767E-11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*Ge3Se4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1.7328E-12</c:v>
                </c:pt>
                <c:pt idx="1">
                  <c:v>5.8658000000000003E-12</c:v>
                </c:pt>
                <c:pt idx="2">
                  <c:v>2.2289999999999999E-12</c:v>
                </c:pt>
                <c:pt idx="3">
                  <c:v>1.5316999999999999E-25</c:v>
                </c:pt>
                <c:pt idx="4">
                  <c:v>1.0019E-27</c:v>
                </c:pt>
                <c:pt idx="5">
                  <c:v>3.1653999999999998E-21</c:v>
                </c:pt>
                <c:pt idx="6">
                  <c:v>1.3899000000000001E-23</c:v>
                </c:pt>
                <c:pt idx="7">
                  <c:v>6.9124999999999997E-29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7C9-4F8E-93A1-524E66C52F6C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*Ge4Se5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1.6805999999999999E-12</c:v>
                </c:pt>
                <c:pt idx="1">
                  <c:v>5.5805999999999999E-12</c:v>
                </c:pt>
                <c:pt idx="2">
                  <c:v>2.2454000000000001E-12</c:v>
                </c:pt>
                <c:pt idx="3">
                  <c:v>5.3380999999999999E-25</c:v>
                </c:pt>
                <c:pt idx="4">
                  <c:v>7.0713999999999996E-27</c:v>
                </c:pt>
                <c:pt idx="5">
                  <c:v>4.0008999999999998E-20</c:v>
                </c:pt>
                <c:pt idx="6">
                  <c:v>2.4845000000000002E-22</c:v>
                </c:pt>
                <c:pt idx="7">
                  <c:v>1.8056000000000001E-27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7C9-4F8E-93A1-524E66C52F6C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5.0070999999999999E-19</c:v>
                </c:pt>
                <c:pt idx="6">
                  <c:v>1.7460999999999999E-14</c:v>
                </c:pt>
                <c:pt idx="7">
                  <c:v>4.7011999999999999E-11</c:v>
                </c:pt>
                <c:pt idx="8">
                  <c:v>2.0171E-9</c:v>
                </c:pt>
                <c:pt idx="9">
                  <c:v>2.7532000000000001E-2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7C9-4F8E-93A1-524E66C52F6C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2.6805000000000002E-25</c:v>
                </c:pt>
                <c:pt idx="1">
                  <c:v>2.0495000000000001E-17</c:v>
                </c:pt>
                <c:pt idx="2">
                  <c:v>3.6011000000000002E-11</c:v>
                </c:pt>
                <c:pt idx="3">
                  <c:v>2.8117E-8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0.21506</c:v>
                </c:pt>
                <c:pt idx="10">
                  <c:v>0.48</c:v>
                </c:pt>
                <c:pt idx="11">
                  <c:v>0.48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7C9-4F8E-93A1-524E66C52F6C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5.0070999999999999E-19</c:v>
                </c:pt>
                <c:pt idx="6">
                  <c:v>1.7460999999999999E-14</c:v>
                </c:pt>
                <c:pt idx="7">
                  <c:v>4.7011999999999999E-11</c:v>
                </c:pt>
                <c:pt idx="8">
                  <c:v>2.0171E-9</c:v>
                </c:pt>
                <c:pt idx="9">
                  <c:v>2.7532000000000001E-2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7C9-4F8E-93A1-524E66C52F6C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4-A7C9-4F8E-93A1-524E66C52F6C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1.0499E-30</c:v>
                </c:pt>
                <c:pt idx="12">
                  <c:v>2.0256000000000001E-23</c:v>
                </c:pt>
                <c:pt idx="13">
                  <c:v>1.1368E-18</c:v>
                </c:pt>
                <c:pt idx="14">
                  <c:v>3.5636000000000001E-13</c:v>
                </c:pt>
                <c:pt idx="15">
                  <c:v>5.0767E-12</c:v>
                </c:pt>
                <c:pt idx="16">
                  <c:v>4.8987999999999999E-11</c:v>
                </c:pt>
                <c:pt idx="17">
                  <c:v>3.9090000000000001E-10</c:v>
                </c:pt>
                <c:pt idx="18">
                  <c:v>2.8992000000000001E-9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7C9-4F8E-93A1-524E66C52F6C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0.32</c:v>
                </c:pt>
                <c:pt idx="5">
                  <c:v>0.32</c:v>
                </c:pt>
                <c:pt idx="6">
                  <c:v>0.32</c:v>
                </c:pt>
                <c:pt idx="7">
                  <c:v>0.32</c:v>
                </c:pt>
                <c:pt idx="8">
                  <c:v>0.32</c:v>
                </c:pt>
                <c:pt idx="9">
                  <c:v>0.26494000000000001</c:v>
                </c:pt>
                <c:pt idx="10">
                  <c:v>4.6556000000000003E-9</c:v>
                </c:pt>
                <c:pt idx="11">
                  <c:v>1.9812999999999999E-10</c:v>
                </c:pt>
                <c:pt idx="12">
                  <c:v>1.5669999999999999E-11</c:v>
                </c:pt>
                <c:pt idx="13">
                  <c:v>4.7772999999999998E-12</c:v>
                </c:pt>
                <c:pt idx="14">
                  <c:v>1.8851000000000001E-21</c:v>
                </c:pt>
                <c:pt idx="15">
                  <c:v>1.3119999999999999E-36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7C9-4F8E-93A1-524E66C52F6C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SOLID!$F$18:$AL$18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5.1747999999999999E-35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4.9085999999999998E-29</c:v>
                </c:pt>
                <c:pt idx="12">
                  <c:v>7.8558000000000003E-22</c:v>
                </c:pt>
                <c:pt idx="13">
                  <c:v>3.6916000000000003E-17</c:v>
                </c:pt>
                <c:pt idx="14">
                  <c:v>6.1864999999999999E-12</c:v>
                </c:pt>
                <c:pt idx="15">
                  <c:v>3.3754000000000002E-11</c:v>
                </c:pt>
                <c:pt idx="16">
                  <c:v>9.8782999999999994E-11</c:v>
                </c:pt>
                <c:pt idx="17">
                  <c:v>3.9090000000000001E-10</c:v>
                </c:pt>
                <c:pt idx="18">
                  <c:v>2.8993000000000001E-9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7C9-4F8E-93A1-524E66C52F6C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(1)Se[l]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SOLID!$F$19:$AL$19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1.4803E-34</c:v>
                </c:pt>
                <c:pt idx="12">
                  <c:v>1.4866999999999999E-27</c:v>
                </c:pt>
                <c:pt idx="13">
                  <c:v>4.4685000000000002E-23</c:v>
                </c:pt>
                <c:pt idx="14">
                  <c:v>1.4711999999999999E-18</c:v>
                </c:pt>
                <c:pt idx="15">
                  <c:v>1.9296000000000001E-18</c:v>
                </c:pt>
                <c:pt idx="16">
                  <c:v>1.5774E-18</c:v>
                </c:pt>
                <c:pt idx="17">
                  <c:v>1.9562E-18</c:v>
                </c:pt>
                <c:pt idx="18">
                  <c:v>4.9766999999999999E-18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7C9-4F8E-93A1-524E66C52F6C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7C9-4F8E-93A1-524E66C52F6C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7C9-4F8E-93A1-524E66C5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5.4249000000000002E-9</c:v>
                      </c:pt>
                      <c:pt idx="5">
                        <c:v>3.1469999999999999E-18</c:v>
                      </c:pt>
                      <c:pt idx="6">
                        <c:v>3.4140999999999998E-21</c:v>
                      </c:pt>
                      <c:pt idx="7">
                        <c:v>1.3232999999999999E-26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2-A7C9-4F8E-93A1-524E66C52F6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2.8410999999999999E-35</c:v>
                      </c:pt>
                      <c:pt idx="13">
                        <c:v>8.6182999999999996E-34</c:v>
                      </c:pt>
                      <c:pt idx="14">
                        <c:v>9.4454000000000001E-29</c:v>
                      </c:pt>
                      <c:pt idx="15">
                        <c:v>8.6050999999999998E-25</c:v>
                      </c:pt>
                      <c:pt idx="16">
                        <c:v>1.3367E-21</c:v>
                      </c:pt>
                      <c:pt idx="17">
                        <c:v>5.6430999999999998E-19</c:v>
                      </c:pt>
                      <c:pt idx="18">
                        <c:v>8.8784999999999997E-17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7C9-4F8E-93A1-524E66C52F6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6.1216000000000001E-36</c:v>
                      </c:pt>
                      <c:pt idx="8">
                        <c:v>7.5483999999999999E-34</c:v>
                      </c:pt>
                      <c:pt idx="9">
                        <c:v>6.4778000000000002E-32</c:v>
                      </c:pt>
                      <c:pt idx="10">
                        <c:v>1.7163E-30</c:v>
                      </c:pt>
                      <c:pt idx="11">
                        <c:v>3.6084E-29</c:v>
                      </c:pt>
                      <c:pt idx="12">
                        <c:v>6.1321999999999997E-28</c:v>
                      </c:pt>
                      <c:pt idx="13">
                        <c:v>8.6068999999999998E-27</c:v>
                      </c:pt>
                      <c:pt idx="14">
                        <c:v>6.9381000000000001E-23</c:v>
                      </c:pt>
                      <c:pt idx="15">
                        <c:v>8.2535E-20</c:v>
                      </c:pt>
                      <c:pt idx="16">
                        <c:v>2.514E-17</c:v>
                      </c:pt>
                      <c:pt idx="17">
                        <c:v>2.8042000000000001E-15</c:v>
                      </c:pt>
                      <c:pt idx="18">
                        <c:v>1.4598E-13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7C9-4F8E-93A1-524E66C52F6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1.4789E-36</c:v>
                      </c:pt>
                      <c:pt idx="2">
                        <c:v>1.4752999999999999E-34</c:v>
                      </c:pt>
                      <c:pt idx="3">
                        <c:v>8.3737000000000002E-33</c:v>
                      </c:pt>
                      <c:pt idx="4">
                        <c:v>2.9790999999999999E-31</c:v>
                      </c:pt>
                      <c:pt idx="5">
                        <c:v>1.6497E-26</c:v>
                      </c:pt>
                      <c:pt idx="6">
                        <c:v>1.3662999999999999E-25</c:v>
                      </c:pt>
                      <c:pt idx="7">
                        <c:v>9.4198999999999997E-25</c:v>
                      </c:pt>
                      <c:pt idx="8">
                        <c:v>5.5292999999999999E-24</c:v>
                      </c:pt>
                      <c:pt idx="9">
                        <c:v>2.8124000000000002E-23</c:v>
                      </c:pt>
                      <c:pt idx="10">
                        <c:v>5.3419000000000001E-23</c:v>
                      </c:pt>
                      <c:pt idx="11">
                        <c:v>9.5889999999999996E-23</c:v>
                      </c:pt>
                      <c:pt idx="12">
                        <c:v>1.6252E-22</c:v>
                      </c:pt>
                      <c:pt idx="13">
                        <c:v>2.6167E-22</c:v>
                      </c:pt>
                      <c:pt idx="14">
                        <c:v>1.1613E-21</c:v>
                      </c:pt>
                      <c:pt idx="15">
                        <c:v>3.1419999999999999E-21</c:v>
                      </c:pt>
                      <c:pt idx="16">
                        <c:v>6.0357999999999998E-21</c:v>
                      </c:pt>
                      <c:pt idx="17">
                        <c:v>9.0656000000000005E-21</c:v>
                      </c:pt>
                      <c:pt idx="18">
                        <c:v>1.1346E-20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7C9-4F8E-93A1-524E66C52F6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1.7012999999999999E-36</c:v>
                      </c:pt>
                      <c:pt idx="1">
                        <c:v>1.9338999999999999E-33</c:v>
                      </c:pt>
                      <c:pt idx="2">
                        <c:v>8.8807999999999993E-31</c:v>
                      </c:pt>
                      <c:pt idx="3">
                        <c:v>1.9417E-28</c:v>
                      </c:pt>
                      <c:pt idx="4">
                        <c:v>6.3660000000000002E-27</c:v>
                      </c:pt>
                      <c:pt idx="5">
                        <c:v>6.6177999999999998E-24</c:v>
                      </c:pt>
                      <c:pt idx="6">
                        <c:v>2.272E-23</c:v>
                      </c:pt>
                      <c:pt idx="7">
                        <c:v>6.7347000000000004E-23</c:v>
                      </c:pt>
                      <c:pt idx="8">
                        <c:v>1.7571E-22</c:v>
                      </c:pt>
                      <c:pt idx="9">
                        <c:v>4.1138E-22</c:v>
                      </c:pt>
                      <c:pt idx="10">
                        <c:v>8.6744999999999998E-22</c:v>
                      </c:pt>
                      <c:pt idx="11">
                        <c:v>1.6832000000000001E-21</c:v>
                      </c:pt>
                      <c:pt idx="12">
                        <c:v>3.025E-21</c:v>
                      </c:pt>
                      <c:pt idx="13">
                        <c:v>5.0780999999999998E-21</c:v>
                      </c:pt>
                      <c:pt idx="14">
                        <c:v>2.3265999999999999E-20</c:v>
                      </c:pt>
                      <c:pt idx="15">
                        <c:v>5.5564999999999998E-20</c:v>
                      </c:pt>
                      <c:pt idx="16">
                        <c:v>8.4864000000000003E-20</c:v>
                      </c:pt>
                      <c:pt idx="17">
                        <c:v>9.4253999999999996E-20</c:v>
                      </c:pt>
                      <c:pt idx="18">
                        <c:v>8.2804000000000002E-20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7C9-4F8E-93A1-524E66C52F6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7.7588000000000001E-36</c:v>
                      </c:pt>
                      <c:pt idx="5">
                        <c:v>8.6558000000000003E-30</c:v>
                      </c:pt>
                      <c:pt idx="6">
                        <c:v>1.2250999999999999E-28</c:v>
                      </c:pt>
                      <c:pt idx="7">
                        <c:v>1.3556999999999999E-27</c:v>
                      </c:pt>
                      <c:pt idx="8">
                        <c:v>1.2094999999999999E-26</c:v>
                      </c:pt>
                      <c:pt idx="9">
                        <c:v>8.9431000000000004E-26</c:v>
                      </c:pt>
                      <c:pt idx="10">
                        <c:v>5.5738999999999996E-25</c:v>
                      </c:pt>
                      <c:pt idx="11">
                        <c:v>2.9985000000000001E-24</c:v>
                      </c:pt>
                      <c:pt idx="12">
                        <c:v>1.4124E-23</c:v>
                      </c:pt>
                      <c:pt idx="13">
                        <c:v>5.9069000000000006E-23</c:v>
                      </c:pt>
                      <c:pt idx="14">
                        <c:v>6.8385000000000006E-21</c:v>
                      </c:pt>
                      <c:pt idx="15">
                        <c:v>2.4507000000000001E-19</c:v>
                      </c:pt>
                      <c:pt idx="16">
                        <c:v>3.8469999999999996E-18</c:v>
                      </c:pt>
                      <c:pt idx="17">
                        <c:v>3.3061E-17</c:v>
                      </c:pt>
                      <c:pt idx="18">
                        <c:v>1.8061999999999999E-16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7C9-4F8E-93A1-524E66C52F6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7C9-4F8E-93A1-524E66C52F6C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-18.63</c:v>
                      </c:pt>
                      <c:pt idx="4">
                        <c:v>-18.649999999999999</c:v>
                      </c:pt>
                      <c:pt idx="5">
                        <c:v>-18.77</c:v>
                      </c:pt>
                      <c:pt idx="6">
                        <c:v>-18.809999999999999</c:v>
                      </c:pt>
                      <c:pt idx="7">
                        <c:v>-18.84</c:v>
                      </c:pt>
                      <c:pt idx="8">
                        <c:v>-18.88</c:v>
                      </c:pt>
                      <c:pt idx="9">
                        <c:v>-18.93</c:v>
                      </c:pt>
                      <c:pt idx="10">
                        <c:v>-18.97</c:v>
                      </c:pt>
                      <c:pt idx="11">
                        <c:v>-19.010000000000002</c:v>
                      </c:pt>
                      <c:pt idx="12">
                        <c:v>-19.05</c:v>
                      </c:pt>
                      <c:pt idx="13">
                        <c:v>-19.09</c:v>
                      </c:pt>
                      <c:pt idx="14">
                        <c:v>-19.260000000000002</c:v>
                      </c:pt>
                      <c:pt idx="15">
                        <c:v>-19.43</c:v>
                      </c:pt>
                      <c:pt idx="16">
                        <c:v>-19.59</c:v>
                      </c:pt>
                      <c:pt idx="17">
                        <c:v>-19.739999999999998</c:v>
                      </c:pt>
                      <c:pt idx="18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7C9-4F8E-93A1-524E66C52F6C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-4.0949999999999998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-4.6959999999999997</c:v>
                      </c:pt>
                      <c:pt idx="16">
                        <c:v>-4.8869999999999996</c:v>
                      </c:pt>
                      <c:pt idx="17">
                        <c:v>-5.0709999999999997</c:v>
                      </c:pt>
                      <c:pt idx="18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7C9-4F8E-93A1-524E66C52F6C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-22.18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-25.6</c:v>
                      </c:pt>
                      <c:pt idx="16">
                        <c:v>-26.65</c:v>
                      </c:pt>
                      <c:pt idx="17">
                        <c:v>-27.65</c:v>
                      </c:pt>
                      <c:pt idx="18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7C9-4F8E-93A1-524E66C52F6C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7C9-4F8E-93A1-524E66C52F6C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7C9-4F8E-93A1-524E66C52F6C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7C9-4F8E-93A1-524E66C52F6C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7C9-4F8E-93A1-524E66C52F6C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7C9-4F8E-93A1-524E66C52F6C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7C9-4F8E-93A1-524E66C52F6C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7C9-4F8E-93A1-524E66C52F6C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7C9-4F8E-93A1-524E66C52F6C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7C9-4F8E-93A1-524E66C52F6C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7C9-4F8E-93A1-524E66C52F6C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4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11EF-44BA-AAAA-9AD66152902A}"/>
              </c:ext>
            </c:extLst>
          </c:dPt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-4.8306237623762369</c:v>
                </c:pt>
                <c:pt idx="27" formatCode="General">
                  <c:v>-4.4924059405940584</c:v>
                </c:pt>
                <c:pt idx="28" formatCode="General">
                  <c:v>-4.1541881188118799</c:v>
                </c:pt>
                <c:pt idx="29" formatCode="General">
                  <c:v>-4.1129702970297028</c:v>
                </c:pt>
                <c:pt idx="30" formatCode="General">
                  <c:v>-4.1347524752475247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-4.5112057001239156</c:v>
                </c:pt>
                <c:pt idx="50" formatCode="General">
                  <c:v>-4.5307348203221807</c:v>
                </c:pt>
                <c:pt idx="51" formatCode="General">
                  <c:v>-4.5502639405204457</c:v>
                </c:pt>
                <c:pt idx="52" formatCode="General">
                  <c:v>-4.5697930607187107</c:v>
                </c:pt>
                <c:pt idx="53" formatCode="General">
                  <c:v>-4.5893221809169757</c:v>
                </c:pt>
                <c:pt idx="54" formatCode="General">
                  <c:v>-4.6088513011152417</c:v>
                </c:pt>
                <c:pt idx="55" formatCode="General">
                  <c:v>-4.6283804213135067</c:v>
                </c:pt>
                <c:pt idx="56" formatCode="General">
                  <c:v>-4.6479095415117717</c:v>
                </c:pt>
                <c:pt idx="57" formatCode="General">
                  <c:v>-4.6674386617100367</c:v>
                </c:pt>
                <c:pt idx="58" formatCode="General">
                  <c:v>-4.6869677819083018</c:v>
                </c:pt>
                <c:pt idx="59" formatCode="General">
                  <c:v>-4.7061646039603957</c:v>
                </c:pt>
                <c:pt idx="60" formatCode="General">
                  <c:v>-4.7250754950495049</c:v>
                </c:pt>
                <c:pt idx="61" formatCode="General">
                  <c:v>-4.7439863861386131</c:v>
                </c:pt>
                <c:pt idx="62" formatCode="General">
                  <c:v>-4.7628972772277223</c:v>
                </c:pt>
                <c:pt idx="63" formatCode="General">
                  <c:v>-4.7818081683168314</c:v>
                </c:pt>
                <c:pt idx="64" formatCode="General">
                  <c:v>-4.8007190594059406</c:v>
                </c:pt>
                <c:pt idx="65" formatCode="General">
                  <c:v>-4.8196299504950488</c:v>
                </c:pt>
                <c:pt idx="66" formatCode="General">
                  <c:v>-4.838540841584158</c:v>
                </c:pt>
                <c:pt idx="67" formatCode="General">
                  <c:v>-4.8574517326732671</c:v>
                </c:pt>
                <c:pt idx="68" formatCode="General">
                  <c:v>-4.8763626237623754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-5.077168316831683</c:v>
                </c:pt>
                <c:pt idx="80" formatCode="General">
                  <c:v>-5.0947920792079202</c:v>
                </c:pt>
                <c:pt idx="81" formatCode="General">
                  <c:v>-5.1124158415841583</c:v>
                </c:pt>
                <c:pt idx="82" formatCode="General">
                  <c:v>-5.1300396039603955</c:v>
                </c:pt>
                <c:pt idx="83" formatCode="General">
                  <c:v>-5.1476633663366336</c:v>
                </c:pt>
                <c:pt idx="84" formatCode="General">
                  <c:v>-5.1652871287128708</c:v>
                </c:pt>
                <c:pt idx="85" formatCode="General">
                  <c:v>-5.1829108910891089</c:v>
                </c:pt>
                <c:pt idx="86" formatCode="General">
                  <c:v>-5.200534653465346</c:v>
                </c:pt>
                <c:pt idx="87" formatCode="General">
                  <c:v>-5.2181584158415841</c:v>
                </c:pt>
                <c:pt idx="88" formatCode="General">
                  <c:v>-5.2357821782178213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1EF-44BA-AAAA-9AD66152902A}"/>
            </c:ext>
          </c:extLst>
        </c:ser>
        <c:ser>
          <c:idx val="35"/>
          <c:order val="37"/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EVALUATION!$B$138:$CP$138</c:f>
              <c:numCache>
                <c:formatCode>0</c:formatCode>
                <c:ptCount val="93"/>
                <c:pt idx="0">
                  <c:v>-16.178663366336636</c:v>
                </c:pt>
                <c:pt idx="1">
                  <c:v>-15.7880198019802</c:v>
                </c:pt>
                <c:pt idx="2">
                  <c:v>-15.376138613861388</c:v>
                </c:pt>
                <c:pt idx="3">
                  <c:v>-14.958564356435645</c:v>
                </c:pt>
                <c:pt idx="4" formatCode="General">
                  <c:v>-14.455594059405941</c:v>
                </c:pt>
                <c:pt idx="5" formatCode="General">
                  <c:v>-13.952623762376238</c:v>
                </c:pt>
                <c:pt idx="6" formatCode="General">
                  <c:v>-13.421980198019801</c:v>
                </c:pt>
                <c:pt idx="7" formatCode="General">
                  <c:v>-12.867524752475246</c:v>
                </c:pt>
                <c:pt idx="8" formatCode="General">
                  <c:v>-12.314007425742574</c:v>
                </c:pt>
                <c:pt idx="9" formatCode="General">
                  <c:v>-11.834601485148514</c:v>
                </c:pt>
                <c:pt idx="10" formatCode="General">
                  <c:v>-11.355195544554455</c:v>
                </c:pt>
                <c:pt idx="11" formatCode="General">
                  <c:v>-10.875789603960396</c:v>
                </c:pt>
                <c:pt idx="12" formatCode="General">
                  <c:v>-10.396383663366336</c:v>
                </c:pt>
                <c:pt idx="13" formatCode="General">
                  <c:v>-9.9169777227722768</c:v>
                </c:pt>
                <c:pt idx="14" formatCode="General">
                  <c:v>-9.4375717821782175</c:v>
                </c:pt>
                <c:pt idx="15" formatCode="General">
                  <c:v>-8.9581658415841581</c:v>
                </c:pt>
                <c:pt idx="16" formatCode="General">
                  <c:v>-8.4787599009900987</c:v>
                </c:pt>
                <c:pt idx="17" formatCode="General">
                  <c:v>-7.9993539603960384</c:v>
                </c:pt>
                <c:pt idx="18" formatCode="General">
                  <c:v>-7.519948019801979</c:v>
                </c:pt>
                <c:pt idx="19" formatCode="General">
                  <c:v>-7.213826732673267</c:v>
                </c:pt>
                <c:pt idx="20" formatCode="General">
                  <c:v>-6.9243217821782173</c:v>
                </c:pt>
                <c:pt idx="21" formatCode="General">
                  <c:v>-6.672876237623762</c:v>
                </c:pt>
                <c:pt idx="22" formatCode="General">
                  <c:v>-6.4815891089108915</c:v>
                </c:pt>
                <c:pt idx="23" formatCode="General">
                  <c:v>-6.2903019801980209</c:v>
                </c:pt>
                <c:pt idx="24" formatCode="General">
                  <c:v>-6.1699402985074627</c:v>
                </c:pt>
                <c:pt idx="25" formatCode="General">
                  <c:v>-6.0608855721393038</c:v>
                </c:pt>
                <c:pt idx="26" formatCode="General">
                  <c:v>-5.972811881188119</c:v>
                </c:pt>
                <c:pt idx="27" formatCode="General">
                  <c:v>-5.9237029702970299</c:v>
                </c:pt>
                <c:pt idx="28" formatCode="General">
                  <c:v>-5.8745940594059398</c:v>
                </c:pt>
                <c:pt idx="29" formatCode="General">
                  <c:v>-5.8545643564356435</c:v>
                </c:pt>
                <c:pt idx="30" formatCode="General">
                  <c:v>-5.8407029702970297</c:v>
                </c:pt>
                <c:pt idx="31" formatCode="General">
                  <c:v>-5.8323069306930693</c:v>
                </c:pt>
                <c:pt idx="32" formatCode="General">
                  <c:v>-5.8366633663366336</c:v>
                </c:pt>
                <c:pt idx="33" formatCode="General">
                  <c:v>-5.841019801980198</c:v>
                </c:pt>
                <c:pt idx="34" formatCode="General">
                  <c:v>-5.8518217821782175</c:v>
                </c:pt>
                <c:pt idx="35" formatCode="General">
                  <c:v>-5.8644950495049502</c:v>
                </c:pt>
                <c:pt idx="36" formatCode="General">
                  <c:v>-5.8781584158415843</c:v>
                </c:pt>
                <c:pt idx="37" formatCode="General">
                  <c:v>-5.8947920792079209</c:v>
                </c:pt>
                <c:pt idx="38" formatCode="General">
                  <c:v>-5.9114257425742576</c:v>
                </c:pt>
                <c:pt idx="39" formatCode="General">
                  <c:v>-5.9294950495049505</c:v>
                </c:pt>
                <c:pt idx="40" formatCode="General">
                  <c:v>-5.9481089108910892</c:v>
                </c:pt>
                <c:pt idx="41" formatCode="General">
                  <c:v>-5.9668019801980199</c:v>
                </c:pt>
                <c:pt idx="42" formatCode="General">
                  <c:v>-5.9858118811881189</c:v>
                </c:pt>
                <c:pt idx="43" formatCode="General">
                  <c:v>-6.0048217821782179</c:v>
                </c:pt>
                <c:pt idx="44" formatCode="General">
                  <c:v>-6.0240990099009899</c:v>
                </c:pt>
                <c:pt idx="45" formatCode="General">
                  <c:v>-6.0435049504950493</c:v>
                </c:pt>
                <c:pt idx="46" formatCode="General">
                  <c:v>-6.0629108910891087</c:v>
                </c:pt>
                <c:pt idx="47" formatCode="General">
                  <c:v>-6.0823168316831682</c:v>
                </c:pt>
                <c:pt idx="48" formatCode="General">
                  <c:v>-6.1017227722772276</c:v>
                </c:pt>
                <c:pt idx="49" formatCode="General">
                  <c:v>-6.1211437422552661</c:v>
                </c:pt>
                <c:pt idx="50" formatCode="General">
                  <c:v>-6.1405737298636929</c:v>
                </c:pt>
                <c:pt idx="51" formatCode="General">
                  <c:v>-6.1600037174721187</c:v>
                </c:pt>
                <c:pt idx="52" formatCode="General">
                  <c:v>-6.1794337050805455</c:v>
                </c:pt>
                <c:pt idx="53" formatCode="General">
                  <c:v>-6.1988636926889713</c:v>
                </c:pt>
                <c:pt idx="54" formatCode="General">
                  <c:v>-6.2182936802973972</c:v>
                </c:pt>
                <c:pt idx="55" formatCode="General">
                  <c:v>-6.2377236679058239</c:v>
                </c:pt>
                <c:pt idx="56" formatCode="General">
                  <c:v>-6.2571536555142497</c:v>
                </c:pt>
                <c:pt idx="57" formatCode="General">
                  <c:v>-6.2765836431226765</c:v>
                </c:pt>
                <c:pt idx="58" formatCode="General">
                  <c:v>-6.2960136307311023</c:v>
                </c:pt>
                <c:pt idx="59" formatCode="General">
                  <c:v>-6.3151646039603957</c:v>
                </c:pt>
                <c:pt idx="60" formatCode="General">
                  <c:v>-6.3340754950495048</c:v>
                </c:pt>
                <c:pt idx="61" formatCode="General">
                  <c:v>-6.352986386138614</c:v>
                </c:pt>
                <c:pt idx="62" formatCode="General">
                  <c:v>-6.3718972772277223</c:v>
                </c:pt>
                <c:pt idx="63" formatCode="General">
                  <c:v>-6.3908081683168314</c:v>
                </c:pt>
                <c:pt idx="64" formatCode="General">
                  <c:v>-6.4097190594059406</c:v>
                </c:pt>
                <c:pt idx="65" formatCode="General">
                  <c:v>-6.4286299504950497</c:v>
                </c:pt>
                <c:pt idx="66" formatCode="General">
                  <c:v>-6.4475408415841589</c:v>
                </c:pt>
                <c:pt idx="67" formatCode="General">
                  <c:v>-6.466451732673268</c:v>
                </c:pt>
                <c:pt idx="68" formatCode="General">
                  <c:v>-6.4853626237623763</c:v>
                </c:pt>
                <c:pt idx="69" formatCode="General">
                  <c:v>-6.5040235439900869</c:v>
                </c:pt>
                <c:pt idx="70" formatCode="General">
                  <c:v>-6.5223630731102853</c:v>
                </c:pt>
                <c:pt idx="71" formatCode="General">
                  <c:v>-6.5407026022304837</c:v>
                </c:pt>
                <c:pt idx="72" formatCode="General">
                  <c:v>-6.5590421313506821</c:v>
                </c:pt>
                <c:pt idx="73" formatCode="General">
                  <c:v>-6.5773816604708797</c:v>
                </c:pt>
                <c:pt idx="74" formatCode="General">
                  <c:v>-6.5957211895910781</c:v>
                </c:pt>
                <c:pt idx="75" formatCode="General">
                  <c:v>-6.6140607187112765</c:v>
                </c:pt>
                <c:pt idx="76" formatCode="General">
                  <c:v>-6.632400247831475</c:v>
                </c:pt>
                <c:pt idx="77" formatCode="General">
                  <c:v>-6.6507397769516725</c:v>
                </c:pt>
                <c:pt idx="78" formatCode="General">
                  <c:v>-6.6690793060718709</c:v>
                </c:pt>
                <c:pt idx="79" formatCode="General">
                  <c:v>-6.6871336633663363</c:v>
                </c:pt>
                <c:pt idx="80" formatCode="General">
                  <c:v>-6.7046584158415845</c:v>
                </c:pt>
                <c:pt idx="81" formatCode="General">
                  <c:v>-6.7221831683168318</c:v>
                </c:pt>
                <c:pt idx="82" formatCode="General">
                  <c:v>-6.7397079207920791</c:v>
                </c:pt>
                <c:pt idx="83" formatCode="General">
                  <c:v>-6.7572326732673265</c:v>
                </c:pt>
                <c:pt idx="84" formatCode="General">
                  <c:v>-6.7747574257425738</c:v>
                </c:pt>
                <c:pt idx="85" formatCode="General">
                  <c:v>-6.7922821782178211</c:v>
                </c:pt>
                <c:pt idx="86" formatCode="General">
                  <c:v>-6.8098069306930693</c:v>
                </c:pt>
                <c:pt idx="87" formatCode="General">
                  <c:v>-6.8273316831683166</c:v>
                </c:pt>
                <c:pt idx="88" formatCode="General">
                  <c:v>-6.8448564356435639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1EF-44BA-AAAA-9AD66152902A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11EF-44BA-AAAA-9AD66152902A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-174.57772277227724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-136.5330198019802</c:v>
                      </c:pt>
                      <c:pt idx="1">
                        <c:v>-133.73970297029703</c:v>
                      </c:pt>
                      <c:pt idx="2">
                        <c:v>-131.11792079207922</c:v>
                      </c:pt>
                      <c:pt idx="3">
                        <c:v>-128.51841584158416</c:v>
                      </c:pt>
                      <c:pt idx="4" formatCode="General">
                        <c:v>-126.2530693069307</c:v>
                      </c:pt>
                      <c:pt idx="5" formatCode="General">
                        <c:v>-123.98772277227724</c:v>
                      </c:pt>
                      <c:pt idx="6" formatCode="General">
                        <c:v>-122.0140099009901</c:v>
                      </c:pt>
                      <c:pt idx="7" formatCode="General">
                        <c:v>-120.29123762376238</c:v>
                      </c:pt>
                      <c:pt idx="8" formatCode="General">
                        <c:v>-118.57642202970297</c:v>
                      </c:pt>
                      <c:pt idx="9" formatCode="General">
                        <c:v>-117.4901844059406</c:v>
                      </c:pt>
                      <c:pt idx="10" formatCode="General">
                        <c:v>-116.40394678217822</c:v>
                      </c:pt>
                      <c:pt idx="11" formatCode="General">
                        <c:v>-115.31770915841584</c:v>
                      </c:pt>
                      <c:pt idx="12" formatCode="General">
                        <c:v>-114.23147153465347</c:v>
                      </c:pt>
                      <c:pt idx="13" formatCode="General">
                        <c:v>-113.14523391089109</c:v>
                      </c:pt>
                      <c:pt idx="14" formatCode="General">
                        <c:v>-112.05899628712871</c:v>
                      </c:pt>
                      <c:pt idx="15" formatCode="General">
                        <c:v>-110.97275866336633</c:v>
                      </c:pt>
                      <c:pt idx="16" formatCode="General">
                        <c:v>-109.88652103960396</c:v>
                      </c:pt>
                      <c:pt idx="17" formatCode="General">
                        <c:v>-108.80028341584158</c:v>
                      </c:pt>
                      <c:pt idx="18" formatCode="General">
                        <c:v>-107.7140457920792</c:v>
                      </c:pt>
                      <c:pt idx="19" formatCode="General">
                        <c:v>-106.90128712871287</c:v>
                      </c:pt>
                      <c:pt idx="20" formatCode="General">
                        <c:v>-106.11475247524751</c:v>
                      </c:pt>
                      <c:pt idx="21" formatCode="General">
                        <c:v>-105.37026732673267</c:v>
                      </c:pt>
                      <c:pt idx="22" formatCode="General">
                        <c:v>-104.69224752475247</c:v>
                      </c:pt>
                      <c:pt idx="23" formatCode="General">
                        <c:v>-104.01422772277228</c:v>
                      </c:pt>
                      <c:pt idx="24" formatCode="General">
                        <c:v>-103.38753731343283</c:v>
                      </c:pt>
                      <c:pt idx="25" formatCode="General">
                        <c:v>-102.76902985074626</c:v>
                      </c:pt>
                      <c:pt idx="26" formatCode="General">
                        <c:v>-102.17820792079208</c:v>
                      </c:pt>
                      <c:pt idx="27" formatCode="General">
                        <c:v>-101.63880198019801</c:v>
                      </c:pt>
                      <c:pt idx="28" formatCode="General">
                        <c:v>-101.09939603960396</c:v>
                      </c:pt>
                      <c:pt idx="29" formatCode="General">
                        <c:v>-101.46405940594059</c:v>
                      </c:pt>
                      <c:pt idx="30" formatCode="General">
                        <c:v>-102.02049504950494</c:v>
                      </c:pt>
                      <c:pt idx="31" formatCode="General">
                        <c:v>-102.57039603960395</c:v>
                      </c:pt>
                      <c:pt idx="32" formatCode="General">
                        <c:v>-103.10504950495049</c:v>
                      </c:pt>
                      <c:pt idx="33" formatCode="General">
                        <c:v>-103.63970297029702</c:v>
                      </c:pt>
                      <c:pt idx="34" formatCode="General">
                        <c:v>-104.16115841584158</c:v>
                      </c:pt>
                      <c:pt idx="35" formatCode="General">
                        <c:v>-104.67878217821782</c:v>
                      </c:pt>
                      <c:pt idx="36" formatCode="General">
                        <c:v>-105.19670297029703</c:v>
                      </c:pt>
                      <c:pt idx="37" formatCode="General">
                        <c:v>-105.71551485148515</c:v>
                      </c:pt>
                      <c:pt idx="38" formatCode="General">
                        <c:v>-106.23432673267327</c:v>
                      </c:pt>
                      <c:pt idx="39" formatCode="General">
                        <c:v>-106.74739603960397</c:v>
                      </c:pt>
                      <c:pt idx="40" formatCode="General">
                        <c:v>-107.25828712871288</c:v>
                      </c:pt>
                      <c:pt idx="41" formatCode="General">
                        <c:v>-107.76917821782179</c:v>
                      </c:pt>
                      <c:pt idx="42" formatCode="General">
                        <c:v>-108.2800693069307</c:v>
                      </c:pt>
                      <c:pt idx="43" formatCode="General">
                        <c:v>-108.79096039603961</c:v>
                      </c:pt>
                      <c:pt idx="44" formatCode="General">
                        <c:v>-109.30185148514852</c:v>
                      </c:pt>
                      <c:pt idx="45" formatCode="General">
                        <c:v>-109.81274257425743</c:v>
                      </c:pt>
                      <c:pt idx="46" formatCode="General">
                        <c:v>-110.32363366336634</c:v>
                      </c:pt>
                      <c:pt idx="47" formatCode="General">
                        <c:v>-110.83452475247526</c:v>
                      </c:pt>
                      <c:pt idx="48" formatCode="General">
                        <c:v>-111.34541584158417</c:v>
                      </c:pt>
                      <c:pt idx="49" formatCode="General">
                        <c:v>-111.84375340768278</c:v>
                      </c:pt>
                      <c:pt idx="50" formatCode="General">
                        <c:v>-112.33455885997522</c:v>
                      </c:pt>
                      <c:pt idx="51" formatCode="General">
                        <c:v>-112.82536431226767</c:v>
                      </c:pt>
                      <c:pt idx="52" formatCode="General">
                        <c:v>-113.3161697645601</c:v>
                      </c:pt>
                      <c:pt idx="53" formatCode="General">
                        <c:v>-113.80697521685254</c:v>
                      </c:pt>
                      <c:pt idx="54" formatCode="General">
                        <c:v>-114.29778066914498</c:v>
                      </c:pt>
                      <c:pt idx="55" formatCode="General">
                        <c:v>-114.78858612143742</c:v>
                      </c:pt>
                      <c:pt idx="56" formatCode="General">
                        <c:v>-115.27939157372987</c:v>
                      </c:pt>
                      <c:pt idx="57" formatCode="General">
                        <c:v>-115.7701970260223</c:v>
                      </c:pt>
                      <c:pt idx="58" formatCode="General">
                        <c:v>-116.26100247831474</c:v>
                      </c:pt>
                      <c:pt idx="59" formatCode="General">
                        <c:v>-116.74200866336633</c:v>
                      </c:pt>
                      <c:pt idx="60" formatCode="General">
                        <c:v>-117.21458292079208</c:v>
                      </c:pt>
                      <c:pt idx="61" formatCode="General">
                        <c:v>-117.68715717821782</c:v>
                      </c:pt>
                      <c:pt idx="62" formatCode="General">
                        <c:v>-118.15973143564356</c:v>
                      </c:pt>
                      <c:pt idx="63" formatCode="General">
                        <c:v>-118.6323056930693</c:v>
                      </c:pt>
                      <c:pt idx="64" formatCode="General">
                        <c:v>-119.10487995049505</c:v>
                      </c:pt>
                      <c:pt idx="65" formatCode="General">
                        <c:v>-119.57745420792079</c:v>
                      </c:pt>
                      <c:pt idx="66" formatCode="General">
                        <c:v>-120.05002846534653</c:v>
                      </c:pt>
                      <c:pt idx="67" formatCode="General">
                        <c:v>-120.52260272277228</c:v>
                      </c:pt>
                      <c:pt idx="68" formatCode="General">
                        <c:v>-120.99517698019801</c:v>
                      </c:pt>
                      <c:pt idx="69" formatCode="General">
                        <c:v>-121.45842255266419</c:v>
                      </c:pt>
                      <c:pt idx="70" formatCode="General">
                        <c:v>-121.9096741016109</c:v>
                      </c:pt>
                      <c:pt idx="71" formatCode="General">
                        <c:v>-122.36092565055762</c:v>
                      </c:pt>
                      <c:pt idx="72" formatCode="General">
                        <c:v>-122.81217719950433</c:v>
                      </c:pt>
                      <c:pt idx="73" formatCode="General">
                        <c:v>-123.26342874845105</c:v>
                      </c:pt>
                      <c:pt idx="74" formatCode="General">
                        <c:v>-123.71468029739776</c:v>
                      </c:pt>
                      <c:pt idx="75" formatCode="General">
                        <c:v>-124.16593184634448</c:v>
                      </c:pt>
                      <c:pt idx="76" formatCode="General">
                        <c:v>-124.61718339529119</c:v>
                      </c:pt>
                      <c:pt idx="77" formatCode="General">
                        <c:v>-125.06843494423791</c:v>
                      </c:pt>
                      <c:pt idx="78" formatCode="General">
                        <c:v>-125.51968649318462</c:v>
                      </c:pt>
                      <c:pt idx="79" formatCode="General">
                        <c:v>-125.96596039603959</c:v>
                      </c:pt>
                      <c:pt idx="80" formatCode="General">
                        <c:v>-126.40299009900988</c:v>
                      </c:pt>
                      <c:pt idx="81" formatCode="General">
                        <c:v>-126.84001980198019</c:v>
                      </c:pt>
                      <c:pt idx="82" formatCode="General">
                        <c:v>-127.27704950495048</c:v>
                      </c:pt>
                      <c:pt idx="83" formatCode="General">
                        <c:v>-127.71407920792079</c:v>
                      </c:pt>
                      <c:pt idx="84" formatCode="General">
                        <c:v>-128.15110891089108</c:v>
                      </c:pt>
                      <c:pt idx="85" formatCode="General">
                        <c:v>-128.58813861386139</c:v>
                      </c:pt>
                      <c:pt idx="86" formatCode="General">
                        <c:v>-129.0251683168317</c:v>
                      </c:pt>
                      <c:pt idx="87" formatCode="General">
                        <c:v>-129.46219801980197</c:v>
                      </c:pt>
                      <c:pt idx="88" formatCode="General">
                        <c:v>-129.89922772277228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1EF-44BA-AAAA-9AD66152902A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-174.57772277227724</c:v>
                      </c:pt>
                      <c:pt idx="1">
                        <c:v>-171.01623762376238</c:v>
                      </c:pt>
                      <c:pt idx="2">
                        <c:v>-167.67366336633663</c:v>
                      </c:pt>
                      <c:pt idx="3">
                        <c:v>-164.35955445544553</c:v>
                      </c:pt>
                      <c:pt idx="4" formatCode="General">
                        <c:v>-161.47242574257425</c:v>
                      </c:pt>
                      <c:pt idx="5" formatCode="General">
                        <c:v>-158.58529702970296</c:v>
                      </c:pt>
                      <c:pt idx="6" formatCode="General">
                        <c:v>-156.03237623762377</c:v>
                      </c:pt>
                      <c:pt idx="7" formatCode="General">
                        <c:v>-153.76702970297029</c:v>
                      </c:pt>
                      <c:pt idx="8" formatCode="General">
                        <c:v>-151.51140099009902</c:v>
                      </c:pt>
                      <c:pt idx="9" formatCode="General">
                        <c:v>-150.0234801980198</c:v>
                      </c:pt>
                      <c:pt idx="10" formatCode="General">
                        <c:v>-148.5355594059406</c:v>
                      </c:pt>
                      <c:pt idx="11" formatCode="General">
                        <c:v>-147.04763861386138</c:v>
                      </c:pt>
                      <c:pt idx="12" formatCode="General">
                        <c:v>-145.55971782178219</c:v>
                      </c:pt>
                      <c:pt idx="13" formatCode="General">
                        <c:v>-144.07179702970296</c:v>
                      </c:pt>
                      <c:pt idx="14" formatCode="General">
                        <c:v>-142.58387623762377</c:v>
                      </c:pt>
                      <c:pt idx="15" formatCode="General">
                        <c:v>-141.09595544554455</c:v>
                      </c:pt>
                      <c:pt idx="16" formatCode="General">
                        <c:v>-139.60803465346535</c:v>
                      </c:pt>
                      <c:pt idx="17" formatCode="General">
                        <c:v>-138.12011386138616</c:v>
                      </c:pt>
                      <c:pt idx="18" formatCode="General">
                        <c:v>-136.63219306930694</c:v>
                      </c:pt>
                      <c:pt idx="19" formatCode="General">
                        <c:v>-135.5089108910891</c:v>
                      </c:pt>
                      <c:pt idx="20" formatCode="General">
                        <c:v>-134.42059405940594</c:v>
                      </c:pt>
                      <c:pt idx="21" formatCode="General">
                        <c:v>-133.38783168316832</c:v>
                      </c:pt>
                      <c:pt idx="22" formatCode="General">
                        <c:v>-132.4428811881188</c:v>
                      </c:pt>
                      <c:pt idx="23" formatCode="General">
                        <c:v>-131.49793069306929</c:v>
                      </c:pt>
                      <c:pt idx="24" formatCode="General">
                        <c:v>-130.62238805970148</c:v>
                      </c:pt>
                      <c:pt idx="25" formatCode="General">
                        <c:v>-129.75791044776119</c:v>
                      </c:pt>
                      <c:pt idx="26" formatCode="General">
                        <c:v>-128.93041584158416</c:v>
                      </c:pt>
                      <c:pt idx="27" formatCode="General">
                        <c:v>-128.17160396039603</c:v>
                      </c:pt>
                      <c:pt idx="28" formatCode="General">
                        <c:v>-127.41279207920792</c:v>
                      </c:pt>
                      <c:pt idx="29" formatCode="General">
                        <c:v>-127.85831683168317</c:v>
                      </c:pt>
                      <c:pt idx="30" formatCode="General">
                        <c:v>-128.55930693069305</c:v>
                      </c:pt>
                      <c:pt idx="31" formatCode="General">
                        <c:v>-129.25198019801979</c:v>
                      </c:pt>
                      <c:pt idx="32" formatCode="General">
                        <c:v>-129.92524752475248</c:v>
                      </c:pt>
                      <c:pt idx="33" formatCode="General">
                        <c:v>-130.59851485148516</c:v>
                      </c:pt>
                      <c:pt idx="34" formatCode="General">
                        <c:v>-131.25520792079209</c:v>
                      </c:pt>
                      <c:pt idx="35" formatCode="General">
                        <c:v>-131.9070891089109</c:v>
                      </c:pt>
                      <c:pt idx="36" formatCode="General">
                        <c:v>-132.55936633663364</c:v>
                      </c:pt>
                      <c:pt idx="37" formatCode="General">
                        <c:v>-133.21283168316833</c:v>
                      </c:pt>
                      <c:pt idx="38" formatCode="General">
                        <c:v>-133.86629702970299</c:v>
                      </c:pt>
                      <c:pt idx="39" formatCode="General">
                        <c:v>-134.51258415841585</c:v>
                      </c:pt>
                      <c:pt idx="40" formatCode="General">
                        <c:v>-135.15614851485151</c:v>
                      </c:pt>
                      <c:pt idx="41" formatCode="General">
                        <c:v>-135.79971287128714</c:v>
                      </c:pt>
                      <c:pt idx="42" formatCode="General">
                        <c:v>-136.4432772277228</c:v>
                      </c:pt>
                      <c:pt idx="43" formatCode="General">
                        <c:v>-137.08684158415844</c:v>
                      </c:pt>
                      <c:pt idx="44" formatCode="General">
                        <c:v>-137.73040594059407</c:v>
                      </c:pt>
                      <c:pt idx="45" formatCode="General">
                        <c:v>-138.37397029702973</c:v>
                      </c:pt>
                      <c:pt idx="46" formatCode="General">
                        <c:v>-139.01753465346536</c:v>
                      </c:pt>
                      <c:pt idx="47" formatCode="General">
                        <c:v>-139.66109900990102</c:v>
                      </c:pt>
                      <c:pt idx="48" formatCode="General">
                        <c:v>-140.30466336633665</c:v>
                      </c:pt>
                      <c:pt idx="49" formatCode="General">
                        <c:v>-140.93249318463447</c:v>
                      </c:pt>
                      <c:pt idx="50" formatCode="General">
                        <c:v>-141.55088228004959</c:v>
                      </c:pt>
                      <c:pt idx="51" formatCode="General">
                        <c:v>-142.16927137546469</c:v>
                      </c:pt>
                      <c:pt idx="52" formatCode="General">
                        <c:v>-142.78766047087981</c:v>
                      </c:pt>
                      <c:pt idx="53" formatCode="General">
                        <c:v>-143.40604956629494</c:v>
                      </c:pt>
                      <c:pt idx="54" formatCode="General">
                        <c:v>-144.02443866171004</c:v>
                      </c:pt>
                      <c:pt idx="55" formatCode="General">
                        <c:v>-144.64282775712516</c:v>
                      </c:pt>
                      <c:pt idx="56" formatCode="General">
                        <c:v>-145.26121685254026</c:v>
                      </c:pt>
                      <c:pt idx="57" formatCode="General">
                        <c:v>-145.87960594795538</c:v>
                      </c:pt>
                      <c:pt idx="58" formatCode="General">
                        <c:v>-146.49799504337051</c:v>
                      </c:pt>
                      <c:pt idx="59" formatCode="General">
                        <c:v>-147.10405198019802</c:v>
                      </c:pt>
                      <c:pt idx="60" formatCode="General">
                        <c:v>-147.69949752475247</c:v>
                      </c:pt>
                      <c:pt idx="61" formatCode="General">
                        <c:v>-148.29494306930692</c:v>
                      </c:pt>
                      <c:pt idx="62" formatCode="General">
                        <c:v>-148.89038861386138</c:v>
                      </c:pt>
                      <c:pt idx="63" formatCode="General">
                        <c:v>-149.48583415841583</c:v>
                      </c:pt>
                      <c:pt idx="64" formatCode="General">
                        <c:v>-150.08127970297031</c:v>
                      </c:pt>
                      <c:pt idx="65" formatCode="General">
                        <c:v>-150.67672524752476</c:v>
                      </c:pt>
                      <c:pt idx="66" formatCode="General">
                        <c:v>-151.27217079207921</c:v>
                      </c:pt>
                      <c:pt idx="67" formatCode="General">
                        <c:v>-151.86761633663366</c:v>
                      </c:pt>
                      <c:pt idx="68" formatCode="General">
                        <c:v>-152.46306188118811</c:v>
                      </c:pt>
                      <c:pt idx="69" formatCode="General">
                        <c:v>-153.04677323420074</c:v>
                      </c:pt>
                      <c:pt idx="70" formatCode="General">
                        <c:v>-153.61539776951673</c:v>
                      </c:pt>
                      <c:pt idx="71" formatCode="General">
                        <c:v>-154.18402230483272</c:v>
                      </c:pt>
                      <c:pt idx="72" formatCode="General">
                        <c:v>-154.75264684014869</c:v>
                      </c:pt>
                      <c:pt idx="73" formatCode="General">
                        <c:v>-155.32127137546468</c:v>
                      </c:pt>
                      <c:pt idx="74" formatCode="General">
                        <c:v>-155.88989591078067</c:v>
                      </c:pt>
                      <c:pt idx="75" formatCode="General">
                        <c:v>-156.45852044609666</c:v>
                      </c:pt>
                      <c:pt idx="76" formatCode="General">
                        <c:v>-157.02714498141262</c:v>
                      </c:pt>
                      <c:pt idx="77" formatCode="General">
                        <c:v>-157.59576951672861</c:v>
                      </c:pt>
                      <c:pt idx="78" formatCode="General">
                        <c:v>-158.1643940520446</c:v>
                      </c:pt>
                      <c:pt idx="79" formatCode="General">
                        <c:v>-158.72674257425743</c:v>
                      </c:pt>
                      <c:pt idx="80" formatCode="General">
                        <c:v>-159.27743564356436</c:v>
                      </c:pt>
                      <c:pt idx="81" formatCode="General">
                        <c:v>-159.82812871287129</c:v>
                      </c:pt>
                      <c:pt idx="82" formatCode="General">
                        <c:v>-160.37882178217822</c:v>
                      </c:pt>
                      <c:pt idx="83" formatCode="General">
                        <c:v>-160.92951485148515</c:v>
                      </c:pt>
                      <c:pt idx="84" formatCode="General">
                        <c:v>-161.48020792079208</c:v>
                      </c:pt>
                      <c:pt idx="85" formatCode="General">
                        <c:v>-162.03090099009901</c:v>
                      </c:pt>
                      <c:pt idx="86" formatCode="General">
                        <c:v>-162.58159405940594</c:v>
                      </c:pt>
                      <c:pt idx="87" formatCode="General">
                        <c:v>-163.13228712871287</c:v>
                      </c:pt>
                      <c:pt idx="88" formatCode="General">
                        <c:v>-163.68298019801981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-48.673792079207914</c:v>
                      </c:pt>
                      <c:pt idx="27" formatCode="General">
                        <c:v>-48.573198019801978</c:v>
                      </c:pt>
                      <c:pt idx="28" formatCode="General">
                        <c:v>-48.472603960396036</c:v>
                      </c:pt>
                      <c:pt idx="29" formatCode="General">
                        <c:v>-48.675544554455442</c:v>
                      </c:pt>
                      <c:pt idx="30" formatCode="General">
                        <c:v>-48.94287128712871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-53.666273853779437</c:v>
                      </c:pt>
                      <c:pt idx="50" formatCode="General">
                        <c:v>-53.901912019826526</c:v>
                      </c:pt>
                      <c:pt idx="51" formatCode="General">
                        <c:v>-54.137550185873607</c:v>
                      </c:pt>
                      <c:pt idx="52" formatCode="General">
                        <c:v>-54.373188351920696</c:v>
                      </c:pt>
                      <c:pt idx="53" formatCode="General">
                        <c:v>-54.608826517967785</c:v>
                      </c:pt>
                      <c:pt idx="54" formatCode="General">
                        <c:v>-54.844464684014874</c:v>
                      </c:pt>
                      <c:pt idx="55" formatCode="General">
                        <c:v>-55.080102850061962</c:v>
                      </c:pt>
                      <c:pt idx="56" formatCode="General">
                        <c:v>-55.315741016109044</c:v>
                      </c:pt>
                      <c:pt idx="57" formatCode="General">
                        <c:v>-55.551379182156133</c:v>
                      </c:pt>
                      <c:pt idx="58" formatCode="General">
                        <c:v>-55.787017348203221</c:v>
                      </c:pt>
                      <c:pt idx="59" formatCode="General">
                        <c:v>-56.017922029702973</c:v>
                      </c:pt>
                      <c:pt idx="60" formatCode="General">
                        <c:v>-56.244753712871287</c:v>
                      </c:pt>
                      <c:pt idx="61" formatCode="General">
                        <c:v>-56.4715853960396</c:v>
                      </c:pt>
                      <c:pt idx="62" formatCode="General">
                        <c:v>-56.698417079207921</c:v>
                      </c:pt>
                      <c:pt idx="63" formatCode="General">
                        <c:v>-56.925248762376235</c:v>
                      </c:pt>
                      <c:pt idx="64" formatCode="General">
                        <c:v>-57.152080445544556</c:v>
                      </c:pt>
                      <c:pt idx="65" formatCode="General">
                        <c:v>-57.378912128712869</c:v>
                      </c:pt>
                      <c:pt idx="66" formatCode="General">
                        <c:v>-57.605743811881183</c:v>
                      </c:pt>
                      <c:pt idx="67" formatCode="General">
                        <c:v>-57.832575495049504</c:v>
                      </c:pt>
                      <c:pt idx="68" formatCode="General">
                        <c:v>-58.059407178217818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-60.444396039603951</c:v>
                      </c:pt>
                      <c:pt idx="80" formatCode="General">
                        <c:v>-60.654099009900989</c:v>
                      </c:pt>
                      <c:pt idx="81" formatCode="General">
                        <c:v>-60.863801980198019</c:v>
                      </c:pt>
                      <c:pt idx="82" formatCode="General">
                        <c:v>-61.07350495049505</c:v>
                      </c:pt>
                      <c:pt idx="83" formatCode="General">
                        <c:v>-61.28320792079208</c:v>
                      </c:pt>
                      <c:pt idx="84" formatCode="General">
                        <c:v>-61.49291089108911</c:v>
                      </c:pt>
                      <c:pt idx="85" formatCode="General">
                        <c:v>-61.702613861386141</c:v>
                      </c:pt>
                      <c:pt idx="86" formatCode="General">
                        <c:v>-61.912316831683171</c:v>
                      </c:pt>
                      <c:pt idx="87" formatCode="General">
                        <c:v>-62.122019801980201</c:v>
                      </c:pt>
                      <c:pt idx="88" formatCode="General">
                        <c:v>-62.331722772277232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-26.752207920792078</c:v>
                      </c:pt>
                      <c:pt idx="27" formatCode="General">
                        <c:v>-26.53280198019802</c:v>
                      </c:pt>
                      <c:pt idx="28" formatCode="General">
                        <c:v>-26.313396039603958</c:v>
                      </c:pt>
                      <c:pt idx="29" formatCode="General">
                        <c:v>-26.394257425742573</c:v>
                      </c:pt>
                      <c:pt idx="30" formatCode="General">
                        <c:v>-26.538811881188117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-29.088739776951673</c:v>
                      </c:pt>
                      <c:pt idx="50" formatCode="General">
                        <c:v>-29.21632342007435</c:v>
                      </c:pt>
                      <c:pt idx="51" formatCode="General">
                        <c:v>-29.343907063197026</c:v>
                      </c:pt>
                      <c:pt idx="52" formatCode="General">
                        <c:v>-29.471490706319702</c:v>
                      </c:pt>
                      <c:pt idx="53" formatCode="General">
                        <c:v>-29.599074349442379</c:v>
                      </c:pt>
                      <c:pt idx="54" formatCode="General">
                        <c:v>-29.726657992565055</c:v>
                      </c:pt>
                      <c:pt idx="55" formatCode="General">
                        <c:v>-29.854241635687732</c:v>
                      </c:pt>
                      <c:pt idx="56" formatCode="General">
                        <c:v>-29.981825278810408</c:v>
                      </c:pt>
                      <c:pt idx="57" formatCode="General">
                        <c:v>-30.109408921933085</c:v>
                      </c:pt>
                      <c:pt idx="58" formatCode="General">
                        <c:v>-30.236992565055761</c:v>
                      </c:pt>
                      <c:pt idx="59" formatCode="General">
                        <c:v>-30.362043316831681</c:v>
                      </c:pt>
                      <c:pt idx="60" formatCode="General">
                        <c:v>-30.484914603960394</c:v>
                      </c:pt>
                      <c:pt idx="61" formatCode="General">
                        <c:v>-30.607785891089108</c:v>
                      </c:pt>
                      <c:pt idx="62" formatCode="General">
                        <c:v>-30.730657178217822</c:v>
                      </c:pt>
                      <c:pt idx="63" formatCode="General">
                        <c:v>-30.853528465346532</c:v>
                      </c:pt>
                      <c:pt idx="64" formatCode="General">
                        <c:v>-30.976399752475245</c:v>
                      </c:pt>
                      <c:pt idx="65" formatCode="General">
                        <c:v>-31.099271039603959</c:v>
                      </c:pt>
                      <c:pt idx="66" formatCode="General">
                        <c:v>-31.222142326732673</c:v>
                      </c:pt>
                      <c:pt idx="67" formatCode="General">
                        <c:v>-31.345013613861386</c:v>
                      </c:pt>
                      <c:pt idx="68" formatCode="General">
                        <c:v>-31.467884900990096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-32.760782178217816</c:v>
                      </c:pt>
                      <c:pt idx="80" formatCode="General">
                        <c:v>-32.874445544554455</c:v>
                      </c:pt>
                      <c:pt idx="81" formatCode="General">
                        <c:v>-32.988108910891086</c:v>
                      </c:pt>
                      <c:pt idx="82" formatCode="General">
                        <c:v>-33.101772277227717</c:v>
                      </c:pt>
                      <c:pt idx="83" formatCode="General">
                        <c:v>-33.215435643564355</c:v>
                      </c:pt>
                      <c:pt idx="84" formatCode="General">
                        <c:v>-33.329099009900986</c:v>
                      </c:pt>
                      <c:pt idx="85" formatCode="General">
                        <c:v>-33.442762376237624</c:v>
                      </c:pt>
                      <c:pt idx="86" formatCode="General">
                        <c:v>-33.556425742574255</c:v>
                      </c:pt>
                      <c:pt idx="87" formatCode="General">
                        <c:v>-33.670089108910894</c:v>
                      </c:pt>
                      <c:pt idx="88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-31.291584158415841</c:v>
                      </c:pt>
                      <c:pt idx="1">
                        <c:v>-30.732871287128713</c:v>
                      </c:pt>
                      <c:pt idx="2">
                        <c:v>-30.21009900990099</c:v>
                      </c:pt>
                      <c:pt idx="3">
                        <c:v>-29.692277227722773</c:v>
                      </c:pt>
                      <c:pt idx="4" formatCode="General">
                        <c:v>-29.248712871287129</c:v>
                      </c:pt>
                      <c:pt idx="5" formatCode="General">
                        <c:v>-28.805148514851485</c:v>
                      </c:pt>
                      <c:pt idx="6" formatCode="General">
                        <c:v>-28.118910891089108</c:v>
                      </c:pt>
                      <c:pt idx="7" formatCode="General">
                        <c:v>-27.223861386138612</c:v>
                      </c:pt>
                      <c:pt idx="8" formatCode="General">
                        <c:v>-26.326987623762374</c:v>
                      </c:pt>
                      <c:pt idx="9" formatCode="General">
                        <c:v>-25.285997524752471</c:v>
                      </c:pt>
                      <c:pt idx="10" formatCode="General">
                        <c:v>-24.245007425742571</c:v>
                      </c:pt>
                      <c:pt idx="11" formatCode="General">
                        <c:v>-23.204017326732671</c:v>
                      </c:pt>
                      <c:pt idx="12" formatCode="General">
                        <c:v>-22.163027227722772</c:v>
                      </c:pt>
                      <c:pt idx="13" formatCode="General">
                        <c:v>-21.122037128712869</c:v>
                      </c:pt>
                      <c:pt idx="14" formatCode="General">
                        <c:v>-20.081047029702969</c:v>
                      </c:pt>
                      <c:pt idx="15" formatCode="General">
                        <c:v>-19.040056930693069</c:v>
                      </c:pt>
                      <c:pt idx="16" formatCode="General">
                        <c:v>-17.999066831683166</c:v>
                      </c:pt>
                      <c:pt idx="17" formatCode="General">
                        <c:v>-16.958076732673266</c:v>
                      </c:pt>
                      <c:pt idx="18" formatCode="General">
                        <c:v>-15.917086633663365</c:v>
                      </c:pt>
                      <c:pt idx="19" formatCode="General">
                        <c:v>-15.058415841584157</c:v>
                      </c:pt>
                      <c:pt idx="20" formatCode="General">
                        <c:v>-14.217227722772275</c:v>
                      </c:pt>
                      <c:pt idx="21" formatCode="General">
                        <c:v>-13.399980198019801</c:v>
                      </c:pt>
                      <c:pt idx="22" formatCode="General">
                        <c:v>-12.620574257425742</c:v>
                      </c:pt>
                      <c:pt idx="23" formatCode="General">
                        <c:v>-11.841168316831684</c:v>
                      </c:pt>
                      <c:pt idx="24" formatCode="General">
                        <c:v>-11.103731343283583</c:v>
                      </c:pt>
                      <c:pt idx="25" formatCode="General">
                        <c:v>-10.372985074626865</c:v>
                      </c:pt>
                      <c:pt idx="26" formatCode="General">
                        <c:v>-9.6612475247524738</c:v>
                      </c:pt>
                      <c:pt idx="27" formatCode="General">
                        <c:v>-8.9848118811881168</c:v>
                      </c:pt>
                      <c:pt idx="28" formatCode="General">
                        <c:v>-8.3083762376237598</c:v>
                      </c:pt>
                      <c:pt idx="29" formatCode="General">
                        <c:v>-8.2259405940594057</c:v>
                      </c:pt>
                      <c:pt idx="30" formatCode="General">
                        <c:v>-8.2695049504950493</c:v>
                      </c:pt>
                      <c:pt idx="31" formatCode="General">
                        <c:v>-8.3118811881188126</c:v>
                      </c:pt>
                      <c:pt idx="32" formatCode="General">
                        <c:v>-8.3514851485148522</c:v>
                      </c:pt>
                      <c:pt idx="33" formatCode="General">
                        <c:v>-8.3910891089108919</c:v>
                      </c:pt>
                      <c:pt idx="34" formatCode="General">
                        <c:v>-8.4300792079207927</c:v>
                      </c:pt>
                      <c:pt idx="35" formatCode="General">
                        <c:v>-8.4688910891089098</c:v>
                      </c:pt>
                      <c:pt idx="36" formatCode="General">
                        <c:v>-8.5079009900990101</c:v>
                      </c:pt>
                      <c:pt idx="37" formatCode="General">
                        <c:v>-8.5475049504950498</c:v>
                      </c:pt>
                      <c:pt idx="38" formatCode="General">
                        <c:v>-8.5871089108910894</c:v>
                      </c:pt>
                      <c:pt idx="39" formatCode="General">
                        <c:v>-8.626712871287129</c:v>
                      </c:pt>
                      <c:pt idx="40" formatCode="General">
                        <c:v>-8.6663168316831687</c:v>
                      </c:pt>
                      <c:pt idx="41" formatCode="General">
                        <c:v>-8.7059207920792083</c:v>
                      </c:pt>
                      <c:pt idx="42" formatCode="General">
                        <c:v>-8.745524752475248</c:v>
                      </c:pt>
                      <c:pt idx="43" formatCode="General">
                        <c:v>-8.7851287128712876</c:v>
                      </c:pt>
                      <c:pt idx="44" formatCode="General">
                        <c:v>-8.8247326732673272</c:v>
                      </c:pt>
                      <c:pt idx="45" formatCode="General">
                        <c:v>-8.8643366336633669</c:v>
                      </c:pt>
                      <c:pt idx="46" formatCode="General">
                        <c:v>-8.9039405940594047</c:v>
                      </c:pt>
                      <c:pt idx="47" formatCode="General">
                        <c:v>-8.9435445544554444</c:v>
                      </c:pt>
                      <c:pt idx="48" formatCode="General">
                        <c:v>-8.983148514851484</c:v>
                      </c:pt>
                      <c:pt idx="49" formatCode="General">
                        <c:v>-9.0224114002478313</c:v>
                      </c:pt>
                      <c:pt idx="50" formatCode="General">
                        <c:v>-9.0614696406443613</c:v>
                      </c:pt>
                      <c:pt idx="51" formatCode="General">
                        <c:v>-9.1005278810408914</c:v>
                      </c:pt>
                      <c:pt idx="52" formatCode="General">
                        <c:v>-9.1395861214374214</c:v>
                      </c:pt>
                      <c:pt idx="53" formatCode="General">
                        <c:v>-9.1786443618339515</c:v>
                      </c:pt>
                      <c:pt idx="54" formatCode="General">
                        <c:v>-9.2177026022304833</c:v>
                      </c:pt>
                      <c:pt idx="55" formatCode="General">
                        <c:v>-9.2567608426270134</c:v>
                      </c:pt>
                      <c:pt idx="56" formatCode="General">
                        <c:v>-9.2958190830235434</c:v>
                      </c:pt>
                      <c:pt idx="57" formatCode="General">
                        <c:v>-9.3348773234200735</c:v>
                      </c:pt>
                      <c:pt idx="58" formatCode="General">
                        <c:v>-9.3739355638166035</c:v>
                      </c:pt>
                      <c:pt idx="59" formatCode="General">
                        <c:v>-9.4123292079207914</c:v>
                      </c:pt>
                      <c:pt idx="60" formatCode="General">
                        <c:v>-9.4501509900990097</c:v>
                      </c:pt>
                      <c:pt idx="61" formatCode="General">
                        <c:v>-9.4879727722772262</c:v>
                      </c:pt>
                      <c:pt idx="62" formatCode="General">
                        <c:v>-9.5257945544554445</c:v>
                      </c:pt>
                      <c:pt idx="63" formatCode="General">
                        <c:v>-9.5636163366336628</c:v>
                      </c:pt>
                      <c:pt idx="64" formatCode="General">
                        <c:v>-9.6014381188118811</c:v>
                      </c:pt>
                      <c:pt idx="65" formatCode="General">
                        <c:v>-9.6392599009900977</c:v>
                      </c:pt>
                      <c:pt idx="66" formatCode="General">
                        <c:v>-9.677081683168316</c:v>
                      </c:pt>
                      <c:pt idx="67" formatCode="General">
                        <c:v>-9.7149034653465343</c:v>
                      </c:pt>
                      <c:pt idx="68" formatCode="General">
                        <c:v>-9.7527252475247508</c:v>
                      </c:pt>
                      <c:pt idx="69" formatCode="General">
                        <c:v>-9.7899603469640635</c:v>
                      </c:pt>
                      <c:pt idx="70" formatCode="General">
                        <c:v>-9.826441140024782</c:v>
                      </c:pt>
                      <c:pt idx="71" formatCode="General">
                        <c:v>-9.8629219330855005</c:v>
                      </c:pt>
                      <c:pt idx="72" formatCode="General">
                        <c:v>-9.899402726146219</c:v>
                      </c:pt>
                      <c:pt idx="73" formatCode="General">
                        <c:v>-9.9358835192069392</c:v>
                      </c:pt>
                      <c:pt idx="74" formatCode="General">
                        <c:v>-9.9723643122676577</c:v>
                      </c:pt>
                      <c:pt idx="75" formatCode="General">
                        <c:v>-10.008845105328376</c:v>
                      </c:pt>
                      <c:pt idx="76" formatCode="General">
                        <c:v>-10.045325898389095</c:v>
                      </c:pt>
                      <c:pt idx="77" formatCode="General">
                        <c:v>-10.081806691449813</c:v>
                      </c:pt>
                      <c:pt idx="78" formatCode="General">
                        <c:v>-10.118287484510532</c:v>
                      </c:pt>
                      <c:pt idx="79" formatCode="General">
                        <c:v>-10.154336633663366</c:v>
                      </c:pt>
                      <c:pt idx="80" formatCode="General">
                        <c:v>-10.18958415841584</c:v>
                      </c:pt>
                      <c:pt idx="81" formatCode="General">
                        <c:v>-10.224831683168317</c:v>
                      </c:pt>
                      <c:pt idx="82" formatCode="General">
                        <c:v>-10.260079207920791</c:v>
                      </c:pt>
                      <c:pt idx="83" formatCode="General">
                        <c:v>-10.295326732673267</c:v>
                      </c:pt>
                      <c:pt idx="84" formatCode="General">
                        <c:v>-10.330574257425742</c:v>
                      </c:pt>
                      <c:pt idx="85" formatCode="General">
                        <c:v>-10.365821782178218</c:v>
                      </c:pt>
                      <c:pt idx="86" formatCode="General">
                        <c:v>-10.401069306930692</c:v>
                      </c:pt>
                      <c:pt idx="87" formatCode="General">
                        <c:v>-10.436316831683168</c:v>
                      </c:pt>
                      <c:pt idx="88" formatCode="General">
                        <c:v>-10.471564356435643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-26.752207920792078</c:v>
                      </c:pt>
                      <c:pt idx="27" formatCode="General">
                        <c:v>-26.53280198019802</c:v>
                      </c:pt>
                      <c:pt idx="28" formatCode="General">
                        <c:v>-26.313396039603958</c:v>
                      </c:pt>
                      <c:pt idx="29" formatCode="General">
                        <c:v>-26.394257425742573</c:v>
                      </c:pt>
                      <c:pt idx="30" formatCode="General">
                        <c:v>-26.538811881188117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-29.088739776951673</c:v>
                      </c:pt>
                      <c:pt idx="50" formatCode="General">
                        <c:v>-29.21632342007435</c:v>
                      </c:pt>
                      <c:pt idx="51" formatCode="General">
                        <c:v>-29.343907063197026</c:v>
                      </c:pt>
                      <c:pt idx="52" formatCode="General">
                        <c:v>-29.471490706319702</c:v>
                      </c:pt>
                      <c:pt idx="53" formatCode="General">
                        <c:v>-29.599074349442379</c:v>
                      </c:pt>
                      <c:pt idx="54" formatCode="General">
                        <c:v>-29.726657992565055</c:v>
                      </c:pt>
                      <c:pt idx="55" formatCode="General">
                        <c:v>-29.854241635687732</c:v>
                      </c:pt>
                      <c:pt idx="56" formatCode="General">
                        <c:v>-29.981825278810408</c:v>
                      </c:pt>
                      <c:pt idx="57" formatCode="General">
                        <c:v>-30.109408921933085</c:v>
                      </c:pt>
                      <c:pt idx="58" formatCode="General">
                        <c:v>-30.236992565055761</c:v>
                      </c:pt>
                      <c:pt idx="59" formatCode="General">
                        <c:v>-30.362043316831681</c:v>
                      </c:pt>
                      <c:pt idx="60" formatCode="General">
                        <c:v>-30.484914603960394</c:v>
                      </c:pt>
                      <c:pt idx="61" formatCode="General">
                        <c:v>-30.607785891089108</c:v>
                      </c:pt>
                      <c:pt idx="62" formatCode="General">
                        <c:v>-30.730657178217822</c:v>
                      </c:pt>
                      <c:pt idx="63" formatCode="General">
                        <c:v>-30.853528465346532</c:v>
                      </c:pt>
                      <c:pt idx="64" formatCode="General">
                        <c:v>-30.976399752475245</c:v>
                      </c:pt>
                      <c:pt idx="65" formatCode="General">
                        <c:v>-31.099271039603959</c:v>
                      </c:pt>
                      <c:pt idx="66" formatCode="General">
                        <c:v>-31.222142326732673</c:v>
                      </c:pt>
                      <c:pt idx="67" formatCode="General">
                        <c:v>-31.345013613861386</c:v>
                      </c:pt>
                      <c:pt idx="68" formatCode="General">
                        <c:v>-31.467884900990096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-32.760782178217816</c:v>
                      </c:pt>
                      <c:pt idx="80" formatCode="General">
                        <c:v>-32.874445544554455</c:v>
                      </c:pt>
                      <c:pt idx="81" formatCode="General">
                        <c:v>-32.988108910891086</c:v>
                      </c:pt>
                      <c:pt idx="82" formatCode="General">
                        <c:v>-33.101772277227717</c:v>
                      </c:pt>
                      <c:pt idx="83" formatCode="General">
                        <c:v>-33.215435643564355</c:v>
                      </c:pt>
                      <c:pt idx="84" formatCode="General">
                        <c:v>-33.329099009900986</c:v>
                      </c:pt>
                      <c:pt idx="85" formatCode="General">
                        <c:v>-33.442762376237624</c:v>
                      </c:pt>
                      <c:pt idx="86" formatCode="General">
                        <c:v>-33.556425742574255</c:v>
                      </c:pt>
                      <c:pt idx="87" formatCode="General">
                        <c:v>-33.670089108910894</c:v>
                      </c:pt>
                      <c:pt idx="88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-44.797821782178218</c:v>
                      </c:pt>
                      <c:pt idx="1">
                        <c:v>-43.820198019801978</c:v>
                      </c:pt>
                      <c:pt idx="2">
                        <c:v>-42.901386138613859</c:v>
                      </c:pt>
                      <c:pt idx="3">
                        <c:v>-41.99</c:v>
                      </c:pt>
                      <c:pt idx="4" formatCode="General">
                        <c:v>-41.19</c:v>
                      </c:pt>
                      <c:pt idx="5" formatCode="General">
                        <c:v>-40.39</c:v>
                      </c:pt>
                      <c:pt idx="6" formatCode="General">
                        <c:v>-39.917821782178223</c:v>
                      </c:pt>
                      <c:pt idx="7" formatCode="General">
                        <c:v>-39.727722772277225</c:v>
                      </c:pt>
                      <c:pt idx="8" formatCode="General">
                        <c:v>-39.542970297029704</c:v>
                      </c:pt>
                      <c:pt idx="9" formatCode="General">
                        <c:v>-39.780594059405942</c:v>
                      </c:pt>
                      <c:pt idx="10" formatCode="General">
                        <c:v>-40.01821782178218</c:v>
                      </c:pt>
                      <c:pt idx="11" formatCode="General">
                        <c:v>-40.255841584158418</c:v>
                      </c:pt>
                      <c:pt idx="12" formatCode="General">
                        <c:v>-40.493465346534656</c:v>
                      </c:pt>
                      <c:pt idx="13" formatCode="General">
                        <c:v>-40.731089108910894</c:v>
                      </c:pt>
                      <c:pt idx="14" formatCode="General">
                        <c:v>-40.968712871287124</c:v>
                      </c:pt>
                      <c:pt idx="15" formatCode="General">
                        <c:v>-41.206336633663362</c:v>
                      </c:pt>
                      <c:pt idx="16" formatCode="General">
                        <c:v>-41.4439603960396</c:v>
                      </c:pt>
                      <c:pt idx="17" formatCode="General">
                        <c:v>-41.681584158415838</c:v>
                      </c:pt>
                      <c:pt idx="18" formatCode="General">
                        <c:v>-41.919207920792076</c:v>
                      </c:pt>
                      <c:pt idx="19" formatCode="General">
                        <c:v>-42.156831683168313</c:v>
                      </c:pt>
                      <c:pt idx="20" formatCode="General">
                        <c:v>-42.394455445544551</c:v>
                      </c:pt>
                      <c:pt idx="21" formatCode="General">
                        <c:v>-42.635148514851487</c:v>
                      </c:pt>
                      <c:pt idx="22" formatCode="General">
                        <c:v>-42.880693069306929</c:v>
                      </c:pt>
                      <c:pt idx="23" formatCode="General">
                        <c:v>-43.126237623762371</c:v>
                      </c:pt>
                      <c:pt idx="24" formatCode="General">
                        <c:v>-43.365970149253727</c:v>
                      </c:pt>
                      <c:pt idx="25" formatCode="General">
                        <c:v>-43.604776119402985</c:v>
                      </c:pt>
                      <c:pt idx="26" formatCode="General">
                        <c:v>-43.843168316831679</c:v>
                      </c:pt>
                      <c:pt idx="27" formatCode="General">
                        <c:v>-44.080792079207917</c:v>
                      </c:pt>
                      <c:pt idx="28" formatCode="General">
                        <c:v>-44.318415841584155</c:v>
                      </c:pt>
                      <c:pt idx="29" formatCode="General">
                        <c:v>-44.562574257425744</c:v>
                      </c:pt>
                      <c:pt idx="30" formatCode="General">
                        <c:v>-44.808118811881187</c:v>
                      </c:pt>
                      <c:pt idx="31" formatCode="General">
                        <c:v>-45.051287128712865</c:v>
                      </c:pt>
                      <c:pt idx="32" formatCode="General">
                        <c:v>-45.28891089108911</c:v>
                      </c:pt>
                      <c:pt idx="33" formatCode="General">
                        <c:v>-45.526534653465347</c:v>
                      </c:pt>
                      <c:pt idx="34" formatCode="General">
                        <c:v>-45.758019801980197</c:v>
                      </c:pt>
                      <c:pt idx="35" formatCode="General">
                        <c:v>-45.987722772277223</c:v>
                      </c:pt>
                      <c:pt idx="36" formatCode="General">
                        <c:v>-46.217425742574257</c:v>
                      </c:pt>
                      <c:pt idx="37" formatCode="General">
                        <c:v>-46.447128712871283</c:v>
                      </c:pt>
                      <c:pt idx="38" formatCode="General">
                        <c:v>-46.676831683168317</c:v>
                      </c:pt>
                      <c:pt idx="39" formatCode="General">
                        <c:v>-46.903663366336637</c:v>
                      </c:pt>
                      <c:pt idx="40" formatCode="General">
                        <c:v>-47.129405940594062</c:v>
                      </c:pt>
                      <c:pt idx="41" formatCode="General">
                        <c:v>-47.355148514851486</c:v>
                      </c:pt>
                      <c:pt idx="42" formatCode="General">
                        <c:v>-47.58089108910891</c:v>
                      </c:pt>
                      <c:pt idx="43" formatCode="General">
                        <c:v>-47.806633663366341</c:v>
                      </c:pt>
                      <c:pt idx="44" formatCode="General">
                        <c:v>-48.032376237623765</c:v>
                      </c:pt>
                      <c:pt idx="45" formatCode="General">
                        <c:v>-48.258118811881189</c:v>
                      </c:pt>
                      <c:pt idx="46" formatCode="General">
                        <c:v>-48.483861386138614</c:v>
                      </c:pt>
                      <c:pt idx="47" formatCode="General">
                        <c:v>-48.709603960396045</c:v>
                      </c:pt>
                      <c:pt idx="48" formatCode="General">
                        <c:v>-48.935346534653469</c:v>
                      </c:pt>
                      <c:pt idx="49" formatCode="General">
                        <c:v>-49.15506815365552</c:v>
                      </c:pt>
                      <c:pt idx="50" formatCode="General">
                        <c:v>-49.371177199504338</c:v>
                      </c:pt>
                      <c:pt idx="51" formatCode="General">
                        <c:v>-49.587286245353162</c:v>
                      </c:pt>
                      <c:pt idx="52" formatCode="General">
                        <c:v>-49.803395291201987</c:v>
                      </c:pt>
                      <c:pt idx="53" formatCode="General">
                        <c:v>-50.019504337050805</c:v>
                      </c:pt>
                      <c:pt idx="54" formatCode="General">
                        <c:v>-50.235613382899629</c:v>
                      </c:pt>
                      <c:pt idx="55" formatCode="General">
                        <c:v>-50.451722428748454</c:v>
                      </c:pt>
                      <c:pt idx="56" formatCode="General">
                        <c:v>-50.667831474597278</c:v>
                      </c:pt>
                      <c:pt idx="57" formatCode="General">
                        <c:v>-50.883940520446096</c:v>
                      </c:pt>
                      <c:pt idx="58" formatCode="General">
                        <c:v>-51.100049566294921</c:v>
                      </c:pt>
                      <c:pt idx="59" formatCode="General">
                        <c:v>-51.311757425742577</c:v>
                      </c:pt>
                      <c:pt idx="60" formatCode="General">
                        <c:v>-51.519678217821784</c:v>
                      </c:pt>
                      <c:pt idx="61" formatCode="General">
                        <c:v>-51.727599009900992</c:v>
                      </c:pt>
                      <c:pt idx="62" formatCode="General">
                        <c:v>-51.935519801980199</c:v>
                      </c:pt>
                      <c:pt idx="63" formatCode="General">
                        <c:v>-52.143440594059406</c:v>
                      </c:pt>
                      <c:pt idx="64" formatCode="General">
                        <c:v>-52.351361386138613</c:v>
                      </c:pt>
                      <c:pt idx="65" formatCode="General">
                        <c:v>-52.559282178217821</c:v>
                      </c:pt>
                      <c:pt idx="66" formatCode="General">
                        <c:v>-52.767202970297028</c:v>
                      </c:pt>
                      <c:pt idx="67" formatCode="General">
                        <c:v>-52.975123762376235</c:v>
                      </c:pt>
                      <c:pt idx="68" formatCode="General">
                        <c:v>-53.183044554455442</c:v>
                      </c:pt>
                      <c:pt idx="69" formatCode="General">
                        <c:v>-53.386741016109042</c:v>
                      </c:pt>
                      <c:pt idx="70" formatCode="General">
                        <c:v>-53.58500619578686</c:v>
                      </c:pt>
                      <c:pt idx="71" formatCode="General">
                        <c:v>-53.783271375464679</c:v>
                      </c:pt>
                      <c:pt idx="72" formatCode="General">
                        <c:v>-53.981536555142497</c:v>
                      </c:pt>
                      <c:pt idx="73" formatCode="General">
                        <c:v>-54.179801734820316</c:v>
                      </c:pt>
                      <c:pt idx="74" formatCode="General">
                        <c:v>-54.378066914498135</c:v>
                      </c:pt>
                      <c:pt idx="75" formatCode="General">
                        <c:v>-54.57633209417596</c:v>
                      </c:pt>
                      <c:pt idx="76" formatCode="General">
                        <c:v>-54.774597273853779</c:v>
                      </c:pt>
                      <c:pt idx="77" formatCode="General">
                        <c:v>-54.972862453531597</c:v>
                      </c:pt>
                      <c:pt idx="78" formatCode="General">
                        <c:v>-55.171127633209416</c:v>
                      </c:pt>
                      <c:pt idx="79" formatCode="General">
                        <c:v>-55.36722772277227</c:v>
                      </c:pt>
                      <c:pt idx="80" formatCode="General">
                        <c:v>-55.559306930693069</c:v>
                      </c:pt>
                      <c:pt idx="81" formatCode="General">
                        <c:v>-55.75138613861386</c:v>
                      </c:pt>
                      <c:pt idx="82" formatCode="General">
                        <c:v>-55.943465346534651</c:v>
                      </c:pt>
                      <c:pt idx="83" formatCode="General">
                        <c:v>-56.135544554455443</c:v>
                      </c:pt>
                      <c:pt idx="84" formatCode="General">
                        <c:v>-56.327623762376234</c:v>
                      </c:pt>
                      <c:pt idx="85" formatCode="General">
                        <c:v>-56.519702970297033</c:v>
                      </c:pt>
                      <c:pt idx="86" formatCode="General">
                        <c:v>-56.711782178217824</c:v>
                      </c:pt>
                      <c:pt idx="87" formatCode="General">
                        <c:v>-56.903861386138615</c:v>
                      </c:pt>
                      <c:pt idx="88" formatCode="General">
                        <c:v>-57.095940594059407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1EF-44BA-AAAA-9AD66152902A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chemeClr val="accent1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1EF-44BA-AAAA-9AD66152902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EF-46D6-A94F-2517E60135C4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-174.57772277227724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-136.5330198019802</c:v>
                      </c:pt>
                      <c:pt idx="1">
                        <c:v>-133.73970297029703</c:v>
                      </c:pt>
                      <c:pt idx="2">
                        <c:v>-131.11792079207922</c:v>
                      </c:pt>
                      <c:pt idx="3">
                        <c:v>-128.51841584158416</c:v>
                      </c:pt>
                      <c:pt idx="4" formatCode="General">
                        <c:v>-126.2530693069307</c:v>
                      </c:pt>
                      <c:pt idx="5" formatCode="General">
                        <c:v>-123.98772277227724</c:v>
                      </c:pt>
                      <c:pt idx="6" formatCode="General">
                        <c:v>-122.0140099009901</c:v>
                      </c:pt>
                      <c:pt idx="7" formatCode="General">
                        <c:v>-120.29123762376238</c:v>
                      </c:pt>
                      <c:pt idx="8" formatCode="General">
                        <c:v>-118.57642202970297</c:v>
                      </c:pt>
                      <c:pt idx="9" formatCode="General">
                        <c:v>-117.4901844059406</c:v>
                      </c:pt>
                      <c:pt idx="10" formatCode="General">
                        <c:v>-116.40394678217822</c:v>
                      </c:pt>
                      <c:pt idx="11" formatCode="General">
                        <c:v>-115.31770915841584</c:v>
                      </c:pt>
                      <c:pt idx="12" formatCode="General">
                        <c:v>-114.23147153465347</c:v>
                      </c:pt>
                      <c:pt idx="13" formatCode="General">
                        <c:v>-113.14523391089109</c:v>
                      </c:pt>
                      <c:pt idx="14" formatCode="General">
                        <c:v>-112.05899628712871</c:v>
                      </c:pt>
                      <c:pt idx="15" formatCode="General">
                        <c:v>-110.97275866336633</c:v>
                      </c:pt>
                      <c:pt idx="16" formatCode="General">
                        <c:v>-109.88652103960396</c:v>
                      </c:pt>
                      <c:pt idx="17" formatCode="General">
                        <c:v>-108.80028341584158</c:v>
                      </c:pt>
                      <c:pt idx="18" formatCode="General">
                        <c:v>-107.7140457920792</c:v>
                      </c:pt>
                      <c:pt idx="19" formatCode="General">
                        <c:v>-106.90128712871287</c:v>
                      </c:pt>
                      <c:pt idx="20" formatCode="General">
                        <c:v>-106.11475247524751</c:v>
                      </c:pt>
                      <c:pt idx="21" formatCode="General">
                        <c:v>-105.37026732673267</c:v>
                      </c:pt>
                      <c:pt idx="22" formatCode="General">
                        <c:v>-104.69224752475247</c:v>
                      </c:pt>
                      <c:pt idx="23" formatCode="General">
                        <c:v>-104.01422772277228</c:v>
                      </c:pt>
                      <c:pt idx="24" formatCode="General">
                        <c:v>-103.38753731343283</c:v>
                      </c:pt>
                      <c:pt idx="25" formatCode="General">
                        <c:v>-102.76902985074626</c:v>
                      </c:pt>
                      <c:pt idx="26" formatCode="General">
                        <c:v>-102.17820792079208</c:v>
                      </c:pt>
                      <c:pt idx="27" formatCode="General">
                        <c:v>-101.63880198019801</c:v>
                      </c:pt>
                      <c:pt idx="28" formatCode="General">
                        <c:v>-101.09939603960396</c:v>
                      </c:pt>
                      <c:pt idx="29" formatCode="General">
                        <c:v>-101.46405940594059</c:v>
                      </c:pt>
                      <c:pt idx="30" formatCode="General">
                        <c:v>-102.02049504950494</c:v>
                      </c:pt>
                      <c:pt idx="31" formatCode="General">
                        <c:v>-102.57039603960395</c:v>
                      </c:pt>
                      <c:pt idx="32" formatCode="General">
                        <c:v>-103.10504950495049</c:v>
                      </c:pt>
                      <c:pt idx="33" formatCode="General">
                        <c:v>-103.63970297029702</c:v>
                      </c:pt>
                      <c:pt idx="34" formatCode="General">
                        <c:v>-104.16115841584158</c:v>
                      </c:pt>
                      <c:pt idx="35" formatCode="General">
                        <c:v>-104.67878217821782</c:v>
                      </c:pt>
                      <c:pt idx="36" formatCode="General">
                        <c:v>-105.19670297029703</c:v>
                      </c:pt>
                      <c:pt idx="37" formatCode="General">
                        <c:v>-105.71551485148515</c:v>
                      </c:pt>
                      <c:pt idx="38" formatCode="General">
                        <c:v>-106.23432673267327</c:v>
                      </c:pt>
                      <c:pt idx="39" formatCode="General">
                        <c:v>-106.74739603960397</c:v>
                      </c:pt>
                      <c:pt idx="40" formatCode="General">
                        <c:v>-107.25828712871288</c:v>
                      </c:pt>
                      <c:pt idx="41" formatCode="General">
                        <c:v>-107.76917821782179</c:v>
                      </c:pt>
                      <c:pt idx="42" formatCode="General">
                        <c:v>-108.2800693069307</c:v>
                      </c:pt>
                      <c:pt idx="43" formatCode="General">
                        <c:v>-108.79096039603961</c:v>
                      </c:pt>
                      <c:pt idx="44" formatCode="General">
                        <c:v>-109.30185148514852</c:v>
                      </c:pt>
                      <c:pt idx="45" formatCode="General">
                        <c:v>-109.81274257425743</c:v>
                      </c:pt>
                      <c:pt idx="46" formatCode="General">
                        <c:v>-110.32363366336634</c:v>
                      </c:pt>
                      <c:pt idx="47" formatCode="General">
                        <c:v>-110.83452475247526</c:v>
                      </c:pt>
                      <c:pt idx="48" formatCode="General">
                        <c:v>-111.34541584158417</c:v>
                      </c:pt>
                      <c:pt idx="49" formatCode="General">
                        <c:v>-111.84375340768278</c:v>
                      </c:pt>
                      <c:pt idx="50" formatCode="General">
                        <c:v>-112.33455885997522</c:v>
                      </c:pt>
                      <c:pt idx="51" formatCode="General">
                        <c:v>-112.82536431226767</c:v>
                      </c:pt>
                      <c:pt idx="52" formatCode="General">
                        <c:v>-113.3161697645601</c:v>
                      </c:pt>
                      <c:pt idx="53" formatCode="General">
                        <c:v>-113.80697521685254</c:v>
                      </c:pt>
                      <c:pt idx="54" formatCode="General">
                        <c:v>-114.29778066914498</c:v>
                      </c:pt>
                      <c:pt idx="55" formatCode="General">
                        <c:v>-114.78858612143742</c:v>
                      </c:pt>
                      <c:pt idx="56" formatCode="General">
                        <c:v>-115.27939157372987</c:v>
                      </c:pt>
                      <c:pt idx="57" formatCode="General">
                        <c:v>-115.7701970260223</c:v>
                      </c:pt>
                      <c:pt idx="58" formatCode="General">
                        <c:v>-116.26100247831474</c:v>
                      </c:pt>
                      <c:pt idx="59" formatCode="General">
                        <c:v>-116.74200866336633</c:v>
                      </c:pt>
                      <c:pt idx="60" formatCode="General">
                        <c:v>-117.21458292079208</c:v>
                      </c:pt>
                      <c:pt idx="61" formatCode="General">
                        <c:v>-117.68715717821782</c:v>
                      </c:pt>
                      <c:pt idx="62" formatCode="General">
                        <c:v>-118.15973143564356</c:v>
                      </c:pt>
                      <c:pt idx="63" formatCode="General">
                        <c:v>-118.6323056930693</c:v>
                      </c:pt>
                      <c:pt idx="64" formatCode="General">
                        <c:v>-119.10487995049505</c:v>
                      </c:pt>
                      <c:pt idx="65" formatCode="General">
                        <c:v>-119.57745420792079</c:v>
                      </c:pt>
                      <c:pt idx="66" formatCode="General">
                        <c:v>-120.05002846534653</c:v>
                      </c:pt>
                      <c:pt idx="67" formatCode="General">
                        <c:v>-120.52260272277228</c:v>
                      </c:pt>
                      <c:pt idx="68" formatCode="General">
                        <c:v>-120.99517698019801</c:v>
                      </c:pt>
                      <c:pt idx="69" formatCode="General">
                        <c:v>-121.45842255266419</c:v>
                      </c:pt>
                      <c:pt idx="70" formatCode="General">
                        <c:v>-121.9096741016109</c:v>
                      </c:pt>
                      <c:pt idx="71" formatCode="General">
                        <c:v>-122.36092565055762</c:v>
                      </c:pt>
                      <c:pt idx="72" formatCode="General">
                        <c:v>-122.81217719950433</c:v>
                      </c:pt>
                      <c:pt idx="73" formatCode="General">
                        <c:v>-123.26342874845105</c:v>
                      </c:pt>
                      <c:pt idx="74" formatCode="General">
                        <c:v>-123.71468029739776</c:v>
                      </c:pt>
                      <c:pt idx="75" formatCode="General">
                        <c:v>-124.16593184634448</c:v>
                      </c:pt>
                      <c:pt idx="76" formatCode="General">
                        <c:v>-124.61718339529119</c:v>
                      </c:pt>
                      <c:pt idx="77" formatCode="General">
                        <c:v>-125.06843494423791</c:v>
                      </c:pt>
                      <c:pt idx="78" formatCode="General">
                        <c:v>-125.51968649318462</c:v>
                      </c:pt>
                      <c:pt idx="79" formatCode="General">
                        <c:v>-125.96596039603959</c:v>
                      </c:pt>
                      <c:pt idx="80" formatCode="General">
                        <c:v>-126.40299009900988</c:v>
                      </c:pt>
                      <c:pt idx="81" formatCode="General">
                        <c:v>-126.84001980198019</c:v>
                      </c:pt>
                      <c:pt idx="82" formatCode="General">
                        <c:v>-127.27704950495048</c:v>
                      </c:pt>
                      <c:pt idx="83" formatCode="General">
                        <c:v>-127.71407920792079</c:v>
                      </c:pt>
                      <c:pt idx="84" formatCode="General">
                        <c:v>-128.15110891089108</c:v>
                      </c:pt>
                      <c:pt idx="85" formatCode="General">
                        <c:v>-128.58813861386139</c:v>
                      </c:pt>
                      <c:pt idx="86" formatCode="General">
                        <c:v>-129.0251683168317</c:v>
                      </c:pt>
                      <c:pt idx="87" formatCode="General">
                        <c:v>-129.46219801980197</c:v>
                      </c:pt>
                      <c:pt idx="88" formatCode="General">
                        <c:v>-129.89922772277228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EF-46D6-A94F-2517E60135C4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-174.57772277227724</c:v>
                      </c:pt>
                      <c:pt idx="1">
                        <c:v>-171.01623762376238</c:v>
                      </c:pt>
                      <c:pt idx="2">
                        <c:v>-167.67366336633663</c:v>
                      </c:pt>
                      <c:pt idx="3">
                        <c:v>-164.35955445544553</c:v>
                      </c:pt>
                      <c:pt idx="4" formatCode="General">
                        <c:v>-161.47242574257425</c:v>
                      </c:pt>
                      <c:pt idx="5" formatCode="General">
                        <c:v>-158.58529702970296</c:v>
                      </c:pt>
                      <c:pt idx="6" formatCode="General">
                        <c:v>-156.03237623762377</c:v>
                      </c:pt>
                      <c:pt idx="7" formatCode="General">
                        <c:v>-153.76702970297029</c:v>
                      </c:pt>
                      <c:pt idx="8" formatCode="General">
                        <c:v>-151.51140099009902</c:v>
                      </c:pt>
                      <c:pt idx="9" formatCode="General">
                        <c:v>-150.0234801980198</c:v>
                      </c:pt>
                      <c:pt idx="10" formatCode="General">
                        <c:v>-148.5355594059406</c:v>
                      </c:pt>
                      <c:pt idx="11" formatCode="General">
                        <c:v>-147.04763861386138</c:v>
                      </c:pt>
                      <c:pt idx="12" formatCode="General">
                        <c:v>-145.55971782178219</c:v>
                      </c:pt>
                      <c:pt idx="13" formatCode="General">
                        <c:v>-144.07179702970296</c:v>
                      </c:pt>
                      <c:pt idx="14" formatCode="General">
                        <c:v>-142.58387623762377</c:v>
                      </c:pt>
                      <c:pt idx="15" formatCode="General">
                        <c:v>-141.09595544554455</c:v>
                      </c:pt>
                      <c:pt idx="16" formatCode="General">
                        <c:v>-139.60803465346535</c:v>
                      </c:pt>
                      <c:pt idx="17" formatCode="General">
                        <c:v>-138.12011386138616</c:v>
                      </c:pt>
                      <c:pt idx="18" formatCode="General">
                        <c:v>-136.63219306930694</c:v>
                      </c:pt>
                      <c:pt idx="19" formatCode="General">
                        <c:v>-135.5089108910891</c:v>
                      </c:pt>
                      <c:pt idx="20" formatCode="General">
                        <c:v>-134.42059405940594</c:v>
                      </c:pt>
                      <c:pt idx="21" formatCode="General">
                        <c:v>-133.38783168316832</c:v>
                      </c:pt>
                      <c:pt idx="22" formatCode="General">
                        <c:v>-132.4428811881188</c:v>
                      </c:pt>
                      <c:pt idx="23" formatCode="General">
                        <c:v>-131.49793069306929</c:v>
                      </c:pt>
                      <c:pt idx="24" formatCode="General">
                        <c:v>-130.62238805970148</c:v>
                      </c:pt>
                      <c:pt idx="25" formatCode="General">
                        <c:v>-129.75791044776119</c:v>
                      </c:pt>
                      <c:pt idx="26" formatCode="General">
                        <c:v>-128.93041584158416</c:v>
                      </c:pt>
                      <c:pt idx="27" formatCode="General">
                        <c:v>-128.17160396039603</c:v>
                      </c:pt>
                      <c:pt idx="28" formatCode="General">
                        <c:v>-127.41279207920792</c:v>
                      </c:pt>
                      <c:pt idx="29" formatCode="General">
                        <c:v>-127.85831683168317</c:v>
                      </c:pt>
                      <c:pt idx="30" formatCode="General">
                        <c:v>-128.55930693069305</c:v>
                      </c:pt>
                      <c:pt idx="31" formatCode="General">
                        <c:v>-129.25198019801979</c:v>
                      </c:pt>
                      <c:pt idx="32" formatCode="General">
                        <c:v>-129.92524752475248</c:v>
                      </c:pt>
                      <c:pt idx="33" formatCode="General">
                        <c:v>-130.59851485148516</c:v>
                      </c:pt>
                      <c:pt idx="34" formatCode="General">
                        <c:v>-131.25520792079209</c:v>
                      </c:pt>
                      <c:pt idx="35" formatCode="General">
                        <c:v>-131.9070891089109</c:v>
                      </c:pt>
                      <c:pt idx="36" formatCode="General">
                        <c:v>-132.55936633663364</c:v>
                      </c:pt>
                      <c:pt idx="37" formatCode="General">
                        <c:v>-133.21283168316833</c:v>
                      </c:pt>
                      <c:pt idx="38" formatCode="General">
                        <c:v>-133.86629702970299</c:v>
                      </c:pt>
                      <c:pt idx="39" formatCode="General">
                        <c:v>-134.51258415841585</c:v>
                      </c:pt>
                      <c:pt idx="40" formatCode="General">
                        <c:v>-135.15614851485151</c:v>
                      </c:pt>
                      <c:pt idx="41" formatCode="General">
                        <c:v>-135.79971287128714</c:v>
                      </c:pt>
                      <c:pt idx="42" formatCode="General">
                        <c:v>-136.4432772277228</c:v>
                      </c:pt>
                      <c:pt idx="43" formatCode="General">
                        <c:v>-137.08684158415844</c:v>
                      </c:pt>
                      <c:pt idx="44" formatCode="General">
                        <c:v>-137.73040594059407</c:v>
                      </c:pt>
                      <c:pt idx="45" formatCode="General">
                        <c:v>-138.37397029702973</c:v>
                      </c:pt>
                      <c:pt idx="46" formatCode="General">
                        <c:v>-139.01753465346536</c:v>
                      </c:pt>
                      <c:pt idx="47" formatCode="General">
                        <c:v>-139.66109900990102</c:v>
                      </c:pt>
                      <c:pt idx="48" formatCode="General">
                        <c:v>-140.30466336633665</c:v>
                      </c:pt>
                      <c:pt idx="49" formatCode="General">
                        <c:v>-140.93249318463447</c:v>
                      </c:pt>
                      <c:pt idx="50" formatCode="General">
                        <c:v>-141.55088228004959</c:v>
                      </c:pt>
                      <c:pt idx="51" formatCode="General">
                        <c:v>-142.16927137546469</c:v>
                      </c:pt>
                      <c:pt idx="52" formatCode="General">
                        <c:v>-142.78766047087981</c:v>
                      </c:pt>
                      <c:pt idx="53" formatCode="General">
                        <c:v>-143.40604956629494</c:v>
                      </c:pt>
                      <c:pt idx="54" formatCode="General">
                        <c:v>-144.02443866171004</c:v>
                      </c:pt>
                      <c:pt idx="55" formatCode="General">
                        <c:v>-144.64282775712516</c:v>
                      </c:pt>
                      <c:pt idx="56" formatCode="General">
                        <c:v>-145.26121685254026</c:v>
                      </c:pt>
                      <c:pt idx="57" formatCode="General">
                        <c:v>-145.87960594795538</c:v>
                      </c:pt>
                      <c:pt idx="58" formatCode="General">
                        <c:v>-146.49799504337051</c:v>
                      </c:pt>
                      <c:pt idx="59" formatCode="General">
                        <c:v>-147.10405198019802</c:v>
                      </c:pt>
                      <c:pt idx="60" formatCode="General">
                        <c:v>-147.69949752475247</c:v>
                      </c:pt>
                      <c:pt idx="61" formatCode="General">
                        <c:v>-148.29494306930692</c:v>
                      </c:pt>
                      <c:pt idx="62" formatCode="General">
                        <c:v>-148.89038861386138</c:v>
                      </c:pt>
                      <c:pt idx="63" formatCode="General">
                        <c:v>-149.48583415841583</c:v>
                      </c:pt>
                      <c:pt idx="64" formatCode="General">
                        <c:v>-150.08127970297031</c:v>
                      </c:pt>
                      <c:pt idx="65" formatCode="General">
                        <c:v>-150.67672524752476</c:v>
                      </c:pt>
                      <c:pt idx="66" formatCode="General">
                        <c:v>-151.27217079207921</c:v>
                      </c:pt>
                      <c:pt idx="67" formatCode="General">
                        <c:v>-151.86761633663366</c:v>
                      </c:pt>
                      <c:pt idx="68" formatCode="General">
                        <c:v>-152.46306188118811</c:v>
                      </c:pt>
                      <c:pt idx="69" formatCode="General">
                        <c:v>-153.04677323420074</c:v>
                      </c:pt>
                      <c:pt idx="70" formatCode="General">
                        <c:v>-153.61539776951673</c:v>
                      </c:pt>
                      <c:pt idx="71" formatCode="General">
                        <c:v>-154.18402230483272</c:v>
                      </c:pt>
                      <c:pt idx="72" formatCode="General">
                        <c:v>-154.75264684014869</c:v>
                      </c:pt>
                      <c:pt idx="73" formatCode="General">
                        <c:v>-155.32127137546468</c:v>
                      </c:pt>
                      <c:pt idx="74" formatCode="General">
                        <c:v>-155.88989591078067</c:v>
                      </c:pt>
                      <c:pt idx="75" formatCode="General">
                        <c:v>-156.45852044609666</c:v>
                      </c:pt>
                      <c:pt idx="76" formatCode="General">
                        <c:v>-157.02714498141262</c:v>
                      </c:pt>
                      <c:pt idx="77" formatCode="General">
                        <c:v>-157.59576951672861</c:v>
                      </c:pt>
                      <c:pt idx="78" formatCode="General">
                        <c:v>-158.1643940520446</c:v>
                      </c:pt>
                      <c:pt idx="79" formatCode="General">
                        <c:v>-158.72674257425743</c:v>
                      </c:pt>
                      <c:pt idx="80" formatCode="General">
                        <c:v>-159.27743564356436</c:v>
                      </c:pt>
                      <c:pt idx="81" formatCode="General">
                        <c:v>-159.82812871287129</c:v>
                      </c:pt>
                      <c:pt idx="82" formatCode="General">
                        <c:v>-160.37882178217822</c:v>
                      </c:pt>
                      <c:pt idx="83" formatCode="General">
                        <c:v>-160.92951485148515</c:v>
                      </c:pt>
                      <c:pt idx="84" formatCode="General">
                        <c:v>-161.48020792079208</c:v>
                      </c:pt>
                      <c:pt idx="85" formatCode="General">
                        <c:v>-162.03090099009901</c:v>
                      </c:pt>
                      <c:pt idx="86" formatCode="General">
                        <c:v>-162.58159405940594</c:v>
                      </c:pt>
                      <c:pt idx="87" formatCode="General">
                        <c:v>-163.13228712871287</c:v>
                      </c:pt>
                      <c:pt idx="88" formatCode="General">
                        <c:v>-163.68298019801981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EF-46D6-A94F-2517E60135C4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EF-46D6-A94F-2517E60135C4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EF-46D6-A94F-2517E60135C4}"/>
                  </c:ext>
                </c:extLst>
              </c15:ser>
            </c15:filteredScatterSeries>
            <c15:filteredScatterSeries>
              <c15:ser>
                <c:idx val="1"/>
                <c:order val="3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5EF-46D6-A94F-2517E60135C4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-48.673792079207914</c:v>
                      </c:pt>
                      <c:pt idx="27" formatCode="General">
                        <c:v>-48.573198019801978</c:v>
                      </c:pt>
                      <c:pt idx="28" formatCode="General">
                        <c:v>-48.472603960396036</c:v>
                      </c:pt>
                      <c:pt idx="29" formatCode="General">
                        <c:v>-48.675544554455442</c:v>
                      </c:pt>
                      <c:pt idx="30" formatCode="General">
                        <c:v>-48.94287128712871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-53.666273853779437</c:v>
                      </c:pt>
                      <c:pt idx="50" formatCode="General">
                        <c:v>-53.901912019826526</c:v>
                      </c:pt>
                      <c:pt idx="51" formatCode="General">
                        <c:v>-54.137550185873607</c:v>
                      </c:pt>
                      <c:pt idx="52" formatCode="General">
                        <c:v>-54.373188351920696</c:v>
                      </c:pt>
                      <c:pt idx="53" formatCode="General">
                        <c:v>-54.608826517967785</c:v>
                      </c:pt>
                      <c:pt idx="54" formatCode="General">
                        <c:v>-54.844464684014874</c:v>
                      </c:pt>
                      <c:pt idx="55" formatCode="General">
                        <c:v>-55.080102850061962</c:v>
                      </c:pt>
                      <c:pt idx="56" formatCode="General">
                        <c:v>-55.315741016109044</c:v>
                      </c:pt>
                      <c:pt idx="57" formatCode="General">
                        <c:v>-55.551379182156133</c:v>
                      </c:pt>
                      <c:pt idx="58" formatCode="General">
                        <c:v>-55.787017348203221</c:v>
                      </c:pt>
                      <c:pt idx="59" formatCode="General">
                        <c:v>-56.017922029702973</c:v>
                      </c:pt>
                      <c:pt idx="60" formatCode="General">
                        <c:v>-56.244753712871287</c:v>
                      </c:pt>
                      <c:pt idx="61" formatCode="General">
                        <c:v>-56.4715853960396</c:v>
                      </c:pt>
                      <c:pt idx="62" formatCode="General">
                        <c:v>-56.698417079207921</c:v>
                      </c:pt>
                      <c:pt idx="63" formatCode="General">
                        <c:v>-56.925248762376235</c:v>
                      </c:pt>
                      <c:pt idx="64" formatCode="General">
                        <c:v>-57.152080445544556</c:v>
                      </c:pt>
                      <c:pt idx="65" formatCode="General">
                        <c:v>-57.378912128712869</c:v>
                      </c:pt>
                      <c:pt idx="66" formatCode="General">
                        <c:v>-57.605743811881183</c:v>
                      </c:pt>
                      <c:pt idx="67" formatCode="General">
                        <c:v>-57.832575495049504</c:v>
                      </c:pt>
                      <c:pt idx="68" formatCode="General">
                        <c:v>-58.059407178217818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-60.444396039603951</c:v>
                      </c:pt>
                      <c:pt idx="80" formatCode="General">
                        <c:v>-60.654099009900989</c:v>
                      </c:pt>
                      <c:pt idx="81" formatCode="General">
                        <c:v>-60.863801980198019</c:v>
                      </c:pt>
                      <c:pt idx="82" formatCode="General">
                        <c:v>-61.07350495049505</c:v>
                      </c:pt>
                      <c:pt idx="83" formatCode="General">
                        <c:v>-61.28320792079208</c:v>
                      </c:pt>
                      <c:pt idx="84" formatCode="General">
                        <c:v>-61.49291089108911</c:v>
                      </c:pt>
                      <c:pt idx="85" formatCode="General">
                        <c:v>-61.702613861386141</c:v>
                      </c:pt>
                      <c:pt idx="86" formatCode="General">
                        <c:v>-61.912316831683171</c:v>
                      </c:pt>
                      <c:pt idx="87" formatCode="General">
                        <c:v>-62.122019801980201</c:v>
                      </c:pt>
                      <c:pt idx="88" formatCode="General">
                        <c:v>-62.331722772277232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EF-46D6-A94F-2517E60135C4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EF-46D6-A94F-2517E60135C4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EF-46D6-A94F-2517E60135C4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-26.752207920792078</c:v>
                      </c:pt>
                      <c:pt idx="27" formatCode="General">
                        <c:v>-26.53280198019802</c:v>
                      </c:pt>
                      <c:pt idx="28" formatCode="General">
                        <c:v>-26.313396039603958</c:v>
                      </c:pt>
                      <c:pt idx="29" formatCode="General">
                        <c:v>-26.394257425742573</c:v>
                      </c:pt>
                      <c:pt idx="30" formatCode="General">
                        <c:v>-26.538811881188117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-29.088739776951673</c:v>
                      </c:pt>
                      <c:pt idx="50" formatCode="General">
                        <c:v>-29.21632342007435</c:v>
                      </c:pt>
                      <c:pt idx="51" formatCode="General">
                        <c:v>-29.343907063197026</c:v>
                      </c:pt>
                      <c:pt idx="52" formatCode="General">
                        <c:v>-29.471490706319702</c:v>
                      </c:pt>
                      <c:pt idx="53" formatCode="General">
                        <c:v>-29.599074349442379</c:v>
                      </c:pt>
                      <c:pt idx="54" formatCode="General">
                        <c:v>-29.726657992565055</c:v>
                      </c:pt>
                      <c:pt idx="55" formatCode="General">
                        <c:v>-29.854241635687732</c:v>
                      </c:pt>
                      <c:pt idx="56" formatCode="General">
                        <c:v>-29.981825278810408</c:v>
                      </c:pt>
                      <c:pt idx="57" formatCode="General">
                        <c:v>-30.109408921933085</c:v>
                      </c:pt>
                      <c:pt idx="58" formatCode="General">
                        <c:v>-30.236992565055761</c:v>
                      </c:pt>
                      <c:pt idx="59" formatCode="General">
                        <c:v>-30.362043316831681</c:v>
                      </c:pt>
                      <c:pt idx="60" formatCode="General">
                        <c:v>-30.484914603960394</c:v>
                      </c:pt>
                      <c:pt idx="61" formatCode="General">
                        <c:v>-30.607785891089108</c:v>
                      </c:pt>
                      <c:pt idx="62" formatCode="General">
                        <c:v>-30.730657178217822</c:v>
                      </c:pt>
                      <c:pt idx="63" formatCode="General">
                        <c:v>-30.853528465346532</c:v>
                      </c:pt>
                      <c:pt idx="64" formatCode="General">
                        <c:v>-30.976399752475245</c:v>
                      </c:pt>
                      <c:pt idx="65" formatCode="General">
                        <c:v>-31.099271039603959</c:v>
                      </c:pt>
                      <c:pt idx="66" formatCode="General">
                        <c:v>-31.222142326732673</c:v>
                      </c:pt>
                      <c:pt idx="67" formatCode="General">
                        <c:v>-31.345013613861386</c:v>
                      </c:pt>
                      <c:pt idx="68" formatCode="General">
                        <c:v>-31.467884900990096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-32.760782178217816</c:v>
                      </c:pt>
                      <c:pt idx="80" formatCode="General">
                        <c:v>-32.874445544554455</c:v>
                      </c:pt>
                      <c:pt idx="81" formatCode="General">
                        <c:v>-32.988108910891086</c:v>
                      </c:pt>
                      <c:pt idx="82" formatCode="General">
                        <c:v>-33.101772277227717</c:v>
                      </c:pt>
                      <c:pt idx="83" formatCode="General">
                        <c:v>-33.215435643564355</c:v>
                      </c:pt>
                      <c:pt idx="84" formatCode="General">
                        <c:v>-33.329099009900986</c:v>
                      </c:pt>
                      <c:pt idx="85" formatCode="General">
                        <c:v>-33.442762376237624</c:v>
                      </c:pt>
                      <c:pt idx="86" formatCode="General">
                        <c:v>-33.556425742574255</c:v>
                      </c:pt>
                      <c:pt idx="87" formatCode="General">
                        <c:v>-33.670089108910894</c:v>
                      </c:pt>
                      <c:pt idx="88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EF-46D6-A94F-2517E60135C4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-31.291584158415841</c:v>
                      </c:pt>
                      <c:pt idx="1">
                        <c:v>-30.732871287128713</c:v>
                      </c:pt>
                      <c:pt idx="2">
                        <c:v>-30.21009900990099</c:v>
                      </c:pt>
                      <c:pt idx="3">
                        <c:v>-29.692277227722773</c:v>
                      </c:pt>
                      <c:pt idx="4" formatCode="General">
                        <c:v>-29.248712871287129</c:v>
                      </c:pt>
                      <c:pt idx="5" formatCode="General">
                        <c:v>-28.805148514851485</c:v>
                      </c:pt>
                      <c:pt idx="6" formatCode="General">
                        <c:v>-28.118910891089108</c:v>
                      </c:pt>
                      <c:pt idx="7" formatCode="General">
                        <c:v>-27.223861386138612</c:v>
                      </c:pt>
                      <c:pt idx="8" formatCode="General">
                        <c:v>-26.326987623762374</c:v>
                      </c:pt>
                      <c:pt idx="9" formatCode="General">
                        <c:v>-25.285997524752471</c:v>
                      </c:pt>
                      <c:pt idx="10" formatCode="General">
                        <c:v>-24.245007425742571</c:v>
                      </c:pt>
                      <c:pt idx="11" formatCode="General">
                        <c:v>-23.204017326732671</c:v>
                      </c:pt>
                      <c:pt idx="12" formatCode="General">
                        <c:v>-22.163027227722772</c:v>
                      </c:pt>
                      <c:pt idx="13" formatCode="General">
                        <c:v>-21.122037128712869</c:v>
                      </c:pt>
                      <c:pt idx="14" formatCode="General">
                        <c:v>-20.081047029702969</c:v>
                      </c:pt>
                      <c:pt idx="15" formatCode="General">
                        <c:v>-19.040056930693069</c:v>
                      </c:pt>
                      <c:pt idx="16" formatCode="General">
                        <c:v>-17.999066831683166</c:v>
                      </c:pt>
                      <c:pt idx="17" formatCode="General">
                        <c:v>-16.958076732673266</c:v>
                      </c:pt>
                      <c:pt idx="18" formatCode="General">
                        <c:v>-15.917086633663365</c:v>
                      </c:pt>
                      <c:pt idx="19" formatCode="General">
                        <c:v>-15.058415841584157</c:v>
                      </c:pt>
                      <c:pt idx="20" formatCode="General">
                        <c:v>-14.217227722772275</c:v>
                      </c:pt>
                      <c:pt idx="21" formatCode="General">
                        <c:v>-13.399980198019801</c:v>
                      </c:pt>
                      <c:pt idx="22" formatCode="General">
                        <c:v>-12.620574257425742</c:v>
                      </c:pt>
                      <c:pt idx="23" formatCode="General">
                        <c:v>-11.841168316831684</c:v>
                      </c:pt>
                      <c:pt idx="24" formatCode="General">
                        <c:v>-11.103731343283583</c:v>
                      </c:pt>
                      <c:pt idx="25" formatCode="General">
                        <c:v>-10.372985074626865</c:v>
                      </c:pt>
                      <c:pt idx="26" formatCode="General">
                        <c:v>-9.6612475247524738</c:v>
                      </c:pt>
                      <c:pt idx="27" formatCode="General">
                        <c:v>-8.9848118811881168</c:v>
                      </c:pt>
                      <c:pt idx="28" formatCode="General">
                        <c:v>-8.3083762376237598</c:v>
                      </c:pt>
                      <c:pt idx="29" formatCode="General">
                        <c:v>-8.2259405940594057</c:v>
                      </c:pt>
                      <c:pt idx="30" formatCode="General">
                        <c:v>-8.2695049504950493</c:v>
                      </c:pt>
                      <c:pt idx="31" formatCode="General">
                        <c:v>-8.3118811881188126</c:v>
                      </c:pt>
                      <c:pt idx="32" formatCode="General">
                        <c:v>-8.3514851485148522</c:v>
                      </c:pt>
                      <c:pt idx="33" formatCode="General">
                        <c:v>-8.3910891089108919</c:v>
                      </c:pt>
                      <c:pt idx="34" formatCode="General">
                        <c:v>-8.4300792079207927</c:v>
                      </c:pt>
                      <c:pt idx="35" formatCode="General">
                        <c:v>-8.4688910891089098</c:v>
                      </c:pt>
                      <c:pt idx="36" formatCode="General">
                        <c:v>-8.5079009900990101</c:v>
                      </c:pt>
                      <c:pt idx="37" formatCode="General">
                        <c:v>-8.5475049504950498</c:v>
                      </c:pt>
                      <c:pt idx="38" formatCode="General">
                        <c:v>-8.5871089108910894</c:v>
                      </c:pt>
                      <c:pt idx="39" formatCode="General">
                        <c:v>-8.626712871287129</c:v>
                      </c:pt>
                      <c:pt idx="40" formatCode="General">
                        <c:v>-8.6663168316831687</c:v>
                      </c:pt>
                      <c:pt idx="41" formatCode="General">
                        <c:v>-8.7059207920792083</c:v>
                      </c:pt>
                      <c:pt idx="42" formatCode="General">
                        <c:v>-8.745524752475248</c:v>
                      </c:pt>
                      <c:pt idx="43" formatCode="General">
                        <c:v>-8.7851287128712876</c:v>
                      </c:pt>
                      <c:pt idx="44" formatCode="General">
                        <c:v>-8.8247326732673272</c:v>
                      </c:pt>
                      <c:pt idx="45" formatCode="General">
                        <c:v>-8.8643366336633669</c:v>
                      </c:pt>
                      <c:pt idx="46" formatCode="General">
                        <c:v>-8.9039405940594047</c:v>
                      </c:pt>
                      <c:pt idx="47" formatCode="General">
                        <c:v>-8.9435445544554444</c:v>
                      </c:pt>
                      <c:pt idx="48" formatCode="General">
                        <c:v>-8.983148514851484</c:v>
                      </c:pt>
                      <c:pt idx="49" formatCode="General">
                        <c:v>-9.0224114002478313</c:v>
                      </c:pt>
                      <c:pt idx="50" formatCode="General">
                        <c:v>-9.0614696406443613</c:v>
                      </c:pt>
                      <c:pt idx="51" formatCode="General">
                        <c:v>-9.1005278810408914</c:v>
                      </c:pt>
                      <c:pt idx="52" formatCode="General">
                        <c:v>-9.1395861214374214</c:v>
                      </c:pt>
                      <c:pt idx="53" formatCode="General">
                        <c:v>-9.1786443618339515</c:v>
                      </c:pt>
                      <c:pt idx="54" formatCode="General">
                        <c:v>-9.2177026022304833</c:v>
                      </c:pt>
                      <c:pt idx="55" formatCode="General">
                        <c:v>-9.2567608426270134</c:v>
                      </c:pt>
                      <c:pt idx="56" formatCode="General">
                        <c:v>-9.2958190830235434</c:v>
                      </c:pt>
                      <c:pt idx="57" formatCode="General">
                        <c:v>-9.3348773234200735</c:v>
                      </c:pt>
                      <c:pt idx="58" formatCode="General">
                        <c:v>-9.3739355638166035</c:v>
                      </c:pt>
                      <c:pt idx="59" formatCode="General">
                        <c:v>-9.4123292079207914</c:v>
                      </c:pt>
                      <c:pt idx="60" formatCode="General">
                        <c:v>-9.4501509900990097</c:v>
                      </c:pt>
                      <c:pt idx="61" formatCode="General">
                        <c:v>-9.4879727722772262</c:v>
                      </c:pt>
                      <c:pt idx="62" formatCode="General">
                        <c:v>-9.5257945544554445</c:v>
                      </c:pt>
                      <c:pt idx="63" formatCode="General">
                        <c:v>-9.5636163366336628</c:v>
                      </c:pt>
                      <c:pt idx="64" formatCode="General">
                        <c:v>-9.6014381188118811</c:v>
                      </c:pt>
                      <c:pt idx="65" formatCode="General">
                        <c:v>-9.6392599009900977</c:v>
                      </c:pt>
                      <c:pt idx="66" formatCode="General">
                        <c:v>-9.677081683168316</c:v>
                      </c:pt>
                      <c:pt idx="67" formatCode="General">
                        <c:v>-9.7149034653465343</c:v>
                      </c:pt>
                      <c:pt idx="68" formatCode="General">
                        <c:v>-9.7527252475247508</c:v>
                      </c:pt>
                      <c:pt idx="69" formatCode="General">
                        <c:v>-9.7899603469640635</c:v>
                      </c:pt>
                      <c:pt idx="70" formatCode="General">
                        <c:v>-9.826441140024782</c:v>
                      </c:pt>
                      <c:pt idx="71" formatCode="General">
                        <c:v>-9.8629219330855005</c:v>
                      </c:pt>
                      <c:pt idx="72" formatCode="General">
                        <c:v>-9.899402726146219</c:v>
                      </c:pt>
                      <c:pt idx="73" formatCode="General">
                        <c:v>-9.9358835192069392</c:v>
                      </c:pt>
                      <c:pt idx="74" formatCode="General">
                        <c:v>-9.9723643122676577</c:v>
                      </c:pt>
                      <c:pt idx="75" formatCode="General">
                        <c:v>-10.008845105328376</c:v>
                      </c:pt>
                      <c:pt idx="76" formatCode="General">
                        <c:v>-10.045325898389095</c:v>
                      </c:pt>
                      <c:pt idx="77" formatCode="General">
                        <c:v>-10.081806691449813</c:v>
                      </c:pt>
                      <c:pt idx="78" formatCode="General">
                        <c:v>-10.118287484510532</c:v>
                      </c:pt>
                      <c:pt idx="79" formatCode="General">
                        <c:v>-10.154336633663366</c:v>
                      </c:pt>
                      <c:pt idx="80" formatCode="General">
                        <c:v>-10.18958415841584</c:v>
                      </c:pt>
                      <c:pt idx="81" formatCode="General">
                        <c:v>-10.224831683168317</c:v>
                      </c:pt>
                      <c:pt idx="82" formatCode="General">
                        <c:v>-10.260079207920791</c:v>
                      </c:pt>
                      <c:pt idx="83" formatCode="General">
                        <c:v>-10.295326732673267</c:v>
                      </c:pt>
                      <c:pt idx="84" formatCode="General">
                        <c:v>-10.330574257425742</c:v>
                      </c:pt>
                      <c:pt idx="85" formatCode="General">
                        <c:v>-10.365821782178218</c:v>
                      </c:pt>
                      <c:pt idx="86" formatCode="General">
                        <c:v>-10.401069306930692</c:v>
                      </c:pt>
                      <c:pt idx="87" formatCode="General">
                        <c:v>-10.436316831683168</c:v>
                      </c:pt>
                      <c:pt idx="88" formatCode="General">
                        <c:v>-10.471564356435643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EF-46D6-A94F-2517E60135C4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EF-46D6-A94F-2517E60135C4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-26.752207920792078</c:v>
                      </c:pt>
                      <c:pt idx="27" formatCode="General">
                        <c:v>-26.53280198019802</c:v>
                      </c:pt>
                      <c:pt idx="28" formatCode="General">
                        <c:v>-26.313396039603958</c:v>
                      </c:pt>
                      <c:pt idx="29" formatCode="General">
                        <c:v>-26.394257425742573</c:v>
                      </c:pt>
                      <c:pt idx="30" formatCode="General">
                        <c:v>-26.538811881188117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-29.088739776951673</c:v>
                      </c:pt>
                      <c:pt idx="50" formatCode="General">
                        <c:v>-29.21632342007435</c:v>
                      </c:pt>
                      <c:pt idx="51" formatCode="General">
                        <c:v>-29.343907063197026</c:v>
                      </c:pt>
                      <c:pt idx="52" formatCode="General">
                        <c:v>-29.471490706319702</c:v>
                      </c:pt>
                      <c:pt idx="53" formatCode="General">
                        <c:v>-29.599074349442379</c:v>
                      </c:pt>
                      <c:pt idx="54" formatCode="General">
                        <c:v>-29.726657992565055</c:v>
                      </c:pt>
                      <c:pt idx="55" formatCode="General">
                        <c:v>-29.854241635687732</c:v>
                      </c:pt>
                      <c:pt idx="56" formatCode="General">
                        <c:v>-29.981825278810408</c:v>
                      </c:pt>
                      <c:pt idx="57" formatCode="General">
                        <c:v>-30.109408921933085</c:v>
                      </c:pt>
                      <c:pt idx="58" formatCode="General">
                        <c:v>-30.236992565055761</c:v>
                      </c:pt>
                      <c:pt idx="59" formatCode="General">
                        <c:v>-30.362043316831681</c:v>
                      </c:pt>
                      <c:pt idx="60" formatCode="General">
                        <c:v>-30.484914603960394</c:v>
                      </c:pt>
                      <c:pt idx="61" formatCode="General">
                        <c:v>-30.607785891089108</c:v>
                      </c:pt>
                      <c:pt idx="62" formatCode="General">
                        <c:v>-30.730657178217822</c:v>
                      </c:pt>
                      <c:pt idx="63" formatCode="General">
                        <c:v>-30.853528465346532</c:v>
                      </c:pt>
                      <c:pt idx="64" formatCode="General">
                        <c:v>-30.976399752475245</c:v>
                      </c:pt>
                      <c:pt idx="65" formatCode="General">
                        <c:v>-31.099271039603959</c:v>
                      </c:pt>
                      <c:pt idx="66" formatCode="General">
                        <c:v>-31.222142326732673</c:v>
                      </c:pt>
                      <c:pt idx="67" formatCode="General">
                        <c:v>-31.345013613861386</c:v>
                      </c:pt>
                      <c:pt idx="68" formatCode="General">
                        <c:v>-31.467884900990096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-32.760782178217816</c:v>
                      </c:pt>
                      <c:pt idx="80" formatCode="General">
                        <c:v>-32.874445544554455</c:v>
                      </c:pt>
                      <c:pt idx="81" formatCode="General">
                        <c:v>-32.988108910891086</c:v>
                      </c:pt>
                      <c:pt idx="82" formatCode="General">
                        <c:v>-33.101772277227717</c:v>
                      </c:pt>
                      <c:pt idx="83" formatCode="General">
                        <c:v>-33.215435643564355</c:v>
                      </c:pt>
                      <c:pt idx="84" formatCode="General">
                        <c:v>-33.329099009900986</c:v>
                      </c:pt>
                      <c:pt idx="85" formatCode="General">
                        <c:v>-33.442762376237624</c:v>
                      </c:pt>
                      <c:pt idx="86" formatCode="General">
                        <c:v>-33.556425742574255</c:v>
                      </c:pt>
                      <c:pt idx="87" formatCode="General">
                        <c:v>-33.670089108910894</c:v>
                      </c:pt>
                      <c:pt idx="88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EF-46D6-A94F-2517E60135C4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-44.797821782178218</c:v>
                      </c:pt>
                      <c:pt idx="1">
                        <c:v>-43.820198019801978</c:v>
                      </c:pt>
                      <c:pt idx="2">
                        <c:v>-42.901386138613859</c:v>
                      </c:pt>
                      <c:pt idx="3">
                        <c:v>-41.99</c:v>
                      </c:pt>
                      <c:pt idx="4" formatCode="General">
                        <c:v>-41.19</c:v>
                      </c:pt>
                      <c:pt idx="5" formatCode="General">
                        <c:v>-40.39</c:v>
                      </c:pt>
                      <c:pt idx="6" formatCode="General">
                        <c:v>-39.917821782178223</c:v>
                      </c:pt>
                      <c:pt idx="7" formatCode="General">
                        <c:v>-39.727722772277225</c:v>
                      </c:pt>
                      <c:pt idx="8" formatCode="General">
                        <c:v>-39.542970297029704</c:v>
                      </c:pt>
                      <c:pt idx="9" formatCode="General">
                        <c:v>-39.780594059405942</c:v>
                      </c:pt>
                      <c:pt idx="10" formatCode="General">
                        <c:v>-40.01821782178218</c:v>
                      </c:pt>
                      <c:pt idx="11" formatCode="General">
                        <c:v>-40.255841584158418</c:v>
                      </c:pt>
                      <c:pt idx="12" formatCode="General">
                        <c:v>-40.493465346534656</c:v>
                      </c:pt>
                      <c:pt idx="13" formatCode="General">
                        <c:v>-40.731089108910894</c:v>
                      </c:pt>
                      <c:pt idx="14" formatCode="General">
                        <c:v>-40.968712871287124</c:v>
                      </c:pt>
                      <c:pt idx="15" formatCode="General">
                        <c:v>-41.206336633663362</c:v>
                      </c:pt>
                      <c:pt idx="16" formatCode="General">
                        <c:v>-41.4439603960396</c:v>
                      </c:pt>
                      <c:pt idx="17" formatCode="General">
                        <c:v>-41.681584158415838</c:v>
                      </c:pt>
                      <c:pt idx="18" formatCode="General">
                        <c:v>-41.919207920792076</c:v>
                      </c:pt>
                      <c:pt idx="19" formatCode="General">
                        <c:v>-42.156831683168313</c:v>
                      </c:pt>
                      <c:pt idx="20" formatCode="General">
                        <c:v>-42.394455445544551</c:v>
                      </c:pt>
                      <c:pt idx="21" formatCode="General">
                        <c:v>-42.635148514851487</c:v>
                      </c:pt>
                      <c:pt idx="22" formatCode="General">
                        <c:v>-42.880693069306929</c:v>
                      </c:pt>
                      <c:pt idx="23" formatCode="General">
                        <c:v>-43.126237623762371</c:v>
                      </c:pt>
                      <c:pt idx="24" formatCode="General">
                        <c:v>-43.365970149253727</c:v>
                      </c:pt>
                      <c:pt idx="25" formatCode="General">
                        <c:v>-43.604776119402985</c:v>
                      </c:pt>
                      <c:pt idx="26" formatCode="General">
                        <c:v>-43.843168316831679</c:v>
                      </c:pt>
                      <c:pt idx="27" formatCode="General">
                        <c:v>-44.080792079207917</c:v>
                      </c:pt>
                      <c:pt idx="28" formatCode="General">
                        <c:v>-44.318415841584155</c:v>
                      </c:pt>
                      <c:pt idx="29" formatCode="General">
                        <c:v>-44.562574257425744</c:v>
                      </c:pt>
                      <c:pt idx="30" formatCode="General">
                        <c:v>-44.808118811881187</c:v>
                      </c:pt>
                      <c:pt idx="31" formatCode="General">
                        <c:v>-45.051287128712865</c:v>
                      </c:pt>
                      <c:pt idx="32" formatCode="General">
                        <c:v>-45.28891089108911</c:v>
                      </c:pt>
                      <c:pt idx="33" formatCode="General">
                        <c:v>-45.526534653465347</c:v>
                      </c:pt>
                      <c:pt idx="34" formatCode="General">
                        <c:v>-45.758019801980197</c:v>
                      </c:pt>
                      <c:pt idx="35" formatCode="General">
                        <c:v>-45.987722772277223</c:v>
                      </c:pt>
                      <c:pt idx="36" formatCode="General">
                        <c:v>-46.217425742574257</c:v>
                      </c:pt>
                      <c:pt idx="37" formatCode="General">
                        <c:v>-46.447128712871283</c:v>
                      </c:pt>
                      <c:pt idx="38" formatCode="General">
                        <c:v>-46.676831683168317</c:v>
                      </c:pt>
                      <c:pt idx="39" formatCode="General">
                        <c:v>-46.903663366336637</c:v>
                      </c:pt>
                      <c:pt idx="40" formatCode="General">
                        <c:v>-47.129405940594062</c:v>
                      </c:pt>
                      <c:pt idx="41" formatCode="General">
                        <c:v>-47.355148514851486</c:v>
                      </c:pt>
                      <c:pt idx="42" formatCode="General">
                        <c:v>-47.58089108910891</c:v>
                      </c:pt>
                      <c:pt idx="43" formatCode="General">
                        <c:v>-47.806633663366341</c:v>
                      </c:pt>
                      <c:pt idx="44" formatCode="General">
                        <c:v>-48.032376237623765</c:v>
                      </c:pt>
                      <c:pt idx="45" formatCode="General">
                        <c:v>-48.258118811881189</c:v>
                      </c:pt>
                      <c:pt idx="46" formatCode="General">
                        <c:v>-48.483861386138614</c:v>
                      </c:pt>
                      <c:pt idx="47" formatCode="General">
                        <c:v>-48.709603960396045</c:v>
                      </c:pt>
                      <c:pt idx="48" formatCode="General">
                        <c:v>-48.935346534653469</c:v>
                      </c:pt>
                      <c:pt idx="49" formatCode="General">
                        <c:v>-49.15506815365552</c:v>
                      </c:pt>
                      <c:pt idx="50" formatCode="General">
                        <c:v>-49.371177199504338</c:v>
                      </c:pt>
                      <c:pt idx="51" formatCode="General">
                        <c:v>-49.587286245353162</c:v>
                      </c:pt>
                      <c:pt idx="52" formatCode="General">
                        <c:v>-49.803395291201987</c:v>
                      </c:pt>
                      <c:pt idx="53" formatCode="General">
                        <c:v>-50.019504337050805</c:v>
                      </c:pt>
                      <c:pt idx="54" formatCode="General">
                        <c:v>-50.235613382899629</c:v>
                      </c:pt>
                      <c:pt idx="55" formatCode="General">
                        <c:v>-50.451722428748454</c:v>
                      </c:pt>
                      <c:pt idx="56" formatCode="General">
                        <c:v>-50.667831474597278</c:v>
                      </c:pt>
                      <c:pt idx="57" formatCode="General">
                        <c:v>-50.883940520446096</c:v>
                      </c:pt>
                      <c:pt idx="58" formatCode="General">
                        <c:v>-51.100049566294921</c:v>
                      </c:pt>
                      <c:pt idx="59" formatCode="General">
                        <c:v>-51.311757425742577</c:v>
                      </c:pt>
                      <c:pt idx="60" formatCode="General">
                        <c:v>-51.519678217821784</c:v>
                      </c:pt>
                      <c:pt idx="61" formatCode="General">
                        <c:v>-51.727599009900992</c:v>
                      </c:pt>
                      <c:pt idx="62" formatCode="General">
                        <c:v>-51.935519801980199</c:v>
                      </c:pt>
                      <c:pt idx="63" formatCode="General">
                        <c:v>-52.143440594059406</c:v>
                      </c:pt>
                      <c:pt idx="64" formatCode="General">
                        <c:v>-52.351361386138613</c:v>
                      </c:pt>
                      <c:pt idx="65" formatCode="General">
                        <c:v>-52.559282178217821</c:v>
                      </c:pt>
                      <c:pt idx="66" formatCode="General">
                        <c:v>-52.767202970297028</c:v>
                      </c:pt>
                      <c:pt idx="67" formatCode="General">
                        <c:v>-52.975123762376235</c:v>
                      </c:pt>
                      <c:pt idx="68" formatCode="General">
                        <c:v>-53.183044554455442</c:v>
                      </c:pt>
                      <c:pt idx="69" formatCode="General">
                        <c:v>-53.386741016109042</c:v>
                      </c:pt>
                      <c:pt idx="70" formatCode="General">
                        <c:v>-53.58500619578686</c:v>
                      </c:pt>
                      <c:pt idx="71" formatCode="General">
                        <c:v>-53.783271375464679</c:v>
                      </c:pt>
                      <c:pt idx="72" formatCode="General">
                        <c:v>-53.981536555142497</c:v>
                      </c:pt>
                      <c:pt idx="73" formatCode="General">
                        <c:v>-54.179801734820316</c:v>
                      </c:pt>
                      <c:pt idx="74" formatCode="General">
                        <c:v>-54.378066914498135</c:v>
                      </c:pt>
                      <c:pt idx="75" formatCode="General">
                        <c:v>-54.57633209417596</c:v>
                      </c:pt>
                      <c:pt idx="76" formatCode="General">
                        <c:v>-54.774597273853779</c:v>
                      </c:pt>
                      <c:pt idx="77" formatCode="General">
                        <c:v>-54.972862453531597</c:v>
                      </c:pt>
                      <c:pt idx="78" formatCode="General">
                        <c:v>-55.171127633209416</c:v>
                      </c:pt>
                      <c:pt idx="79" formatCode="General">
                        <c:v>-55.36722772277227</c:v>
                      </c:pt>
                      <c:pt idx="80" formatCode="General">
                        <c:v>-55.559306930693069</c:v>
                      </c:pt>
                      <c:pt idx="81" formatCode="General">
                        <c:v>-55.75138613861386</c:v>
                      </c:pt>
                      <c:pt idx="82" formatCode="General">
                        <c:v>-55.943465346534651</c:v>
                      </c:pt>
                      <c:pt idx="83" formatCode="General">
                        <c:v>-56.135544554455443</c:v>
                      </c:pt>
                      <c:pt idx="84" formatCode="General">
                        <c:v>-56.327623762376234</c:v>
                      </c:pt>
                      <c:pt idx="85" formatCode="General">
                        <c:v>-56.519702970297033</c:v>
                      </c:pt>
                      <c:pt idx="86" formatCode="General">
                        <c:v>-56.711782178217824</c:v>
                      </c:pt>
                      <c:pt idx="87" formatCode="General">
                        <c:v>-56.903861386138615</c:v>
                      </c:pt>
                      <c:pt idx="88" formatCode="General">
                        <c:v>-57.095940594059407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EF-46D6-A94F-2517E60135C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EF-46D6-A94F-2517E60135C4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EF-46D6-A94F-2517E60135C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EF-46D6-A94F-2517E60135C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EF-46D6-A94F-2517E60135C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EF-46D6-A94F-2517E60135C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EF-46D6-A94F-2517E60135C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EF-46D6-A94F-2517E60135C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EF-46D6-A94F-2517E60135C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EF-46D6-A94F-2517E60135C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EF-46D6-A94F-2517E60135C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EF-46D6-A94F-2517E60135C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EF-46D6-A94F-2517E60135C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EF-46D6-A94F-2517E60135C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EF-46D6-A94F-2517E60135C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EF-46D6-A94F-2517E60135C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EF-46D6-A94F-2517E60135C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EF-46D6-A94F-2517E60135C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EF-46D6-A94F-2517E60135C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EF-46D6-A94F-2517E60135C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EF-46D6-A94F-2517E60135C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EF-46D6-A94F-2517E60135C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EF-46D6-A94F-2517E60135C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EF-46D6-A94F-2517E60135C4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EF-46D6-A94F-2517E60135C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EF-46D6-A94F-2517E60135C4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EF-46D6-A94F-2517E60135C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EF-46D6-A94F-2517E60135C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EF-46D6-A94F-2517E60135C4}"/>
                  </c:ext>
                </c:extLst>
              </c15:ser>
            </c15:filteredScatterSeries>
            <c15:filteredScatterSeries>
              <c15:ser>
                <c:idx val="38"/>
                <c:order val="40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5EF-46D6-A94F-2517E60135C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EF-46D6-A94F-2517E60135C4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EF-46D6-A94F-2517E60135C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EF-46D6-A94F-2517E60135C4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EF-46D6-A94F-2517E60135C4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EF-46D6-A94F-2517E60135C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EF-46D6-A94F-2517E60135C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EF-46D6-A94F-2517E60135C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EF-46D6-A94F-2517E60135C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EF-46D6-A94F-2517E60135C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EF-46D6-A94F-2517E60135C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EF-46D6-A94F-2517E60135C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EF-46D6-A94F-2517E60135C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EF-46D6-A94F-2517E60135C4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EVALUATION!$B$104:$CP$104</c:f>
              <c:numCache>
                <c:formatCode>0</c:formatCode>
                <c:ptCount val="93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-21.92158415841584</c:v>
                </c:pt>
                <c:pt idx="27" formatCode="General">
                  <c:v>-22.040396039603959</c:v>
                </c:pt>
                <c:pt idx="28" formatCode="General">
                  <c:v>-22.159207920792078</c:v>
                </c:pt>
                <c:pt idx="29" formatCode="General">
                  <c:v>-22.281287128712872</c:v>
                </c:pt>
                <c:pt idx="30" formatCode="General">
                  <c:v>-22.404059405940593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-24.57753407682776</c:v>
                </c:pt>
                <c:pt idx="50" formatCode="General">
                  <c:v>-24.685588599752169</c:v>
                </c:pt>
                <c:pt idx="51" formatCode="General">
                  <c:v>-24.793643122676581</c:v>
                </c:pt>
                <c:pt idx="52" formatCode="General">
                  <c:v>-24.901697645600994</c:v>
                </c:pt>
                <c:pt idx="53" formatCode="General">
                  <c:v>-25.009752168525402</c:v>
                </c:pt>
                <c:pt idx="54" formatCode="General">
                  <c:v>-25.117806691449815</c:v>
                </c:pt>
                <c:pt idx="55" formatCode="General">
                  <c:v>-25.225861214374227</c:v>
                </c:pt>
                <c:pt idx="56" formatCode="General">
                  <c:v>-25.333915737298639</c:v>
                </c:pt>
                <c:pt idx="57" formatCode="General">
                  <c:v>-25.441970260223048</c:v>
                </c:pt>
                <c:pt idx="58" formatCode="General">
                  <c:v>-25.55002478314746</c:v>
                </c:pt>
                <c:pt idx="59" formatCode="General">
                  <c:v>-25.655878712871289</c:v>
                </c:pt>
                <c:pt idx="60" formatCode="General">
                  <c:v>-25.759839108910892</c:v>
                </c:pt>
                <c:pt idx="61" formatCode="General">
                  <c:v>-25.863799504950496</c:v>
                </c:pt>
                <c:pt idx="62" formatCode="General">
                  <c:v>-25.967759900990099</c:v>
                </c:pt>
                <c:pt idx="63" formatCode="General">
                  <c:v>-26.071720297029703</c:v>
                </c:pt>
                <c:pt idx="64" formatCode="General">
                  <c:v>-26.175680693069307</c:v>
                </c:pt>
                <c:pt idx="65" formatCode="General">
                  <c:v>-26.27964108910891</c:v>
                </c:pt>
                <c:pt idx="66" formatCode="General">
                  <c:v>-26.383601485148514</c:v>
                </c:pt>
                <c:pt idx="67" formatCode="General">
                  <c:v>-26.487561881188117</c:v>
                </c:pt>
                <c:pt idx="68" formatCode="General">
                  <c:v>-26.591522277227721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-27.683613861386135</c:v>
                </c:pt>
                <c:pt idx="80" formatCode="General">
                  <c:v>-27.779653465346534</c:v>
                </c:pt>
                <c:pt idx="81" formatCode="General">
                  <c:v>-27.87569306930693</c:v>
                </c:pt>
                <c:pt idx="82" formatCode="General">
                  <c:v>-27.971732673267326</c:v>
                </c:pt>
                <c:pt idx="83" formatCode="General">
                  <c:v>-28.067772277227721</c:v>
                </c:pt>
                <c:pt idx="84" formatCode="General">
                  <c:v>-28.163811881188117</c:v>
                </c:pt>
                <c:pt idx="85" formatCode="General">
                  <c:v>-28.259851485148516</c:v>
                </c:pt>
                <c:pt idx="86" formatCode="General">
                  <c:v>-28.355891089108912</c:v>
                </c:pt>
                <c:pt idx="87" formatCode="General">
                  <c:v>-28.451930693069308</c:v>
                </c:pt>
                <c:pt idx="88" formatCode="General">
                  <c:v>-28.547970297029703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022F-4A2F-976F-7C3C2CD148C5}"/>
            </c:ext>
          </c:extLst>
        </c:ser>
        <c:ser>
          <c:idx val="3"/>
          <c:order val="5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EVALUATION!$B$106:$CP$106</c:f>
              <c:numCache>
                <c:formatCode>0</c:formatCode>
                <c:ptCount val="93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-4.8306237623762369</c:v>
                </c:pt>
                <c:pt idx="27" formatCode="General">
                  <c:v>-4.4924059405940584</c:v>
                </c:pt>
                <c:pt idx="28" formatCode="General">
                  <c:v>-4.1541881188118799</c:v>
                </c:pt>
                <c:pt idx="29" formatCode="General">
                  <c:v>-4.1129702970297028</c:v>
                </c:pt>
                <c:pt idx="30" formatCode="General">
                  <c:v>-4.1347524752475247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-4.5112057001239156</c:v>
                </c:pt>
                <c:pt idx="50" formatCode="General">
                  <c:v>-4.5307348203221807</c:v>
                </c:pt>
                <c:pt idx="51" formatCode="General">
                  <c:v>-4.5502639405204457</c:v>
                </c:pt>
                <c:pt idx="52" formatCode="General">
                  <c:v>-4.5697930607187107</c:v>
                </c:pt>
                <c:pt idx="53" formatCode="General">
                  <c:v>-4.5893221809169757</c:v>
                </c:pt>
                <c:pt idx="54" formatCode="General">
                  <c:v>-4.6088513011152417</c:v>
                </c:pt>
                <c:pt idx="55" formatCode="General">
                  <c:v>-4.6283804213135067</c:v>
                </c:pt>
                <c:pt idx="56" formatCode="General">
                  <c:v>-4.6479095415117717</c:v>
                </c:pt>
                <c:pt idx="57" formatCode="General">
                  <c:v>-4.6674386617100367</c:v>
                </c:pt>
                <c:pt idx="58" formatCode="General">
                  <c:v>-4.6869677819083018</c:v>
                </c:pt>
                <c:pt idx="59" formatCode="General">
                  <c:v>-4.7061646039603957</c:v>
                </c:pt>
                <c:pt idx="60" formatCode="General">
                  <c:v>-4.7250754950495049</c:v>
                </c:pt>
                <c:pt idx="61" formatCode="General">
                  <c:v>-4.7439863861386131</c:v>
                </c:pt>
                <c:pt idx="62" formatCode="General">
                  <c:v>-4.7628972772277223</c:v>
                </c:pt>
                <c:pt idx="63" formatCode="General">
                  <c:v>-4.7818081683168314</c:v>
                </c:pt>
                <c:pt idx="64" formatCode="General">
                  <c:v>-4.8007190594059406</c:v>
                </c:pt>
                <c:pt idx="65" formatCode="General">
                  <c:v>-4.8196299504950488</c:v>
                </c:pt>
                <c:pt idx="66" formatCode="General">
                  <c:v>-4.838540841584158</c:v>
                </c:pt>
                <c:pt idx="67" formatCode="General">
                  <c:v>-4.8574517326732671</c:v>
                </c:pt>
                <c:pt idx="68" formatCode="General">
                  <c:v>-4.8763626237623754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-5.077168316831683</c:v>
                </c:pt>
                <c:pt idx="80" formatCode="General">
                  <c:v>-5.0947920792079202</c:v>
                </c:pt>
                <c:pt idx="81" formatCode="General">
                  <c:v>-5.1124158415841583</c:v>
                </c:pt>
                <c:pt idx="82" formatCode="General">
                  <c:v>-5.1300396039603955</c:v>
                </c:pt>
                <c:pt idx="83" formatCode="General">
                  <c:v>-5.1476633663366336</c:v>
                </c:pt>
                <c:pt idx="84" formatCode="General">
                  <c:v>-5.1652871287128708</c:v>
                </c:pt>
                <c:pt idx="85" formatCode="General">
                  <c:v>-5.1829108910891089</c:v>
                </c:pt>
                <c:pt idx="86" formatCode="General">
                  <c:v>-5.200534653465346</c:v>
                </c:pt>
                <c:pt idx="87" formatCode="General">
                  <c:v>-5.2181584158415841</c:v>
                </c:pt>
                <c:pt idx="88" formatCode="General">
                  <c:v>-5.2357821782178213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2F-4A2F-976F-7C3C2CD148C5}"/>
            </c:ext>
          </c:extLst>
        </c:ser>
        <c:ser>
          <c:idx val="36"/>
          <c:order val="38"/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EVALUATION!$B$139:$CP$139</c:f>
              <c:numCache>
                <c:formatCode>0</c:formatCode>
                <c:ptCount val="93"/>
                <c:pt idx="0">
                  <c:v>-22.522574257425745</c:v>
                </c:pt>
                <c:pt idx="1">
                  <c:v>-22.126881188118812</c:v>
                </c:pt>
                <c:pt idx="2">
                  <c:v>-21.798168316831681</c:v>
                </c:pt>
                <c:pt idx="3">
                  <c:v>-21.480346534653464</c:v>
                </c:pt>
                <c:pt idx="4" formatCode="General">
                  <c:v>-21.325891089108911</c:v>
                </c:pt>
                <c:pt idx="5" formatCode="General">
                  <c:v>-21.171435643564358</c:v>
                </c:pt>
                <c:pt idx="6" formatCode="General">
                  <c:v>-21.093613861386139</c:v>
                </c:pt>
                <c:pt idx="7" formatCode="General">
                  <c:v>-21.081732673267329</c:v>
                </c:pt>
                <c:pt idx="8" formatCode="General">
                  <c:v>-21.071101485148514</c:v>
                </c:pt>
                <c:pt idx="9" formatCode="General">
                  <c:v>-21.159220297029705</c:v>
                </c:pt>
                <c:pt idx="10" formatCode="General">
                  <c:v>-21.247339108910893</c:v>
                </c:pt>
                <c:pt idx="11" formatCode="General">
                  <c:v>-21.335457920792081</c:v>
                </c:pt>
                <c:pt idx="12" formatCode="General">
                  <c:v>-21.423576732673268</c:v>
                </c:pt>
                <c:pt idx="13" formatCode="General">
                  <c:v>-21.511695544554456</c:v>
                </c:pt>
                <c:pt idx="14" formatCode="General">
                  <c:v>-21.599814356435644</c:v>
                </c:pt>
                <c:pt idx="15" formatCode="General">
                  <c:v>-21.687933168316832</c:v>
                </c:pt>
                <c:pt idx="16" formatCode="General">
                  <c:v>-21.776051980198019</c:v>
                </c:pt>
                <c:pt idx="17" formatCode="General">
                  <c:v>-21.864170792079207</c:v>
                </c:pt>
                <c:pt idx="18" formatCode="General">
                  <c:v>-21.952289603960399</c:v>
                </c:pt>
                <c:pt idx="19" formatCode="General">
                  <c:v>-22.028663366336634</c:v>
                </c:pt>
                <c:pt idx="20" formatCode="General">
                  <c:v>-22.103910891089107</c:v>
                </c:pt>
                <c:pt idx="21" formatCode="General">
                  <c:v>-22.177623762376236</c:v>
                </c:pt>
                <c:pt idx="22" formatCode="General">
                  <c:v>-22.248910891089107</c:v>
                </c:pt>
                <c:pt idx="23" formatCode="General">
                  <c:v>-22.320198019801978</c:v>
                </c:pt>
                <c:pt idx="24" formatCode="General">
                  <c:v>-22.398656716417911</c:v>
                </c:pt>
                <c:pt idx="25" formatCode="General">
                  <c:v>-22.478258706467663</c:v>
                </c:pt>
                <c:pt idx="26" formatCode="General">
                  <c:v>-22.561881188118814</c:v>
                </c:pt>
                <c:pt idx="27" formatCode="General">
                  <c:v>-22.652970297029704</c:v>
                </c:pt>
                <c:pt idx="28" formatCode="General">
                  <c:v>-22.744059405940597</c:v>
                </c:pt>
                <c:pt idx="29" formatCode="General">
                  <c:v>-22.848217821782178</c:v>
                </c:pt>
                <c:pt idx="30" formatCode="General">
                  <c:v>-22.955148514851487</c:v>
                </c:pt>
                <c:pt idx="31" formatCode="General">
                  <c:v>-23.063267326732674</c:v>
                </c:pt>
                <c:pt idx="32" formatCode="General">
                  <c:v>-23.174158415841585</c:v>
                </c:pt>
                <c:pt idx="33" formatCode="General">
                  <c:v>-23.285049504950493</c:v>
                </c:pt>
                <c:pt idx="34" formatCode="General">
                  <c:v>-23.399009900990098</c:v>
                </c:pt>
                <c:pt idx="35" formatCode="General">
                  <c:v>-23.513861386138615</c:v>
                </c:pt>
                <c:pt idx="36" formatCode="General">
                  <c:v>-23.628712871287131</c:v>
                </c:pt>
                <c:pt idx="37" formatCode="General">
                  <c:v>-23.743564356435645</c:v>
                </c:pt>
                <c:pt idx="38" formatCode="General">
                  <c:v>-23.858415841584158</c:v>
                </c:pt>
                <c:pt idx="39" formatCode="General">
                  <c:v>-23.970396039603962</c:v>
                </c:pt>
                <c:pt idx="40" formatCode="General">
                  <c:v>-24.081287128712873</c:v>
                </c:pt>
                <c:pt idx="41" formatCode="General">
                  <c:v>-24.192970297029706</c:v>
                </c:pt>
                <c:pt idx="42" formatCode="General">
                  <c:v>-24.30782178217822</c:v>
                </c:pt>
                <c:pt idx="43" formatCode="General">
                  <c:v>-24.422673267326733</c:v>
                </c:pt>
                <c:pt idx="44" formatCode="General">
                  <c:v>-24.534851485148515</c:v>
                </c:pt>
                <c:pt idx="45" formatCode="General">
                  <c:v>-24.645742574257426</c:v>
                </c:pt>
                <c:pt idx="46" formatCode="General">
                  <c:v>-24.756633663366337</c:v>
                </c:pt>
                <c:pt idx="47" formatCode="General">
                  <c:v>-24.867524752475248</c:v>
                </c:pt>
                <c:pt idx="48" formatCode="General">
                  <c:v>-24.978415841584159</c:v>
                </c:pt>
                <c:pt idx="49" formatCode="General">
                  <c:v>-25.087534076827758</c:v>
                </c:pt>
                <c:pt idx="50" formatCode="General">
                  <c:v>-25.195588599752167</c:v>
                </c:pt>
                <c:pt idx="51" formatCode="General">
                  <c:v>-25.303643122676579</c:v>
                </c:pt>
                <c:pt idx="52" formatCode="General">
                  <c:v>-25.411697645600992</c:v>
                </c:pt>
                <c:pt idx="53" formatCode="General">
                  <c:v>-25.5197521685254</c:v>
                </c:pt>
                <c:pt idx="54" formatCode="General">
                  <c:v>-25.627806691449813</c:v>
                </c:pt>
                <c:pt idx="55" formatCode="General">
                  <c:v>-25.735861214374225</c:v>
                </c:pt>
                <c:pt idx="56" formatCode="General">
                  <c:v>-25.843915737298637</c:v>
                </c:pt>
                <c:pt idx="57" formatCode="General">
                  <c:v>-25.951970260223046</c:v>
                </c:pt>
                <c:pt idx="58" formatCode="General">
                  <c:v>-26.060024783147458</c:v>
                </c:pt>
                <c:pt idx="59" formatCode="General">
                  <c:v>-26.165878712871287</c:v>
                </c:pt>
                <c:pt idx="60" formatCode="General">
                  <c:v>-26.26983910891089</c:v>
                </c:pt>
                <c:pt idx="61" formatCode="General">
                  <c:v>-26.373799504950494</c:v>
                </c:pt>
                <c:pt idx="62" formatCode="General">
                  <c:v>-26.477759900990097</c:v>
                </c:pt>
                <c:pt idx="63" formatCode="General">
                  <c:v>-26.581720297029701</c:v>
                </c:pt>
                <c:pt idx="64" formatCode="General">
                  <c:v>-26.685680693069308</c:v>
                </c:pt>
                <c:pt idx="65" formatCode="General">
                  <c:v>-26.789641089108912</c:v>
                </c:pt>
                <c:pt idx="66" formatCode="General">
                  <c:v>-26.893601485148515</c:v>
                </c:pt>
                <c:pt idx="67" formatCode="General">
                  <c:v>-26.997561881188119</c:v>
                </c:pt>
                <c:pt idx="68" formatCode="General">
                  <c:v>-27.101522277227723</c:v>
                </c:pt>
                <c:pt idx="69" formatCode="General">
                  <c:v>-27.203370508054523</c:v>
                </c:pt>
                <c:pt idx="70" formatCode="General">
                  <c:v>-27.302503097893432</c:v>
                </c:pt>
                <c:pt idx="71" formatCode="General">
                  <c:v>-27.401635687732341</c:v>
                </c:pt>
                <c:pt idx="72" formatCode="General">
                  <c:v>-27.50076827757125</c:v>
                </c:pt>
                <c:pt idx="73" formatCode="General">
                  <c:v>-27.59990086741016</c:v>
                </c:pt>
                <c:pt idx="74" formatCode="General">
                  <c:v>-27.699033457249069</c:v>
                </c:pt>
                <c:pt idx="75" formatCode="General">
                  <c:v>-27.798166047087982</c:v>
                </c:pt>
                <c:pt idx="76" formatCode="General">
                  <c:v>-27.897298636926891</c:v>
                </c:pt>
                <c:pt idx="77" formatCode="General">
                  <c:v>-27.9964312267658</c:v>
                </c:pt>
                <c:pt idx="78" formatCode="General">
                  <c:v>-28.095563816604709</c:v>
                </c:pt>
                <c:pt idx="79" formatCode="General">
                  <c:v>-28.193613861386137</c:v>
                </c:pt>
                <c:pt idx="80" formatCode="General">
                  <c:v>-28.289653465346536</c:v>
                </c:pt>
                <c:pt idx="81" formatCode="General">
                  <c:v>-28.385693069306932</c:v>
                </c:pt>
                <c:pt idx="82" formatCode="General">
                  <c:v>-28.481732673267327</c:v>
                </c:pt>
                <c:pt idx="83" formatCode="General">
                  <c:v>-28.577772277227723</c:v>
                </c:pt>
                <c:pt idx="84" formatCode="General">
                  <c:v>-28.673811881188119</c:v>
                </c:pt>
                <c:pt idx="85" formatCode="General">
                  <c:v>-28.769851485148514</c:v>
                </c:pt>
                <c:pt idx="86" formatCode="General">
                  <c:v>-28.86589108910891</c:v>
                </c:pt>
                <c:pt idx="87" formatCode="General">
                  <c:v>-28.961930693069306</c:v>
                </c:pt>
                <c:pt idx="88" formatCode="General">
                  <c:v>-29.057970297029701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022F-4A2F-976F-7C3C2CD148C5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22F-4A2F-976F-7C3C2CD148C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-174.57772277227724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2F-4A2F-976F-7C3C2CD14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-136.5330198019802</c:v>
                      </c:pt>
                      <c:pt idx="1">
                        <c:v>-133.73970297029703</c:v>
                      </c:pt>
                      <c:pt idx="2">
                        <c:v>-131.11792079207922</c:v>
                      </c:pt>
                      <c:pt idx="3">
                        <c:v>-128.51841584158416</c:v>
                      </c:pt>
                      <c:pt idx="4" formatCode="General">
                        <c:v>-126.2530693069307</c:v>
                      </c:pt>
                      <c:pt idx="5" formatCode="General">
                        <c:v>-123.98772277227724</c:v>
                      </c:pt>
                      <c:pt idx="6" formatCode="General">
                        <c:v>-122.0140099009901</c:v>
                      </c:pt>
                      <c:pt idx="7" formatCode="General">
                        <c:v>-120.29123762376238</c:v>
                      </c:pt>
                      <c:pt idx="8" formatCode="General">
                        <c:v>-118.57642202970297</c:v>
                      </c:pt>
                      <c:pt idx="9" formatCode="General">
                        <c:v>-117.4901844059406</c:v>
                      </c:pt>
                      <c:pt idx="10" formatCode="General">
                        <c:v>-116.40394678217822</c:v>
                      </c:pt>
                      <c:pt idx="11" formatCode="General">
                        <c:v>-115.31770915841584</c:v>
                      </c:pt>
                      <c:pt idx="12" formatCode="General">
                        <c:v>-114.23147153465347</c:v>
                      </c:pt>
                      <c:pt idx="13" formatCode="General">
                        <c:v>-113.14523391089109</c:v>
                      </c:pt>
                      <c:pt idx="14" formatCode="General">
                        <c:v>-112.05899628712871</c:v>
                      </c:pt>
                      <c:pt idx="15" formatCode="General">
                        <c:v>-110.97275866336633</c:v>
                      </c:pt>
                      <c:pt idx="16" formatCode="General">
                        <c:v>-109.88652103960396</c:v>
                      </c:pt>
                      <c:pt idx="17" formatCode="General">
                        <c:v>-108.80028341584158</c:v>
                      </c:pt>
                      <c:pt idx="18" formatCode="General">
                        <c:v>-107.7140457920792</c:v>
                      </c:pt>
                      <c:pt idx="19" formatCode="General">
                        <c:v>-106.90128712871287</c:v>
                      </c:pt>
                      <c:pt idx="20" formatCode="General">
                        <c:v>-106.11475247524751</c:v>
                      </c:pt>
                      <c:pt idx="21" formatCode="General">
                        <c:v>-105.37026732673267</c:v>
                      </c:pt>
                      <c:pt idx="22" formatCode="General">
                        <c:v>-104.69224752475247</c:v>
                      </c:pt>
                      <c:pt idx="23" formatCode="General">
                        <c:v>-104.01422772277228</c:v>
                      </c:pt>
                      <c:pt idx="24" formatCode="General">
                        <c:v>-103.38753731343283</c:v>
                      </c:pt>
                      <c:pt idx="25" formatCode="General">
                        <c:v>-102.76902985074626</c:v>
                      </c:pt>
                      <c:pt idx="26" formatCode="General">
                        <c:v>-102.17820792079208</c:v>
                      </c:pt>
                      <c:pt idx="27" formatCode="General">
                        <c:v>-101.63880198019801</c:v>
                      </c:pt>
                      <c:pt idx="28" formatCode="General">
                        <c:v>-101.09939603960396</c:v>
                      </c:pt>
                      <c:pt idx="29" formatCode="General">
                        <c:v>-101.46405940594059</c:v>
                      </c:pt>
                      <c:pt idx="30" formatCode="General">
                        <c:v>-102.02049504950494</c:v>
                      </c:pt>
                      <c:pt idx="31" formatCode="General">
                        <c:v>-102.57039603960395</c:v>
                      </c:pt>
                      <c:pt idx="32" formatCode="General">
                        <c:v>-103.10504950495049</c:v>
                      </c:pt>
                      <c:pt idx="33" formatCode="General">
                        <c:v>-103.63970297029702</c:v>
                      </c:pt>
                      <c:pt idx="34" formatCode="General">
                        <c:v>-104.16115841584158</c:v>
                      </c:pt>
                      <c:pt idx="35" formatCode="General">
                        <c:v>-104.67878217821782</c:v>
                      </c:pt>
                      <c:pt idx="36" formatCode="General">
                        <c:v>-105.19670297029703</c:v>
                      </c:pt>
                      <c:pt idx="37" formatCode="General">
                        <c:v>-105.71551485148515</c:v>
                      </c:pt>
                      <c:pt idx="38" formatCode="General">
                        <c:v>-106.23432673267327</c:v>
                      </c:pt>
                      <c:pt idx="39" formatCode="General">
                        <c:v>-106.74739603960397</c:v>
                      </c:pt>
                      <c:pt idx="40" formatCode="General">
                        <c:v>-107.25828712871288</c:v>
                      </c:pt>
                      <c:pt idx="41" formatCode="General">
                        <c:v>-107.76917821782179</c:v>
                      </c:pt>
                      <c:pt idx="42" formatCode="General">
                        <c:v>-108.2800693069307</c:v>
                      </c:pt>
                      <c:pt idx="43" formatCode="General">
                        <c:v>-108.79096039603961</c:v>
                      </c:pt>
                      <c:pt idx="44" formatCode="General">
                        <c:v>-109.30185148514852</c:v>
                      </c:pt>
                      <c:pt idx="45" formatCode="General">
                        <c:v>-109.81274257425743</c:v>
                      </c:pt>
                      <c:pt idx="46" formatCode="General">
                        <c:v>-110.32363366336634</c:v>
                      </c:pt>
                      <c:pt idx="47" formatCode="General">
                        <c:v>-110.83452475247526</c:v>
                      </c:pt>
                      <c:pt idx="48" formatCode="General">
                        <c:v>-111.34541584158417</c:v>
                      </c:pt>
                      <c:pt idx="49" formatCode="General">
                        <c:v>-111.84375340768278</c:v>
                      </c:pt>
                      <c:pt idx="50" formatCode="General">
                        <c:v>-112.33455885997522</c:v>
                      </c:pt>
                      <c:pt idx="51" formatCode="General">
                        <c:v>-112.82536431226767</c:v>
                      </c:pt>
                      <c:pt idx="52" formatCode="General">
                        <c:v>-113.3161697645601</c:v>
                      </c:pt>
                      <c:pt idx="53" formatCode="General">
                        <c:v>-113.80697521685254</c:v>
                      </c:pt>
                      <c:pt idx="54" formatCode="General">
                        <c:v>-114.29778066914498</c:v>
                      </c:pt>
                      <c:pt idx="55" formatCode="General">
                        <c:v>-114.78858612143742</c:v>
                      </c:pt>
                      <c:pt idx="56" formatCode="General">
                        <c:v>-115.27939157372987</c:v>
                      </c:pt>
                      <c:pt idx="57" formatCode="General">
                        <c:v>-115.7701970260223</c:v>
                      </c:pt>
                      <c:pt idx="58" formatCode="General">
                        <c:v>-116.26100247831474</c:v>
                      </c:pt>
                      <c:pt idx="59" formatCode="General">
                        <c:v>-116.74200866336633</c:v>
                      </c:pt>
                      <c:pt idx="60" formatCode="General">
                        <c:v>-117.21458292079208</c:v>
                      </c:pt>
                      <c:pt idx="61" formatCode="General">
                        <c:v>-117.68715717821782</c:v>
                      </c:pt>
                      <c:pt idx="62" formatCode="General">
                        <c:v>-118.15973143564356</c:v>
                      </c:pt>
                      <c:pt idx="63" formatCode="General">
                        <c:v>-118.6323056930693</c:v>
                      </c:pt>
                      <c:pt idx="64" formatCode="General">
                        <c:v>-119.10487995049505</c:v>
                      </c:pt>
                      <c:pt idx="65" formatCode="General">
                        <c:v>-119.57745420792079</c:v>
                      </c:pt>
                      <c:pt idx="66" formatCode="General">
                        <c:v>-120.05002846534653</c:v>
                      </c:pt>
                      <c:pt idx="67" formatCode="General">
                        <c:v>-120.52260272277228</c:v>
                      </c:pt>
                      <c:pt idx="68" formatCode="General">
                        <c:v>-120.99517698019801</c:v>
                      </c:pt>
                      <c:pt idx="69" formatCode="General">
                        <c:v>-121.45842255266419</c:v>
                      </c:pt>
                      <c:pt idx="70" formatCode="General">
                        <c:v>-121.9096741016109</c:v>
                      </c:pt>
                      <c:pt idx="71" formatCode="General">
                        <c:v>-122.36092565055762</c:v>
                      </c:pt>
                      <c:pt idx="72" formatCode="General">
                        <c:v>-122.81217719950433</c:v>
                      </c:pt>
                      <c:pt idx="73" formatCode="General">
                        <c:v>-123.26342874845105</c:v>
                      </c:pt>
                      <c:pt idx="74" formatCode="General">
                        <c:v>-123.71468029739776</c:v>
                      </c:pt>
                      <c:pt idx="75" formatCode="General">
                        <c:v>-124.16593184634448</c:v>
                      </c:pt>
                      <c:pt idx="76" formatCode="General">
                        <c:v>-124.61718339529119</c:v>
                      </c:pt>
                      <c:pt idx="77" formatCode="General">
                        <c:v>-125.06843494423791</c:v>
                      </c:pt>
                      <c:pt idx="78" formatCode="General">
                        <c:v>-125.51968649318462</c:v>
                      </c:pt>
                      <c:pt idx="79" formatCode="General">
                        <c:v>-125.96596039603959</c:v>
                      </c:pt>
                      <c:pt idx="80" formatCode="General">
                        <c:v>-126.40299009900988</c:v>
                      </c:pt>
                      <c:pt idx="81" formatCode="General">
                        <c:v>-126.84001980198019</c:v>
                      </c:pt>
                      <c:pt idx="82" formatCode="General">
                        <c:v>-127.27704950495048</c:v>
                      </c:pt>
                      <c:pt idx="83" formatCode="General">
                        <c:v>-127.71407920792079</c:v>
                      </c:pt>
                      <c:pt idx="84" formatCode="General">
                        <c:v>-128.15110891089108</c:v>
                      </c:pt>
                      <c:pt idx="85" formatCode="General">
                        <c:v>-128.58813861386139</c:v>
                      </c:pt>
                      <c:pt idx="86" formatCode="General">
                        <c:v>-129.0251683168317</c:v>
                      </c:pt>
                      <c:pt idx="87" formatCode="General">
                        <c:v>-129.46219801980197</c:v>
                      </c:pt>
                      <c:pt idx="88" formatCode="General">
                        <c:v>-129.89922772277228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022F-4A2F-976F-7C3C2CD148C5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-174.57772277227724</c:v>
                      </c:pt>
                      <c:pt idx="1">
                        <c:v>-171.01623762376238</c:v>
                      </c:pt>
                      <c:pt idx="2">
                        <c:v>-167.67366336633663</c:v>
                      </c:pt>
                      <c:pt idx="3">
                        <c:v>-164.35955445544553</c:v>
                      </c:pt>
                      <c:pt idx="4" formatCode="General">
                        <c:v>-161.47242574257425</c:v>
                      </c:pt>
                      <c:pt idx="5" formatCode="General">
                        <c:v>-158.58529702970296</c:v>
                      </c:pt>
                      <c:pt idx="6" formatCode="General">
                        <c:v>-156.03237623762377</c:v>
                      </c:pt>
                      <c:pt idx="7" formatCode="General">
                        <c:v>-153.76702970297029</c:v>
                      </c:pt>
                      <c:pt idx="8" formatCode="General">
                        <c:v>-151.51140099009902</c:v>
                      </c:pt>
                      <c:pt idx="9" formatCode="General">
                        <c:v>-150.0234801980198</c:v>
                      </c:pt>
                      <c:pt idx="10" formatCode="General">
                        <c:v>-148.5355594059406</c:v>
                      </c:pt>
                      <c:pt idx="11" formatCode="General">
                        <c:v>-147.04763861386138</c:v>
                      </c:pt>
                      <c:pt idx="12" formatCode="General">
                        <c:v>-145.55971782178219</c:v>
                      </c:pt>
                      <c:pt idx="13" formatCode="General">
                        <c:v>-144.07179702970296</c:v>
                      </c:pt>
                      <c:pt idx="14" formatCode="General">
                        <c:v>-142.58387623762377</c:v>
                      </c:pt>
                      <c:pt idx="15" formatCode="General">
                        <c:v>-141.09595544554455</c:v>
                      </c:pt>
                      <c:pt idx="16" formatCode="General">
                        <c:v>-139.60803465346535</c:v>
                      </c:pt>
                      <c:pt idx="17" formatCode="General">
                        <c:v>-138.12011386138616</c:v>
                      </c:pt>
                      <c:pt idx="18" formatCode="General">
                        <c:v>-136.63219306930694</c:v>
                      </c:pt>
                      <c:pt idx="19" formatCode="General">
                        <c:v>-135.5089108910891</c:v>
                      </c:pt>
                      <c:pt idx="20" formatCode="General">
                        <c:v>-134.42059405940594</c:v>
                      </c:pt>
                      <c:pt idx="21" formatCode="General">
                        <c:v>-133.38783168316832</c:v>
                      </c:pt>
                      <c:pt idx="22" formatCode="General">
                        <c:v>-132.4428811881188</c:v>
                      </c:pt>
                      <c:pt idx="23" formatCode="General">
                        <c:v>-131.49793069306929</c:v>
                      </c:pt>
                      <c:pt idx="24" formatCode="General">
                        <c:v>-130.62238805970148</c:v>
                      </c:pt>
                      <c:pt idx="25" formatCode="General">
                        <c:v>-129.75791044776119</c:v>
                      </c:pt>
                      <c:pt idx="26" formatCode="General">
                        <c:v>-128.93041584158416</c:v>
                      </c:pt>
                      <c:pt idx="27" formatCode="General">
                        <c:v>-128.17160396039603</c:v>
                      </c:pt>
                      <c:pt idx="28" formatCode="General">
                        <c:v>-127.41279207920792</c:v>
                      </c:pt>
                      <c:pt idx="29" formatCode="General">
                        <c:v>-127.85831683168317</c:v>
                      </c:pt>
                      <c:pt idx="30" formatCode="General">
                        <c:v>-128.55930693069305</c:v>
                      </c:pt>
                      <c:pt idx="31" formatCode="General">
                        <c:v>-129.25198019801979</c:v>
                      </c:pt>
                      <c:pt idx="32" formatCode="General">
                        <c:v>-129.92524752475248</c:v>
                      </c:pt>
                      <c:pt idx="33" formatCode="General">
                        <c:v>-130.59851485148516</c:v>
                      </c:pt>
                      <c:pt idx="34" formatCode="General">
                        <c:v>-131.25520792079209</c:v>
                      </c:pt>
                      <c:pt idx="35" formatCode="General">
                        <c:v>-131.9070891089109</c:v>
                      </c:pt>
                      <c:pt idx="36" formatCode="General">
                        <c:v>-132.55936633663364</c:v>
                      </c:pt>
                      <c:pt idx="37" formatCode="General">
                        <c:v>-133.21283168316833</c:v>
                      </c:pt>
                      <c:pt idx="38" formatCode="General">
                        <c:v>-133.86629702970299</c:v>
                      </c:pt>
                      <c:pt idx="39" formatCode="General">
                        <c:v>-134.51258415841585</c:v>
                      </c:pt>
                      <c:pt idx="40" formatCode="General">
                        <c:v>-135.15614851485151</c:v>
                      </c:pt>
                      <c:pt idx="41" formatCode="General">
                        <c:v>-135.79971287128714</c:v>
                      </c:pt>
                      <c:pt idx="42" formatCode="General">
                        <c:v>-136.4432772277228</c:v>
                      </c:pt>
                      <c:pt idx="43" formatCode="General">
                        <c:v>-137.08684158415844</c:v>
                      </c:pt>
                      <c:pt idx="44" formatCode="General">
                        <c:v>-137.73040594059407</c:v>
                      </c:pt>
                      <c:pt idx="45" formatCode="General">
                        <c:v>-138.37397029702973</c:v>
                      </c:pt>
                      <c:pt idx="46" formatCode="General">
                        <c:v>-139.01753465346536</c:v>
                      </c:pt>
                      <c:pt idx="47" formatCode="General">
                        <c:v>-139.66109900990102</c:v>
                      </c:pt>
                      <c:pt idx="48" formatCode="General">
                        <c:v>-140.30466336633665</c:v>
                      </c:pt>
                      <c:pt idx="49" formatCode="General">
                        <c:v>-140.93249318463447</c:v>
                      </c:pt>
                      <c:pt idx="50" formatCode="General">
                        <c:v>-141.55088228004959</c:v>
                      </c:pt>
                      <c:pt idx="51" formatCode="General">
                        <c:v>-142.16927137546469</c:v>
                      </c:pt>
                      <c:pt idx="52" formatCode="General">
                        <c:v>-142.78766047087981</c:v>
                      </c:pt>
                      <c:pt idx="53" formatCode="General">
                        <c:v>-143.40604956629494</c:v>
                      </c:pt>
                      <c:pt idx="54" formatCode="General">
                        <c:v>-144.02443866171004</c:v>
                      </c:pt>
                      <c:pt idx="55" formatCode="General">
                        <c:v>-144.64282775712516</c:v>
                      </c:pt>
                      <c:pt idx="56" formatCode="General">
                        <c:v>-145.26121685254026</c:v>
                      </c:pt>
                      <c:pt idx="57" formatCode="General">
                        <c:v>-145.87960594795538</c:v>
                      </c:pt>
                      <c:pt idx="58" formatCode="General">
                        <c:v>-146.49799504337051</c:v>
                      </c:pt>
                      <c:pt idx="59" formatCode="General">
                        <c:v>-147.10405198019802</c:v>
                      </c:pt>
                      <c:pt idx="60" formatCode="General">
                        <c:v>-147.69949752475247</c:v>
                      </c:pt>
                      <c:pt idx="61" formatCode="General">
                        <c:v>-148.29494306930692</c:v>
                      </c:pt>
                      <c:pt idx="62" formatCode="General">
                        <c:v>-148.89038861386138</c:v>
                      </c:pt>
                      <c:pt idx="63" formatCode="General">
                        <c:v>-149.48583415841583</c:v>
                      </c:pt>
                      <c:pt idx="64" formatCode="General">
                        <c:v>-150.08127970297031</c:v>
                      </c:pt>
                      <c:pt idx="65" formatCode="General">
                        <c:v>-150.67672524752476</c:v>
                      </c:pt>
                      <c:pt idx="66" formatCode="General">
                        <c:v>-151.27217079207921</c:v>
                      </c:pt>
                      <c:pt idx="67" formatCode="General">
                        <c:v>-151.86761633663366</c:v>
                      </c:pt>
                      <c:pt idx="68" formatCode="General">
                        <c:v>-152.46306188118811</c:v>
                      </c:pt>
                      <c:pt idx="69" formatCode="General">
                        <c:v>-153.04677323420074</c:v>
                      </c:pt>
                      <c:pt idx="70" formatCode="General">
                        <c:v>-153.61539776951673</c:v>
                      </c:pt>
                      <c:pt idx="71" formatCode="General">
                        <c:v>-154.18402230483272</c:v>
                      </c:pt>
                      <c:pt idx="72" formatCode="General">
                        <c:v>-154.75264684014869</c:v>
                      </c:pt>
                      <c:pt idx="73" formatCode="General">
                        <c:v>-155.32127137546468</c:v>
                      </c:pt>
                      <c:pt idx="74" formatCode="General">
                        <c:v>-155.88989591078067</c:v>
                      </c:pt>
                      <c:pt idx="75" formatCode="General">
                        <c:v>-156.45852044609666</c:v>
                      </c:pt>
                      <c:pt idx="76" formatCode="General">
                        <c:v>-157.02714498141262</c:v>
                      </c:pt>
                      <c:pt idx="77" formatCode="General">
                        <c:v>-157.59576951672861</c:v>
                      </c:pt>
                      <c:pt idx="78" formatCode="General">
                        <c:v>-158.1643940520446</c:v>
                      </c:pt>
                      <c:pt idx="79" formatCode="General">
                        <c:v>-158.72674257425743</c:v>
                      </c:pt>
                      <c:pt idx="80" formatCode="General">
                        <c:v>-159.27743564356436</c:v>
                      </c:pt>
                      <c:pt idx="81" formatCode="General">
                        <c:v>-159.82812871287129</c:v>
                      </c:pt>
                      <c:pt idx="82" formatCode="General">
                        <c:v>-160.37882178217822</c:v>
                      </c:pt>
                      <c:pt idx="83" formatCode="General">
                        <c:v>-160.92951485148515</c:v>
                      </c:pt>
                      <c:pt idx="84" formatCode="General">
                        <c:v>-161.48020792079208</c:v>
                      </c:pt>
                      <c:pt idx="85" formatCode="General">
                        <c:v>-162.03090099009901</c:v>
                      </c:pt>
                      <c:pt idx="86" formatCode="General">
                        <c:v>-162.58159405940594</c:v>
                      </c:pt>
                      <c:pt idx="87" formatCode="General">
                        <c:v>-163.13228712871287</c:v>
                      </c:pt>
                      <c:pt idx="88" formatCode="General">
                        <c:v>-163.68298019801981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22F-4A2F-976F-7C3C2CD148C5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022F-4A2F-976F-7C3C2CD148C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22F-4A2F-976F-7C3C2CD148C5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-48.673792079207914</c:v>
                      </c:pt>
                      <c:pt idx="27" formatCode="General">
                        <c:v>-48.573198019801978</c:v>
                      </c:pt>
                      <c:pt idx="28" formatCode="General">
                        <c:v>-48.472603960396036</c:v>
                      </c:pt>
                      <c:pt idx="29" formatCode="General">
                        <c:v>-48.675544554455442</c:v>
                      </c:pt>
                      <c:pt idx="30" formatCode="General">
                        <c:v>-48.94287128712871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-53.666273853779437</c:v>
                      </c:pt>
                      <c:pt idx="50" formatCode="General">
                        <c:v>-53.901912019826526</c:v>
                      </c:pt>
                      <c:pt idx="51" formatCode="General">
                        <c:v>-54.137550185873607</c:v>
                      </c:pt>
                      <c:pt idx="52" formatCode="General">
                        <c:v>-54.373188351920696</c:v>
                      </c:pt>
                      <c:pt idx="53" formatCode="General">
                        <c:v>-54.608826517967785</c:v>
                      </c:pt>
                      <c:pt idx="54" formatCode="General">
                        <c:v>-54.844464684014874</c:v>
                      </c:pt>
                      <c:pt idx="55" formatCode="General">
                        <c:v>-55.080102850061962</c:v>
                      </c:pt>
                      <c:pt idx="56" formatCode="General">
                        <c:v>-55.315741016109044</c:v>
                      </c:pt>
                      <c:pt idx="57" formatCode="General">
                        <c:v>-55.551379182156133</c:v>
                      </c:pt>
                      <c:pt idx="58" formatCode="General">
                        <c:v>-55.787017348203221</c:v>
                      </c:pt>
                      <c:pt idx="59" formatCode="General">
                        <c:v>-56.017922029702973</c:v>
                      </c:pt>
                      <c:pt idx="60" formatCode="General">
                        <c:v>-56.244753712871287</c:v>
                      </c:pt>
                      <c:pt idx="61" formatCode="General">
                        <c:v>-56.4715853960396</c:v>
                      </c:pt>
                      <c:pt idx="62" formatCode="General">
                        <c:v>-56.698417079207921</c:v>
                      </c:pt>
                      <c:pt idx="63" formatCode="General">
                        <c:v>-56.925248762376235</c:v>
                      </c:pt>
                      <c:pt idx="64" formatCode="General">
                        <c:v>-57.152080445544556</c:v>
                      </c:pt>
                      <c:pt idx="65" formatCode="General">
                        <c:v>-57.378912128712869</c:v>
                      </c:pt>
                      <c:pt idx="66" formatCode="General">
                        <c:v>-57.605743811881183</c:v>
                      </c:pt>
                      <c:pt idx="67" formatCode="General">
                        <c:v>-57.832575495049504</c:v>
                      </c:pt>
                      <c:pt idx="68" formatCode="General">
                        <c:v>-58.059407178217818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-60.444396039603951</c:v>
                      </c:pt>
                      <c:pt idx="80" formatCode="General">
                        <c:v>-60.654099009900989</c:v>
                      </c:pt>
                      <c:pt idx="81" formatCode="General">
                        <c:v>-60.863801980198019</c:v>
                      </c:pt>
                      <c:pt idx="82" formatCode="General">
                        <c:v>-61.07350495049505</c:v>
                      </c:pt>
                      <c:pt idx="83" formatCode="General">
                        <c:v>-61.28320792079208</c:v>
                      </c:pt>
                      <c:pt idx="84" formatCode="General">
                        <c:v>-61.49291089108911</c:v>
                      </c:pt>
                      <c:pt idx="85" formatCode="General">
                        <c:v>-61.702613861386141</c:v>
                      </c:pt>
                      <c:pt idx="86" formatCode="General">
                        <c:v>-61.912316831683171</c:v>
                      </c:pt>
                      <c:pt idx="87" formatCode="General">
                        <c:v>-62.122019801980201</c:v>
                      </c:pt>
                      <c:pt idx="88" formatCode="General">
                        <c:v>-62.331722772277232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22F-4A2F-976F-7C3C2CD148C5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22F-4A2F-976F-7C3C2CD148C5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-26.752207920792078</c:v>
                      </c:pt>
                      <c:pt idx="27" formatCode="General">
                        <c:v>-26.53280198019802</c:v>
                      </c:pt>
                      <c:pt idx="28" formatCode="General">
                        <c:v>-26.313396039603958</c:v>
                      </c:pt>
                      <c:pt idx="29" formatCode="General">
                        <c:v>-26.394257425742573</c:v>
                      </c:pt>
                      <c:pt idx="30" formatCode="General">
                        <c:v>-26.538811881188117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-29.088739776951673</c:v>
                      </c:pt>
                      <c:pt idx="50" formatCode="General">
                        <c:v>-29.21632342007435</c:v>
                      </c:pt>
                      <c:pt idx="51" formatCode="General">
                        <c:v>-29.343907063197026</c:v>
                      </c:pt>
                      <c:pt idx="52" formatCode="General">
                        <c:v>-29.471490706319702</c:v>
                      </c:pt>
                      <c:pt idx="53" formatCode="General">
                        <c:v>-29.599074349442379</c:v>
                      </c:pt>
                      <c:pt idx="54" formatCode="General">
                        <c:v>-29.726657992565055</c:v>
                      </c:pt>
                      <c:pt idx="55" formatCode="General">
                        <c:v>-29.854241635687732</c:v>
                      </c:pt>
                      <c:pt idx="56" formatCode="General">
                        <c:v>-29.981825278810408</c:v>
                      </c:pt>
                      <c:pt idx="57" formatCode="General">
                        <c:v>-30.109408921933085</c:v>
                      </c:pt>
                      <c:pt idx="58" formatCode="General">
                        <c:v>-30.236992565055761</c:v>
                      </c:pt>
                      <c:pt idx="59" formatCode="General">
                        <c:v>-30.362043316831681</c:v>
                      </c:pt>
                      <c:pt idx="60" formatCode="General">
                        <c:v>-30.484914603960394</c:v>
                      </c:pt>
                      <c:pt idx="61" formatCode="General">
                        <c:v>-30.607785891089108</c:v>
                      </c:pt>
                      <c:pt idx="62" formatCode="General">
                        <c:v>-30.730657178217822</c:v>
                      </c:pt>
                      <c:pt idx="63" formatCode="General">
                        <c:v>-30.853528465346532</c:v>
                      </c:pt>
                      <c:pt idx="64" formatCode="General">
                        <c:v>-30.976399752475245</c:v>
                      </c:pt>
                      <c:pt idx="65" formatCode="General">
                        <c:v>-31.099271039603959</c:v>
                      </c:pt>
                      <c:pt idx="66" formatCode="General">
                        <c:v>-31.222142326732673</c:v>
                      </c:pt>
                      <c:pt idx="67" formatCode="General">
                        <c:v>-31.345013613861386</c:v>
                      </c:pt>
                      <c:pt idx="68" formatCode="General">
                        <c:v>-31.467884900990096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-32.760782178217816</c:v>
                      </c:pt>
                      <c:pt idx="80" formatCode="General">
                        <c:v>-32.874445544554455</c:v>
                      </c:pt>
                      <c:pt idx="81" formatCode="General">
                        <c:v>-32.988108910891086</c:v>
                      </c:pt>
                      <c:pt idx="82" formatCode="General">
                        <c:v>-33.101772277227717</c:v>
                      </c:pt>
                      <c:pt idx="83" formatCode="General">
                        <c:v>-33.215435643564355</c:v>
                      </c:pt>
                      <c:pt idx="84" formatCode="General">
                        <c:v>-33.329099009900986</c:v>
                      </c:pt>
                      <c:pt idx="85" formatCode="General">
                        <c:v>-33.442762376237624</c:v>
                      </c:pt>
                      <c:pt idx="86" formatCode="General">
                        <c:v>-33.556425742574255</c:v>
                      </c:pt>
                      <c:pt idx="87" formatCode="General">
                        <c:v>-33.670089108910894</c:v>
                      </c:pt>
                      <c:pt idx="88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22F-4A2F-976F-7C3C2CD148C5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-31.291584158415841</c:v>
                      </c:pt>
                      <c:pt idx="1">
                        <c:v>-30.732871287128713</c:v>
                      </c:pt>
                      <c:pt idx="2">
                        <c:v>-30.21009900990099</c:v>
                      </c:pt>
                      <c:pt idx="3">
                        <c:v>-29.692277227722773</c:v>
                      </c:pt>
                      <c:pt idx="4" formatCode="General">
                        <c:v>-29.248712871287129</c:v>
                      </c:pt>
                      <c:pt idx="5" formatCode="General">
                        <c:v>-28.805148514851485</c:v>
                      </c:pt>
                      <c:pt idx="6" formatCode="General">
                        <c:v>-28.118910891089108</c:v>
                      </c:pt>
                      <c:pt idx="7" formatCode="General">
                        <c:v>-27.223861386138612</c:v>
                      </c:pt>
                      <c:pt idx="8" formatCode="General">
                        <c:v>-26.326987623762374</c:v>
                      </c:pt>
                      <c:pt idx="9" formatCode="General">
                        <c:v>-25.285997524752471</c:v>
                      </c:pt>
                      <c:pt idx="10" formatCode="General">
                        <c:v>-24.245007425742571</c:v>
                      </c:pt>
                      <c:pt idx="11" formatCode="General">
                        <c:v>-23.204017326732671</c:v>
                      </c:pt>
                      <c:pt idx="12" formatCode="General">
                        <c:v>-22.163027227722772</c:v>
                      </c:pt>
                      <c:pt idx="13" formatCode="General">
                        <c:v>-21.122037128712869</c:v>
                      </c:pt>
                      <c:pt idx="14" formatCode="General">
                        <c:v>-20.081047029702969</c:v>
                      </c:pt>
                      <c:pt idx="15" formatCode="General">
                        <c:v>-19.040056930693069</c:v>
                      </c:pt>
                      <c:pt idx="16" formatCode="General">
                        <c:v>-17.999066831683166</c:v>
                      </c:pt>
                      <c:pt idx="17" formatCode="General">
                        <c:v>-16.958076732673266</c:v>
                      </c:pt>
                      <c:pt idx="18" formatCode="General">
                        <c:v>-15.917086633663365</c:v>
                      </c:pt>
                      <c:pt idx="19" formatCode="General">
                        <c:v>-15.058415841584157</c:v>
                      </c:pt>
                      <c:pt idx="20" formatCode="General">
                        <c:v>-14.217227722772275</c:v>
                      </c:pt>
                      <c:pt idx="21" formatCode="General">
                        <c:v>-13.399980198019801</c:v>
                      </c:pt>
                      <c:pt idx="22" formatCode="General">
                        <c:v>-12.620574257425742</c:v>
                      </c:pt>
                      <c:pt idx="23" formatCode="General">
                        <c:v>-11.841168316831684</c:v>
                      </c:pt>
                      <c:pt idx="24" formatCode="General">
                        <c:v>-11.103731343283583</c:v>
                      </c:pt>
                      <c:pt idx="25" formatCode="General">
                        <c:v>-10.372985074626865</c:v>
                      </c:pt>
                      <c:pt idx="26" formatCode="General">
                        <c:v>-9.6612475247524738</c:v>
                      </c:pt>
                      <c:pt idx="27" formatCode="General">
                        <c:v>-8.9848118811881168</c:v>
                      </c:pt>
                      <c:pt idx="28" formatCode="General">
                        <c:v>-8.3083762376237598</c:v>
                      </c:pt>
                      <c:pt idx="29" formatCode="General">
                        <c:v>-8.2259405940594057</c:v>
                      </c:pt>
                      <c:pt idx="30" formatCode="General">
                        <c:v>-8.2695049504950493</c:v>
                      </c:pt>
                      <c:pt idx="31" formatCode="General">
                        <c:v>-8.3118811881188126</c:v>
                      </c:pt>
                      <c:pt idx="32" formatCode="General">
                        <c:v>-8.3514851485148522</c:v>
                      </c:pt>
                      <c:pt idx="33" formatCode="General">
                        <c:v>-8.3910891089108919</c:v>
                      </c:pt>
                      <c:pt idx="34" formatCode="General">
                        <c:v>-8.4300792079207927</c:v>
                      </c:pt>
                      <c:pt idx="35" formatCode="General">
                        <c:v>-8.4688910891089098</c:v>
                      </c:pt>
                      <c:pt idx="36" formatCode="General">
                        <c:v>-8.5079009900990101</c:v>
                      </c:pt>
                      <c:pt idx="37" formatCode="General">
                        <c:v>-8.5475049504950498</c:v>
                      </c:pt>
                      <c:pt idx="38" formatCode="General">
                        <c:v>-8.5871089108910894</c:v>
                      </c:pt>
                      <c:pt idx="39" formatCode="General">
                        <c:v>-8.626712871287129</c:v>
                      </c:pt>
                      <c:pt idx="40" formatCode="General">
                        <c:v>-8.6663168316831687</c:v>
                      </c:pt>
                      <c:pt idx="41" formatCode="General">
                        <c:v>-8.7059207920792083</c:v>
                      </c:pt>
                      <c:pt idx="42" formatCode="General">
                        <c:v>-8.745524752475248</c:v>
                      </c:pt>
                      <c:pt idx="43" formatCode="General">
                        <c:v>-8.7851287128712876</c:v>
                      </c:pt>
                      <c:pt idx="44" formatCode="General">
                        <c:v>-8.8247326732673272</c:v>
                      </c:pt>
                      <c:pt idx="45" formatCode="General">
                        <c:v>-8.8643366336633669</c:v>
                      </c:pt>
                      <c:pt idx="46" formatCode="General">
                        <c:v>-8.9039405940594047</c:v>
                      </c:pt>
                      <c:pt idx="47" formatCode="General">
                        <c:v>-8.9435445544554444</c:v>
                      </c:pt>
                      <c:pt idx="48" formatCode="General">
                        <c:v>-8.983148514851484</c:v>
                      </c:pt>
                      <c:pt idx="49" formatCode="General">
                        <c:v>-9.0224114002478313</c:v>
                      </c:pt>
                      <c:pt idx="50" formatCode="General">
                        <c:v>-9.0614696406443613</c:v>
                      </c:pt>
                      <c:pt idx="51" formatCode="General">
                        <c:v>-9.1005278810408914</c:v>
                      </c:pt>
                      <c:pt idx="52" formatCode="General">
                        <c:v>-9.1395861214374214</c:v>
                      </c:pt>
                      <c:pt idx="53" formatCode="General">
                        <c:v>-9.1786443618339515</c:v>
                      </c:pt>
                      <c:pt idx="54" formatCode="General">
                        <c:v>-9.2177026022304833</c:v>
                      </c:pt>
                      <c:pt idx="55" formatCode="General">
                        <c:v>-9.2567608426270134</c:v>
                      </c:pt>
                      <c:pt idx="56" formatCode="General">
                        <c:v>-9.2958190830235434</c:v>
                      </c:pt>
                      <c:pt idx="57" formatCode="General">
                        <c:v>-9.3348773234200735</c:v>
                      </c:pt>
                      <c:pt idx="58" formatCode="General">
                        <c:v>-9.3739355638166035</c:v>
                      </c:pt>
                      <c:pt idx="59" formatCode="General">
                        <c:v>-9.4123292079207914</c:v>
                      </c:pt>
                      <c:pt idx="60" formatCode="General">
                        <c:v>-9.4501509900990097</c:v>
                      </c:pt>
                      <c:pt idx="61" formatCode="General">
                        <c:v>-9.4879727722772262</c:v>
                      </c:pt>
                      <c:pt idx="62" formatCode="General">
                        <c:v>-9.5257945544554445</c:v>
                      </c:pt>
                      <c:pt idx="63" formatCode="General">
                        <c:v>-9.5636163366336628</c:v>
                      </c:pt>
                      <c:pt idx="64" formatCode="General">
                        <c:v>-9.6014381188118811</c:v>
                      </c:pt>
                      <c:pt idx="65" formatCode="General">
                        <c:v>-9.6392599009900977</c:v>
                      </c:pt>
                      <c:pt idx="66" formatCode="General">
                        <c:v>-9.677081683168316</c:v>
                      </c:pt>
                      <c:pt idx="67" formatCode="General">
                        <c:v>-9.7149034653465343</c:v>
                      </c:pt>
                      <c:pt idx="68" formatCode="General">
                        <c:v>-9.7527252475247508</c:v>
                      </c:pt>
                      <c:pt idx="69" formatCode="General">
                        <c:v>-9.7899603469640635</c:v>
                      </c:pt>
                      <c:pt idx="70" formatCode="General">
                        <c:v>-9.826441140024782</c:v>
                      </c:pt>
                      <c:pt idx="71" formatCode="General">
                        <c:v>-9.8629219330855005</c:v>
                      </c:pt>
                      <c:pt idx="72" formatCode="General">
                        <c:v>-9.899402726146219</c:v>
                      </c:pt>
                      <c:pt idx="73" formatCode="General">
                        <c:v>-9.9358835192069392</c:v>
                      </c:pt>
                      <c:pt idx="74" formatCode="General">
                        <c:v>-9.9723643122676577</c:v>
                      </c:pt>
                      <c:pt idx="75" formatCode="General">
                        <c:v>-10.008845105328376</c:v>
                      </c:pt>
                      <c:pt idx="76" formatCode="General">
                        <c:v>-10.045325898389095</c:v>
                      </c:pt>
                      <c:pt idx="77" formatCode="General">
                        <c:v>-10.081806691449813</c:v>
                      </c:pt>
                      <c:pt idx="78" formatCode="General">
                        <c:v>-10.118287484510532</c:v>
                      </c:pt>
                      <c:pt idx="79" formatCode="General">
                        <c:v>-10.154336633663366</c:v>
                      </c:pt>
                      <c:pt idx="80" formatCode="General">
                        <c:v>-10.18958415841584</c:v>
                      </c:pt>
                      <c:pt idx="81" formatCode="General">
                        <c:v>-10.224831683168317</c:v>
                      </c:pt>
                      <c:pt idx="82" formatCode="General">
                        <c:v>-10.260079207920791</c:v>
                      </c:pt>
                      <c:pt idx="83" formatCode="General">
                        <c:v>-10.295326732673267</c:v>
                      </c:pt>
                      <c:pt idx="84" formatCode="General">
                        <c:v>-10.330574257425742</c:v>
                      </c:pt>
                      <c:pt idx="85" formatCode="General">
                        <c:v>-10.365821782178218</c:v>
                      </c:pt>
                      <c:pt idx="86" formatCode="General">
                        <c:v>-10.401069306930692</c:v>
                      </c:pt>
                      <c:pt idx="87" formatCode="General">
                        <c:v>-10.436316831683168</c:v>
                      </c:pt>
                      <c:pt idx="88" formatCode="General">
                        <c:v>-10.471564356435643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22F-4A2F-976F-7C3C2CD148C5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22F-4A2F-976F-7C3C2CD148C5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-26.752207920792078</c:v>
                      </c:pt>
                      <c:pt idx="27" formatCode="General">
                        <c:v>-26.53280198019802</c:v>
                      </c:pt>
                      <c:pt idx="28" formatCode="General">
                        <c:v>-26.313396039603958</c:v>
                      </c:pt>
                      <c:pt idx="29" formatCode="General">
                        <c:v>-26.394257425742573</c:v>
                      </c:pt>
                      <c:pt idx="30" formatCode="General">
                        <c:v>-26.538811881188117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-29.088739776951673</c:v>
                      </c:pt>
                      <c:pt idx="50" formatCode="General">
                        <c:v>-29.21632342007435</c:v>
                      </c:pt>
                      <c:pt idx="51" formatCode="General">
                        <c:v>-29.343907063197026</c:v>
                      </c:pt>
                      <c:pt idx="52" formatCode="General">
                        <c:v>-29.471490706319702</c:v>
                      </c:pt>
                      <c:pt idx="53" formatCode="General">
                        <c:v>-29.599074349442379</c:v>
                      </c:pt>
                      <c:pt idx="54" formatCode="General">
                        <c:v>-29.726657992565055</c:v>
                      </c:pt>
                      <c:pt idx="55" formatCode="General">
                        <c:v>-29.854241635687732</c:v>
                      </c:pt>
                      <c:pt idx="56" formatCode="General">
                        <c:v>-29.981825278810408</c:v>
                      </c:pt>
                      <c:pt idx="57" formatCode="General">
                        <c:v>-30.109408921933085</c:v>
                      </c:pt>
                      <c:pt idx="58" formatCode="General">
                        <c:v>-30.236992565055761</c:v>
                      </c:pt>
                      <c:pt idx="59" formatCode="General">
                        <c:v>-30.362043316831681</c:v>
                      </c:pt>
                      <c:pt idx="60" formatCode="General">
                        <c:v>-30.484914603960394</c:v>
                      </c:pt>
                      <c:pt idx="61" formatCode="General">
                        <c:v>-30.607785891089108</c:v>
                      </c:pt>
                      <c:pt idx="62" formatCode="General">
                        <c:v>-30.730657178217822</c:v>
                      </c:pt>
                      <c:pt idx="63" formatCode="General">
                        <c:v>-30.853528465346532</c:v>
                      </c:pt>
                      <c:pt idx="64" formatCode="General">
                        <c:v>-30.976399752475245</c:v>
                      </c:pt>
                      <c:pt idx="65" formatCode="General">
                        <c:v>-31.099271039603959</c:v>
                      </c:pt>
                      <c:pt idx="66" formatCode="General">
                        <c:v>-31.222142326732673</c:v>
                      </c:pt>
                      <c:pt idx="67" formatCode="General">
                        <c:v>-31.345013613861386</c:v>
                      </c:pt>
                      <c:pt idx="68" formatCode="General">
                        <c:v>-31.467884900990096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-32.760782178217816</c:v>
                      </c:pt>
                      <c:pt idx="80" formatCode="General">
                        <c:v>-32.874445544554455</c:v>
                      </c:pt>
                      <c:pt idx="81" formatCode="General">
                        <c:v>-32.988108910891086</c:v>
                      </c:pt>
                      <c:pt idx="82" formatCode="General">
                        <c:v>-33.101772277227717</c:v>
                      </c:pt>
                      <c:pt idx="83" formatCode="General">
                        <c:v>-33.215435643564355</c:v>
                      </c:pt>
                      <c:pt idx="84" formatCode="General">
                        <c:v>-33.329099009900986</c:v>
                      </c:pt>
                      <c:pt idx="85" formatCode="General">
                        <c:v>-33.442762376237624</c:v>
                      </c:pt>
                      <c:pt idx="86" formatCode="General">
                        <c:v>-33.556425742574255</c:v>
                      </c:pt>
                      <c:pt idx="87" formatCode="General">
                        <c:v>-33.670089108910894</c:v>
                      </c:pt>
                      <c:pt idx="88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2F-4A2F-976F-7C3C2CD148C5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-44.797821782178218</c:v>
                      </c:pt>
                      <c:pt idx="1">
                        <c:v>-43.820198019801978</c:v>
                      </c:pt>
                      <c:pt idx="2">
                        <c:v>-42.901386138613859</c:v>
                      </c:pt>
                      <c:pt idx="3">
                        <c:v>-41.99</c:v>
                      </c:pt>
                      <c:pt idx="4" formatCode="General">
                        <c:v>-41.19</c:v>
                      </c:pt>
                      <c:pt idx="5" formatCode="General">
                        <c:v>-40.39</c:v>
                      </c:pt>
                      <c:pt idx="6" formatCode="General">
                        <c:v>-39.917821782178223</c:v>
                      </c:pt>
                      <c:pt idx="7" formatCode="General">
                        <c:v>-39.727722772277225</c:v>
                      </c:pt>
                      <c:pt idx="8" formatCode="General">
                        <c:v>-39.542970297029704</c:v>
                      </c:pt>
                      <c:pt idx="9" formatCode="General">
                        <c:v>-39.780594059405942</c:v>
                      </c:pt>
                      <c:pt idx="10" formatCode="General">
                        <c:v>-40.01821782178218</c:v>
                      </c:pt>
                      <c:pt idx="11" formatCode="General">
                        <c:v>-40.255841584158418</c:v>
                      </c:pt>
                      <c:pt idx="12" formatCode="General">
                        <c:v>-40.493465346534656</c:v>
                      </c:pt>
                      <c:pt idx="13" formatCode="General">
                        <c:v>-40.731089108910894</c:v>
                      </c:pt>
                      <c:pt idx="14" formatCode="General">
                        <c:v>-40.968712871287124</c:v>
                      </c:pt>
                      <c:pt idx="15" formatCode="General">
                        <c:v>-41.206336633663362</c:v>
                      </c:pt>
                      <c:pt idx="16" formatCode="General">
                        <c:v>-41.4439603960396</c:v>
                      </c:pt>
                      <c:pt idx="17" formatCode="General">
                        <c:v>-41.681584158415838</c:v>
                      </c:pt>
                      <c:pt idx="18" formatCode="General">
                        <c:v>-41.919207920792076</c:v>
                      </c:pt>
                      <c:pt idx="19" formatCode="General">
                        <c:v>-42.156831683168313</c:v>
                      </c:pt>
                      <c:pt idx="20" formatCode="General">
                        <c:v>-42.394455445544551</c:v>
                      </c:pt>
                      <c:pt idx="21" formatCode="General">
                        <c:v>-42.635148514851487</c:v>
                      </c:pt>
                      <c:pt idx="22" formatCode="General">
                        <c:v>-42.880693069306929</c:v>
                      </c:pt>
                      <c:pt idx="23" formatCode="General">
                        <c:v>-43.126237623762371</c:v>
                      </c:pt>
                      <c:pt idx="24" formatCode="General">
                        <c:v>-43.365970149253727</c:v>
                      </c:pt>
                      <c:pt idx="25" formatCode="General">
                        <c:v>-43.604776119402985</c:v>
                      </c:pt>
                      <c:pt idx="26" formatCode="General">
                        <c:v>-43.843168316831679</c:v>
                      </c:pt>
                      <c:pt idx="27" formatCode="General">
                        <c:v>-44.080792079207917</c:v>
                      </c:pt>
                      <c:pt idx="28" formatCode="General">
                        <c:v>-44.318415841584155</c:v>
                      </c:pt>
                      <c:pt idx="29" formatCode="General">
                        <c:v>-44.562574257425744</c:v>
                      </c:pt>
                      <c:pt idx="30" formatCode="General">
                        <c:v>-44.808118811881187</c:v>
                      </c:pt>
                      <c:pt idx="31" formatCode="General">
                        <c:v>-45.051287128712865</c:v>
                      </c:pt>
                      <c:pt idx="32" formatCode="General">
                        <c:v>-45.28891089108911</c:v>
                      </c:pt>
                      <c:pt idx="33" formatCode="General">
                        <c:v>-45.526534653465347</c:v>
                      </c:pt>
                      <c:pt idx="34" formatCode="General">
                        <c:v>-45.758019801980197</c:v>
                      </c:pt>
                      <c:pt idx="35" formatCode="General">
                        <c:v>-45.987722772277223</c:v>
                      </c:pt>
                      <c:pt idx="36" formatCode="General">
                        <c:v>-46.217425742574257</c:v>
                      </c:pt>
                      <c:pt idx="37" formatCode="General">
                        <c:v>-46.447128712871283</c:v>
                      </c:pt>
                      <c:pt idx="38" formatCode="General">
                        <c:v>-46.676831683168317</c:v>
                      </c:pt>
                      <c:pt idx="39" formatCode="General">
                        <c:v>-46.903663366336637</c:v>
                      </c:pt>
                      <c:pt idx="40" formatCode="General">
                        <c:v>-47.129405940594062</c:v>
                      </c:pt>
                      <c:pt idx="41" formatCode="General">
                        <c:v>-47.355148514851486</c:v>
                      </c:pt>
                      <c:pt idx="42" formatCode="General">
                        <c:v>-47.58089108910891</c:v>
                      </c:pt>
                      <c:pt idx="43" formatCode="General">
                        <c:v>-47.806633663366341</c:v>
                      </c:pt>
                      <c:pt idx="44" formatCode="General">
                        <c:v>-48.032376237623765</c:v>
                      </c:pt>
                      <c:pt idx="45" formatCode="General">
                        <c:v>-48.258118811881189</c:v>
                      </c:pt>
                      <c:pt idx="46" formatCode="General">
                        <c:v>-48.483861386138614</c:v>
                      </c:pt>
                      <c:pt idx="47" formatCode="General">
                        <c:v>-48.709603960396045</c:v>
                      </c:pt>
                      <c:pt idx="48" formatCode="General">
                        <c:v>-48.935346534653469</c:v>
                      </c:pt>
                      <c:pt idx="49" formatCode="General">
                        <c:v>-49.15506815365552</c:v>
                      </c:pt>
                      <c:pt idx="50" formatCode="General">
                        <c:v>-49.371177199504338</c:v>
                      </c:pt>
                      <c:pt idx="51" formatCode="General">
                        <c:v>-49.587286245353162</c:v>
                      </c:pt>
                      <c:pt idx="52" formatCode="General">
                        <c:v>-49.803395291201987</c:v>
                      </c:pt>
                      <c:pt idx="53" formatCode="General">
                        <c:v>-50.019504337050805</c:v>
                      </c:pt>
                      <c:pt idx="54" formatCode="General">
                        <c:v>-50.235613382899629</c:v>
                      </c:pt>
                      <c:pt idx="55" formatCode="General">
                        <c:v>-50.451722428748454</c:v>
                      </c:pt>
                      <c:pt idx="56" formatCode="General">
                        <c:v>-50.667831474597278</c:v>
                      </c:pt>
                      <c:pt idx="57" formatCode="General">
                        <c:v>-50.883940520446096</c:v>
                      </c:pt>
                      <c:pt idx="58" formatCode="General">
                        <c:v>-51.100049566294921</c:v>
                      </c:pt>
                      <c:pt idx="59" formatCode="General">
                        <c:v>-51.311757425742577</c:v>
                      </c:pt>
                      <c:pt idx="60" formatCode="General">
                        <c:v>-51.519678217821784</c:v>
                      </c:pt>
                      <c:pt idx="61" formatCode="General">
                        <c:v>-51.727599009900992</c:v>
                      </c:pt>
                      <c:pt idx="62" formatCode="General">
                        <c:v>-51.935519801980199</c:v>
                      </c:pt>
                      <c:pt idx="63" formatCode="General">
                        <c:v>-52.143440594059406</c:v>
                      </c:pt>
                      <c:pt idx="64" formatCode="General">
                        <c:v>-52.351361386138613</c:v>
                      </c:pt>
                      <c:pt idx="65" formatCode="General">
                        <c:v>-52.559282178217821</c:v>
                      </c:pt>
                      <c:pt idx="66" formatCode="General">
                        <c:v>-52.767202970297028</c:v>
                      </c:pt>
                      <c:pt idx="67" formatCode="General">
                        <c:v>-52.975123762376235</c:v>
                      </c:pt>
                      <c:pt idx="68" formatCode="General">
                        <c:v>-53.183044554455442</c:v>
                      </c:pt>
                      <c:pt idx="69" formatCode="General">
                        <c:v>-53.386741016109042</c:v>
                      </c:pt>
                      <c:pt idx="70" formatCode="General">
                        <c:v>-53.58500619578686</c:v>
                      </c:pt>
                      <c:pt idx="71" formatCode="General">
                        <c:v>-53.783271375464679</c:v>
                      </c:pt>
                      <c:pt idx="72" formatCode="General">
                        <c:v>-53.981536555142497</c:v>
                      </c:pt>
                      <c:pt idx="73" formatCode="General">
                        <c:v>-54.179801734820316</c:v>
                      </c:pt>
                      <c:pt idx="74" formatCode="General">
                        <c:v>-54.378066914498135</c:v>
                      </c:pt>
                      <c:pt idx="75" formatCode="General">
                        <c:v>-54.57633209417596</c:v>
                      </c:pt>
                      <c:pt idx="76" formatCode="General">
                        <c:v>-54.774597273853779</c:v>
                      </c:pt>
                      <c:pt idx="77" formatCode="General">
                        <c:v>-54.972862453531597</c:v>
                      </c:pt>
                      <c:pt idx="78" formatCode="General">
                        <c:v>-55.171127633209416</c:v>
                      </c:pt>
                      <c:pt idx="79" formatCode="General">
                        <c:v>-55.36722772277227</c:v>
                      </c:pt>
                      <c:pt idx="80" formatCode="General">
                        <c:v>-55.559306930693069</c:v>
                      </c:pt>
                      <c:pt idx="81" formatCode="General">
                        <c:v>-55.75138613861386</c:v>
                      </c:pt>
                      <c:pt idx="82" formatCode="General">
                        <c:v>-55.943465346534651</c:v>
                      </c:pt>
                      <c:pt idx="83" formatCode="General">
                        <c:v>-56.135544554455443</c:v>
                      </c:pt>
                      <c:pt idx="84" formatCode="General">
                        <c:v>-56.327623762376234</c:v>
                      </c:pt>
                      <c:pt idx="85" formatCode="General">
                        <c:v>-56.519702970297033</c:v>
                      </c:pt>
                      <c:pt idx="86" formatCode="General">
                        <c:v>-56.711782178217824</c:v>
                      </c:pt>
                      <c:pt idx="87" formatCode="General">
                        <c:v>-56.903861386138615</c:v>
                      </c:pt>
                      <c:pt idx="88" formatCode="General">
                        <c:v>-57.095940594059407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2F-4A2F-976F-7C3C2CD148C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22F-4A2F-976F-7C3C2CD148C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22F-4A2F-976F-7C3C2CD148C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22F-4A2F-976F-7C3C2CD148C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22F-4A2F-976F-7C3C2CD148C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22F-4A2F-976F-7C3C2CD148C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22F-4A2F-976F-7C3C2CD148C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22F-4A2F-976F-7C3C2CD148C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22F-4A2F-976F-7C3C2CD148C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22F-4A2F-976F-7C3C2CD148C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22F-4A2F-976F-7C3C2CD148C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22F-4A2F-976F-7C3C2CD148C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22F-4A2F-976F-7C3C2CD148C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22F-4A2F-976F-7C3C2CD148C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22F-4A2F-976F-7C3C2CD148C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22F-4A2F-976F-7C3C2CD148C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22F-4A2F-976F-7C3C2CD148C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22F-4A2F-976F-7C3C2CD148C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22F-4A2F-976F-7C3C2CD148C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22F-4A2F-976F-7C3C2CD148C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22F-4A2F-976F-7C3C2CD148C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22F-4A2F-976F-7C3C2CD148C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22F-4A2F-976F-7C3C2CD148C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22F-4A2F-976F-7C3C2CD148C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22F-4A2F-976F-7C3C2CD148C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22F-4A2F-976F-7C3C2CD148C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22F-4A2F-976F-7C3C2CD148C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22F-4A2F-976F-7C3C2CD148C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22F-4A2F-976F-7C3C2CD148C5}"/>
                  </c:ext>
                </c:extLst>
              </c15:ser>
            </c15:filteredScatterSeries>
            <c15:filteredScatterSeries>
              <c15:ser>
                <c:idx val="40"/>
                <c:order val="41"/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22F-4A2F-976F-7C3C2CD148C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22F-4A2F-976F-7C3C2CD148C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22F-4A2F-976F-7C3C2CD148C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22F-4A2F-976F-7C3C2CD148C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22F-4A2F-976F-7C3C2CD148C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22F-4A2F-976F-7C3C2CD148C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22F-4A2F-976F-7C3C2CD148C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22F-4A2F-976F-7C3C2CD148C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22F-4A2F-976F-7C3C2CD148C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22F-4A2F-976F-7C3C2CD148C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22F-4A2F-976F-7C3C2CD148C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22F-4A2F-976F-7C3C2CD148C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22F-4A2F-976F-7C3C2CD148C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7"/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-26.752207920792078</c:v>
                </c:pt>
                <c:pt idx="27" formatCode="General">
                  <c:v>-26.53280198019802</c:v>
                </c:pt>
                <c:pt idx="28" formatCode="General">
                  <c:v>-26.313396039603958</c:v>
                </c:pt>
                <c:pt idx="29" formatCode="General">
                  <c:v>-26.394257425742573</c:v>
                </c:pt>
                <c:pt idx="30" formatCode="General">
                  <c:v>-26.538811881188117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-29.088739776951673</c:v>
                </c:pt>
                <c:pt idx="50" formatCode="General">
                  <c:v>-29.21632342007435</c:v>
                </c:pt>
                <c:pt idx="51" formatCode="General">
                  <c:v>-29.343907063197026</c:v>
                </c:pt>
                <c:pt idx="52" formatCode="General">
                  <c:v>-29.471490706319702</c:v>
                </c:pt>
                <c:pt idx="53" formatCode="General">
                  <c:v>-29.599074349442379</c:v>
                </c:pt>
                <c:pt idx="54" formatCode="General">
                  <c:v>-29.726657992565055</c:v>
                </c:pt>
                <c:pt idx="55" formatCode="General">
                  <c:v>-29.854241635687732</c:v>
                </c:pt>
                <c:pt idx="56" formatCode="General">
                  <c:v>-29.981825278810408</c:v>
                </c:pt>
                <c:pt idx="57" formatCode="General">
                  <c:v>-30.109408921933085</c:v>
                </c:pt>
                <c:pt idx="58" formatCode="General">
                  <c:v>-30.236992565055761</c:v>
                </c:pt>
                <c:pt idx="59" formatCode="General">
                  <c:v>-30.362043316831681</c:v>
                </c:pt>
                <c:pt idx="60" formatCode="General">
                  <c:v>-30.484914603960394</c:v>
                </c:pt>
                <c:pt idx="61" formatCode="General">
                  <c:v>-30.607785891089108</c:v>
                </c:pt>
                <c:pt idx="62" formatCode="General">
                  <c:v>-30.730657178217822</c:v>
                </c:pt>
                <c:pt idx="63" formatCode="General">
                  <c:v>-30.853528465346532</c:v>
                </c:pt>
                <c:pt idx="64" formatCode="General">
                  <c:v>-30.976399752475245</c:v>
                </c:pt>
                <c:pt idx="65" formatCode="General">
                  <c:v>-31.099271039603959</c:v>
                </c:pt>
                <c:pt idx="66" formatCode="General">
                  <c:v>-31.222142326732673</c:v>
                </c:pt>
                <c:pt idx="67" formatCode="General">
                  <c:v>-31.345013613861386</c:v>
                </c:pt>
                <c:pt idx="68" formatCode="General">
                  <c:v>-31.467884900990096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-32.760782178217816</c:v>
                </c:pt>
                <c:pt idx="80" formatCode="General">
                  <c:v>-32.874445544554455</c:v>
                </c:pt>
                <c:pt idx="81" formatCode="General">
                  <c:v>-32.988108910891086</c:v>
                </c:pt>
                <c:pt idx="82" formatCode="General">
                  <c:v>-33.101772277227717</c:v>
                </c:pt>
                <c:pt idx="83" formatCode="General">
                  <c:v>-33.215435643564355</c:v>
                </c:pt>
                <c:pt idx="84" formatCode="General">
                  <c:v>-33.329099009900986</c:v>
                </c:pt>
                <c:pt idx="85" formatCode="General">
                  <c:v>-33.442762376237624</c:v>
                </c:pt>
                <c:pt idx="86" formatCode="General">
                  <c:v>-33.556425742574255</c:v>
                </c:pt>
                <c:pt idx="87" formatCode="General">
                  <c:v>-33.670089108910894</c:v>
                </c:pt>
                <c:pt idx="88" formatCode="General">
                  <c:v>-33.783752475247525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E643-4ABA-B106-3DE1A3552FC5}"/>
            </c:ext>
          </c:extLst>
        </c:ser>
        <c:ser>
          <c:idx val="34"/>
          <c:order val="36"/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EVALUATION!$B$137:$CP$137</c:f>
              <c:numCache>
                <c:formatCode>0</c:formatCode>
                <c:ptCount val="93"/>
                <c:pt idx="0">
                  <c:v>-38.701237623762381</c:v>
                </c:pt>
                <c:pt idx="1">
                  <c:v>-37.914900990099014</c:v>
                </c:pt>
                <c:pt idx="2">
                  <c:v>-37.174306930693071</c:v>
                </c:pt>
                <c:pt idx="3">
                  <c:v>-36.438910891089108</c:v>
                </c:pt>
                <c:pt idx="4" formatCode="General">
                  <c:v>-35.781485148514847</c:v>
                </c:pt>
                <c:pt idx="5" formatCode="General">
                  <c:v>-35.124059405940592</c:v>
                </c:pt>
                <c:pt idx="6" formatCode="General">
                  <c:v>-34.515594059405942</c:v>
                </c:pt>
                <c:pt idx="7" formatCode="General">
                  <c:v>-33.949257425742573</c:v>
                </c:pt>
                <c:pt idx="8" formatCode="General">
                  <c:v>-33.385108910891091</c:v>
                </c:pt>
                <c:pt idx="9" formatCode="General">
                  <c:v>-32.993821782178216</c:v>
                </c:pt>
                <c:pt idx="10" formatCode="General">
                  <c:v>-32.602534653465348</c:v>
                </c:pt>
                <c:pt idx="11" formatCode="General">
                  <c:v>-32.211247524752473</c:v>
                </c:pt>
                <c:pt idx="12" formatCode="General">
                  <c:v>-31.819960396039605</c:v>
                </c:pt>
                <c:pt idx="13" formatCode="General">
                  <c:v>-31.428673267326733</c:v>
                </c:pt>
                <c:pt idx="14" formatCode="General">
                  <c:v>-31.037386138613861</c:v>
                </c:pt>
                <c:pt idx="15" formatCode="General">
                  <c:v>-30.64609900990099</c:v>
                </c:pt>
                <c:pt idx="16" formatCode="General">
                  <c:v>-30.254811881188118</c:v>
                </c:pt>
                <c:pt idx="17" formatCode="General">
                  <c:v>-29.86352475247525</c:v>
                </c:pt>
                <c:pt idx="18" formatCode="General">
                  <c:v>-29.472237623762378</c:v>
                </c:pt>
                <c:pt idx="19" formatCode="General">
                  <c:v>-29.242490099009903</c:v>
                </c:pt>
                <c:pt idx="20" formatCode="General">
                  <c:v>-29.028232673267325</c:v>
                </c:pt>
                <c:pt idx="21" formatCode="General">
                  <c:v>-28.850499999999997</c:v>
                </c:pt>
                <c:pt idx="22" formatCode="General">
                  <c:v>-28.730499999999999</c:v>
                </c:pt>
                <c:pt idx="23" formatCode="General">
                  <c:v>-28.610499999999998</c:v>
                </c:pt>
                <c:pt idx="24" formatCode="General">
                  <c:v>-28.568597014925373</c:v>
                </c:pt>
                <c:pt idx="25" formatCode="General">
                  <c:v>-28.539144278606965</c:v>
                </c:pt>
                <c:pt idx="26" formatCode="General">
                  <c:v>-28.534693069306933</c:v>
                </c:pt>
                <c:pt idx="27" formatCode="General">
                  <c:v>-28.576673267326736</c:v>
                </c:pt>
                <c:pt idx="28" formatCode="General">
                  <c:v>-28.618653465346537</c:v>
                </c:pt>
                <c:pt idx="29" formatCode="General">
                  <c:v>-28.702782178217824</c:v>
                </c:pt>
                <c:pt idx="30" formatCode="General">
                  <c:v>-28.795851485148514</c:v>
                </c:pt>
                <c:pt idx="31" formatCode="General">
                  <c:v>-28.895574257425743</c:v>
                </c:pt>
                <c:pt idx="32" formatCode="General">
                  <c:v>-29.010821782178215</c:v>
                </c:pt>
                <c:pt idx="33" formatCode="General">
                  <c:v>-29.126069306930692</c:v>
                </c:pt>
                <c:pt idx="34" formatCode="General">
                  <c:v>-29.250831683168315</c:v>
                </c:pt>
                <c:pt idx="35" formatCode="General">
                  <c:v>-29.378356435643564</c:v>
                </c:pt>
                <c:pt idx="36" formatCode="General">
                  <c:v>-29.506871287128714</c:v>
                </c:pt>
                <c:pt idx="37" formatCode="General">
                  <c:v>-29.638356435643566</c:v>
                </c:pt>
                <c:pt idx="38" formatCode="General">
                  <c:v>-29.769841584158417</c:v>
                </c:pt>
                <c:pt idx="39" formatCode="General">
                  <c:v>-29.899891089108912</c:v>
                </c:pt>
                <c:pt idx="40" formatCode="General">
                  <c:v>-30.029396039603963</c:v>
                </c:pt>
                <c:pt idx="41" formatCode="General">
                  <c:v>-30.159772277227727</c:v>
                </c:pt>
                <c:pt idx="42" formatCode="General">
                  <c:v>-30.293633663366339</c:v>
                </c:pt>
                <c:pt idx="43" formatCode="General">
                  <c:v>-30.427495049504952</c:v>
                </c:pt>
                <c:pt idx="44" formatCode="General">
                  <c:v>-30.558950495049505</c:v>
                </c:pt>
                <c:pt idx="45" formatCode="General">
                  <c:v>-30.689247524752474</c:v>
                </c:pt>
                <c:pt idx="46" formatCode="General">
                  <c:v>-30.819544554455444</c:v>
                </c:pt>
                <c:pt idx="47" formatCode="General">
                  <c:v>-30.949841584158413</c:v>
                </c:pt>
                <c:pt idx="48" formatCode="General">
                  <c:v>-31.080138613861383</c:v>
                </c:pt>
                <c:pt idx="49" formatCode="General">
                  <c:v>-31.208677819083022</c:v>
                </c:pt>
                <c:pt idx="50" formatCode="General">
                  <c:v>-31.33616232961586</c:v>
                </c:pt>
                <c:pt idx="51" formatCode="General">
                  <c:v>-31.463646840148698</c:v>
                </c:pt>
                <c:pt idx="52" formatCode="General">
                  <c:v>-31.591131350681536</c:v>
                </c:pt>
                <c:pt idx="53" formatCode="General">
                  <c:v>-31.718615861214371</c:v>
                </c:pt>
                <c:pt idx="54" formatCode="General">
                  <c:v>-31.846100371747209</c:v>
                </c:pt>
                <c:pt idx="55" formatCode="General">
                  <c:v>-31.973584882280047</c:v>
                </c:pt>
                <c:pt idx="56" formatCode="General">
                  <c:v>-32.101069392812889</c:v>
                </c:pt>
                <c:pt idx="57" formatCode="General">
                  <c:v>-32.228553903345727</c:v>
                </c:pt>
                <c:pt idx="58" formatCode="General">
                  <c:v>-32.356038413878558</c:v>
                </c:pt>
                <c:pt idx="59" formatCode="General">
                  <c:v>-32.481043316831681</c:v>
                </c:pt>
                <c:pt idx="60" formatCode="General">
                  <c:v>-32.603914603960398</c:v>
                </c:pt>
                <c:pt idx="61" formatCode="General">
                  <c:v>-32.726785891089108</c:v>
                </c:pt>
                <c:pt idx="62" formatCode="General">
                  <c:v>-32.849657178217818</c:v>
                </c:pt>
                <c:pt idx="63" formatCode="General">
                  <c:v>-32.972528465346535</c:v>
                </c:pt>
                <c:pt idx="64" formatCode="General">
                  <c:v>-33.095399752475245</c:v>
                </c:pt>
                <c:pt idx="65" formatCode="General">
                  <c:v>-33.218271039603962</c:v>
                </c:pt>
                <c:pt idx="66" formatCode="General">
                  <c:v>-33.341142326732673</c:v>
                </c:pt>
                <c:pt idx="67" formatCode="General">
                  <c:v>-33.464013613861383</c:v>
                </c:pt>
                <c:pt idx="68" formatCode="General">
                  <c:v>-33.5868849009901</c:v>
                </c:pt>
                <c:pt idx="69" formatCode="General">
                  <c:v>-33.707394052044606</c:v>
                </c:pt>
                <c:pt idx="70" formatCode="General">
                  <c:v>-33.82486617100372</c:v>
                </c:pt>
                <c:pt idx="71" formatCode="General">
                  <c:v>-33.942338289962827</c:v>
                </c:pt>
                <c:pt idx="72" formatCode="General">
                  <c:v>-34.059810408921933</c:v>
                </c:pt>
                <c:pt idx="73" formatCode="General">
                  <c:v>-34.17728252788104</c:v>
                </c:pt>
                <c:pt idx="74" formatCode="General">
                  <c:v>-34.294754646840147</c:v>
                </c:pt>
                <c:pt idx="75" formatCode="General">
                  <c:v>-34.412226765799254</c:v>
                </c:pt>
                <c:pt idx="76" formatCode="General">
                  <c:v>-34.529698884758368</c:v>
                </c:pt>
                <c:pt idx="77" formatCode="General">
                  <c:v>-34.647171003717474</c:v>
                </c:pt>
                <c:pt idx="78" formatCode="General">
                  <c:v>-34.764643122676581</c:v>
                </c:pt>
                <c:pt idx="79" formatCode="General">
                  <c:v>-34.880747524752479</c:v>
                </c:pt>
                <c:pt idx="80" formatCode="General">
                  <c:v>-34.994311881188118</c:v>
                </c:pt>
                <c:pt idx="81" formatCode="General">
                  <c:v>-35.107876237623763</c:v>
                </c:pt>
                <c:pt idx="82" formatCode="General">
                  <c:v>-35.221440594059409</c:v>
                </c:pt>
                <c:pt idx="83" formatCode="General">
                  <c:v>-35.335004950495048</c:v>
                </c:pt>
                <c:pt idx="84" formatCode="General">
                  <c:v>-35.448569306930693</c:v>
                </c:pt>
                <c:pt idx="85" formatCode="General">
                  <c:v>-35.562133663366339</c:v>
                </c:pt>
                <c:pt idx="86" formatCode="General">
                  <c:v>-35.675698019801978</c:v>
                </c:pt>
                <c:pt idx="87" formatCode="General">
                  <c:v>-35.789262376237623</c:v>
                </c:pt>
                <c:pt idx="88" formatCode="General">
                  <c:v>-35.902826732673269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E643-4ABA-B106-3DE1A3552FC5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-174.57772277227724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43-4ABA-B106-3DE1A3552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-136.5330198019802</c:v>
                      </c:pt>
                      <c:pt idx="1">
                        <c:v>-133.73970297029703</c:v>
                      </c:pt>
                      <c:pt idx="2">
                        <c:v>-131.11792079207922</c:v>
                      </c:pt>
                      <c:pt idx="3">
                        <c:v>-128.51841584158416</c:v>
                      </c:pt>
                      <c:pt idx="4" formatCode="General">
                        <c:v>-126.2530693069307</c:v>
                      </c:pt>
                      <c:pt idx="5" formatCode="General">
                        <c:v>-123.98772277227724</c:v>
                      </c:pt>
                      <c:pt idx="6" formatCode="General">
                        <c:v>-122.0140099009901</c:v>
                      </c:pt>
                      <c:pt idx="7" formatCode="General">
                        <c:v>-120.29123762376238</c:v>
                      </c:pt>
                      <c:pt idx="8" formatCode="General">
                        <c:v>-118.57642202970297</c:v>
                      </c:pt>
                      <c:pt idx="9" formatCode="General">
                        <c:v>-117.4901844059406</c:v>
                      </c:pt>
                      <c:pt idx="10" formatCode="General">
                        <c:v>-116.40394678217822</c:v>
                      </c:pt>
                      <c:pt idx="11" formatCode="General">
                        <c:v>-115.31770915841584</c:v>
                      </c:pt>
                      <c:pt idx="12" formatCode="General">
                        <c:v>-114.23147153465347</c:v>
                      </c:pt>
                      <c:pt idx="13" formatCode="General">
                        <c:v>-113.14523391089109</c:v>
                      </c:pt>
                      <c:pt idx="14" formatCode="General">
                        <c:v>-112.05899628712871</c:v>
                      </c:pt>
                      <c:pt idx="15" formatCode="General">
                        <c:v>-110.97275866336633</c:v>
                      </c:pt>
                      <c:pt idx="16" formatCode="General">
                        <c:v>-109.88652103960396</c:v>
                      </c:pt>
                      <c:pt idx="17" formatCode="General">
                        <c:v>-108.80028341584158</c:v>
                      </c:pt>
                      <c:pt idx="18" formatCode="General">
                        <c:v>-107.7140457920792</c:v>
                      </c:pt>
                      <c:pt idx="19" formatCode="General">
                        <c:v>-106.90128712871287</c:v>
                      </c:pt>
                      <c:pt idx="20" formatCode="General">
                        <c:v>-106.11475247524751</c:v>
                      </c:pt>
                      <c:pt idx="21" formatCode="General">
                        <c:v>-105.37026732673267</c:v>
                      </c:pt>
                      <c:pt idx="22" formatCode="General">
                        <c:v>-104.69224752475247</c:v>
                      </c:pt>
                      <c:pt idx="23" formatCode="General">
                        <c:v>-104.01422772277228</c:v>
                      </c:pt>
                      <c:pt idx="24" formatCode="General">
                        <c:v>-103.38753731343283</c:v>
                      </c:pt>
                      <c:pt idx="25" formatCode="General">
                        <c:v>-102.76902985074626</c:v>
                      </c:pt>
                      <c:pt idx="26" formatCode="General">
                        <c:v>-102.17820792079208</c:v>
                      </c:pt>
                      <c:pt idx="27" formatCode="General">
                        <c:v>-101.63880198019801</c:v>
                      </c:pt>
                      <c:pt idx="28" formatCode="General">
                        <c:v>-101.09939603960396</c:v>
                      </c:pt>
                      <c:pt idx="29" formatCode="General">
                        <c:v>-101.46405940594059</c:v>
                      </c:pt>
                      <c:pt idx="30" formatCode="General">
                        <c:v>-102.02049504950494</c:v>
                      </c:pt>
                      <c:pt idx="31" formatCode="General">
                        <c:v>-102.57039603960395</c:v>
                      </c:pt>
                      <c:pt idx="32" formatCode="General">
                        <c:v>-103.10504950495049</c:v>
                      </c:pt>
                      <c:pt idx="33" formatCode="General">
                        <c:v>-103.63970297029702</c:v>
                      </c:pt>
                      <c:pt idx="34" formatCode="General">
                        <c:v>-104.16115841584158</c:v>
                      </c:pt>
                      <c:pt idx="35" formatCode="General">
                        <c:v>-104.67878217821782</c:v>
                      </c:pt>
                      <c:pt idx="36" formatCode="General">
                        <c:v>-105.19670297029703</c:v>
                      </c:pt>
                      <c:pt idx="37" formatCode="General">
                        <c:v>-105.71551485148515</c:v>
                      </c:pt>
                      <c:pt idx="38" formatCode="General">
                        <c:v>-106.23432673267327</c:v>
                      </c:pt>
                      <c:pt idx="39" formatCode="General">
                        <c:v>-106.74739603960397</c:v>
                      </c:pt>
                      <c:pt idx="40" formatCode="General">
                        <c:v>-107.25828712871288</c:v>
                      </c:pt>
                      <c:pt idx="41" formatCode="General">
                        <c:v>-107.76917821782179</c:v>
                      </c:pt>
                      <c:pt idx="42" formatCode="General">
                        <c:v>-108.2800693069307</c:v>
                      </c:pt>
                      <c:pt idx="43" formatCode="General">
                        <c:v>-108.79096039603961</c:v>
                      </c:pt>
                      <c:pt idx="44" formatCode="General">
                        <c:v>-109.30185148514852</c:v>
                      </c:pt>
                      <c:pt idx="45" formatCode="General">
                        <c:v>-109.81274257425743</c:v>
                      </c:pt>
                      <c:pt idx="46" formatCode="General">
                        <c:v>-110.32363366336634</c:v>
                      </c:pt>
                      <c:pt idx="47" formatCode="General">
                        <c:v>-110.83452475247526</c:v>
                      </c:pt>
                      <c:pt idx="48" formatCode="General">
                        <c:v>-111.34541584158417</c:v>
                      </c:pt>
                      <c:pt idx="49" formatCode="General">
                        <c:v>-111.84375340768278</c:v>
                      </c:pt>
                      <c:pt idx="50" formatCode="General">
                        <c:v>-112.33455885997522</c:v>
                      </c:pt>
                      <c:pt idx="51" formatCode="General">
                        <c:v>-112.82536431226767</c:v>
                      </c:pt>
                      <c:pt idx="52" formatCode="General">
                        <c:v>-113.3161697645601</c:v>
                      </c:pt>
                      <c:pt idx="53" formatCode="General">
                        <c:v>-113.80697521685254</c:v>
                      </c:pt>
                      <c:pt idx="54" formatCode="General">
                        <c:v>-114.29778066914498</c:v>
                      </c:pt>
                      <c:pt idx="55" formatCode="General">
                        <c:v>-114.78858612143742</c:v>
                      </c:pt>
                      <c:pt idx="56" formatCode="General">
                        <c:v>-115.27939157372987</c:v>
                      </c:pt>
                      <c:pt idx="57" formatCode="General">
                        <c:v>-115.7701970260223</c:v>
                      </c:pt>
                      <c:pt idx="58" formatCode="General">
                        <c:v>-116.26100247831474</c:v>
                      </c:pt>
                      <c:pt idx="59" formatCode="General">
                        <c:v>-116.74200866336633</c:v>
                      </c:pt>
                      <c:pt idx="60" formatCode="General">
                        <c:v>-117.21458292079208</c:v>
                      </c:pt>
                      <c:pt idx="61" formatCode="General">
                        <c:v>-117.68715717821782</c:v>
                      </c:pt>
                      <c:pt idx="62" formatCode="General">
                        <c:v>-118.15973143564356</c:v>
                      </c:pt>
                      <c:pt idx="63" formatCode="General">
                        <c:v>-118.6323056930693</c:v>
                      </c:pt>
                      <c:pt idx="64" formatCode="General">
                        <c:v>-119.10487995049505</c:v>
                      </c:pt>
                      <c:pt idx="65" formatCode="General">
                        <c:v>-119.57745420792079</c:v>
                      </c:pt>
                      <c:pt idx="66" formatCode="General">
                        <c:v>-120.05002846534653</c:v>
                      </c:pt>
                      <c:pt idx="67" formatCode="General">
                        <c:v>-120.52260272277228</c:v>
                      </c:pt>
                      <c:pt idx="68" formatCode="General">
                        <c:v>-120.99517698019801</c:v>
                      </c:pt>
                      <c:pt idx="69" formatCode="General">
                        <c:v>-121.45842255266419</c:v>
                      </c:pt>
                      <c:pt idx="70" formatCode="General">
                        <c:v>-121.9096741016109</c:v>
                      </c:pt>
                      <c:pt idx="71" formatCode="General">
                        <c:v>-122.36092565055762</c:v>
                      </c:pt>
                      <c:pt idx="72" formatCode="General">
                        <c:v>-122.81217719950433</c:v>
                      </c:pt>
                      <c:pt idx="73" formatCode="General">
                        <c:v>-123.26342874845105</c:v>
                      </c:pt>
                      <c:pt idx="74" formatCode="General">
                        <c:v>-123.71468029739776</c:v>
                      </c:pt>
                      <c:pt idx="75" formatCode="General">
                        <c:v>-124.16593184634448</c:v>
                      </c:pt>
                      <c:pt idx="76" formatCode="General">
                        <c:v>-124.61718339529119</c:v>
                      </c:pt>
                      <c:pt idx="77" formatCode="General">
                        <c:v>-125.06843494423791</c:v>
                      </c:pt>
                      <c:pt idx="78" formatCode="General">
                        <c:v>-125.51968649318462</c:v>
                      </c:pt>
                      <c:pt idx="79" formatCode="General">
                        <c:v>-125.96596039603959</c:v>
                      </c:pt>
                      <c:pt idx="80" formatCode="General">
                        <c:v>-126.40299009900988</c:v>
                      </c:pt>
                      <c:pt idx="81" formatCode="General">
                        <c:v>-126.84001980198019</c:v>
                      </c:pt>
                      <c:pt idx="82" formatCode="General">
                        <c:v>-127.27704950495048</c:v>
                      </c:pt>
                      <c:pt idx="83" formatCode="General">
                        <c:v>-127.71407920792079</c:v>
                      </c:pt>
                      <c:pt idx="84" formatCode="General">
                        <c:v>-128.15110891089108</c:v>
                      </c:pt>
                      <c:pt idx="85" formatCode="General">
                        <c:v>-128.58813861386139</c:v>
                      </c:pt>
                      <c:pt idx="86" formatCode="General">
                        <c:v>-129.0251683168317</c:v>
                      </c:pt>
                      <c:pt idx="87" formatCode="General">
                        <c:v>-129.46219801980197</c:v>
                      </c:pt>
                      <c:pt idx="88" formatCode="General">
                        <c:v>-129.89922772277228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643-4ABA-B106-3DE1A3552FC5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-174.57772277227724</c:v>
                      </c:pt>
                      <c:pt idx="1">
                        <c:v>-171.01623762376238</c:v>
                      </c:pt>
                      <c:pt idx="2">
                        <c:v>-167.67366336633663</c:v>
                      </c:pt>
                      <c:pt idx="3">
                        <c:v>-164.35955445544553</c:v>
                      </c:pt>
                      <c:pt idx="4" formatCode="General">
                        <c:v>-161.47242574257425</c:v>
                      </c:pt>
                      <c:pt idx="5" formatCode="General">
                        <c:v>-158.58529702970296</c:v>
                      </c:pt>
                      <c:pt idx="6" formatCode="General">
                        <c:v>-156.03237623762377</c:v>
                      </c:pt>
                      <c:pt idx="7" formatCode="General">
                        <c:v>-153.76702970297029</c:v>
                      </c:pt>
                      <c:pt idx="8" formatCode="General">
                        <c:v>-151.51140099009902</c:v>
                      </c:pt>
                      <c:pt idx="9" formatCode="General">
                        <c:v>-150.0234801980198</c:v>
                      </c:pt>
                      <c:pt idx="10" formatCode="General">
                        <c:v>-148.5355594059406</c:v>
                      </c:pt>
                      <c:pt idx="11" formatCode="General">
                        <c:v>-147.04763861386138</c:v>
                      </c:pt>
                      <c:pt idx="12" formatCode="General">
                        <c:v>-145.55971782178219</c:v>
                      </c:pt>
                      <c:pt idx="13" formatCode="General">
                        <c:v>-144.07179702970296</c:v>
                      </c:pt>
                      <c:pt idx="14" formatCode="General">
                        <c:v>-142.58387623762377</c:v>
                      </c:pt>
                      <c:pt idx="15" formatCode="General">
                        <c:v>-141.09595544554455</c:v>
                      </c:pt>
                      <c:pt idx="16" formatCode="General">
                        <c:v>-139.60803465346535</c:v>
                      </c:pt>
                      <c:pt idx="17" formatCode="General">
                        <c:v>-138.12011386138616</c:v>
                      </c:pt>
                      <c:pt idx="18" formatCode="General">
                        <c:v>-136.63219306930694</c:v>
                      </c:pt>
                      <c:pt idx="19" formatCode="General">
                        <c:v>-135.5089108910891</c:v>
                      </c:pt>
                      <c:pt idx="20" formatCode="General">
                        <c:v>-134.42059405940594</c:v>
                      </c:pt>
                      <c:pt idx="21" formatCode="General">
                        <c:v>-133.38783168316832</c:v>
                      </c:pt>
                      <c:pt idx="22" formatCode="General">
                        <c:v>-132.4428811881188</c:v>
                      </c:pt>
                      <c:pt idx="23" formatCode="General">
                        <c:v>-131.49793069306929</c:v>
                      </c:pt>
                      <c:pt idx="24" formatCode="General">
                        <c:v>-130.62238805970148</c:v>
                      </c:pt>
                      <c:pt idx="25" formatCode="General">
                        <c:v>-129.75791044776119</c:v>
                      </c:pt>
                      <c:pt idx="26" formatCode="General">
                        <c:v>-128.93041584158416</c:v>
                      </c:pt>
                      <c:pt idx="27" formatCode="General">
                        <c:v>-128.17160396039603</c:v>
                      </c:pt>
                      <c:pt idx="28" formatCode="General">
                        <c:v>-127.41279207920792</c:v>
                      </c:pt>
                      <c:pt idx="29" formatCode="General">
                        <c:v>-127.85831683168317</c:v>
                      </c:pt>
                      <c:pt idx="30" formatCode="General">
                        <c:v>-128.55930693069305</c:v>
                      </c:pt>
                      <c:pt idx="31" formatCode="General">
                        <c:v>-129.25198019801979</c:v>
                      </c:pt>
                      <c:pt idx="32" formatCode="General">
                        <c:v>-129.92524752475248</c:v>
                      </c:pt>
                      <c:pt idx="33" formatCode="General">
                        <c:v>-130.59851485148516</c:v>
                      </c:pt>
                      <c:pt idx="34" formatCode="General">
                        <c:v>-131.25520792079209</c:v>
                      </c:pt>
                      <c:pt idx="35" formatCode="General">
                        <c:v>-131.9070891089109</c:v>
                      </c:pt>
                      <c:pt idx="36" formatCode="General">
                        <c:v>-132.55936633663364</c:v>
                      </c:pt>
                      <c:pt idx="37" formatCode="General">
                        <c:v>-133.21283168316833</c:v>
                      </c:pt>
                      <c:pt idx="38" formatCode="General">
                        <c:v>-133.86629702970299</c:v>
                      </c:pt>
                      <c:pt idx="39" formatCode="General">
                        <c:v>-134.51258415841585</c:v>
                      </c:pt>
                      <c:pt idx="40" formatCode="General">
                        <c:v>-135.15614851485151</c:v>
                      </c:pt>
                      <c:pt idx="41" formatCode="General">
                        <c:v>-135.79971287128714</c:v>
                      </c:pt>
                      <c:pt idx="42" formatCode="General">
                        <c:v>-136.4432772277228</c:v>
                      </c:pt>
                      <c:pt idx="43" formatCode="General">
                        <c:v>-137.08684158415844</c:v>
                      </c:pt>
                      <c:pt idx="44" formatCode="General">
                        <c:v>-137.73040594059407</c:v>
                      </c:pt>
                      <c:pt idx="45" formatCode="General">
                        <c:v>-138.37397029702973</c:v>
                      </c:pt>
                      <c:pt idx="46" formatCode="General">
                        <c:v>-139.01753465346536</c:v>
                      </c:pt>
                      <c:pt idx="47" formatCode="General">
                        <c:v>-139.66109900990102</c:v>
                      </c:pt>
                      <c:pt idx="48" formatCode="General">
                        <c:v>-140.30466336633665</c:v>
                      </c:pt>
                      <c:pt idx="49" formatCode="General">
                        <c:v>-140.93249318463447</c:v>
                      </c:pt>
                      <c:pt idx="50" formatCode="General">
                        <c:v>-141.55088228004959</c:v>
                      </c:pt>
                      <c:pt idx="51" formatCode="General">
                        <c:v>-142.16927137546469</c:v>
                      </c:pt>
                      <c:pt idx="52" formatCode="General">
                        <c:v>-142.78766047087981</c:v>
                      </c:pt>
                      <c:pt idx="53" formatCode="General">
                        <c:v>-143.40604956629494</c:v>
                      </c:pt>
                      <c:pt idx="54" formatCode="General">
                        <c:v>-144.02443866171004</c:v>
                      </c:pt>
                      <c:pt idx="55" formatCode="General">
                        <c:v>-144.64282775712516</c:v>
                      </c:pt>
                      <c:pt idx="56" formatCode="General">
                        <c:v>-145.26121685254026</c:v>
                      </c:pt>
                      <c:pt idx="57" formatCode="General">
                        <c:v>-145.87960594795538</c:v>
                      </c:pt>
                      <c:pt idx="58" formatCode="General">
                        <c:v>-146.49799504337051</c:v>
                      </c:pt>
                      <c:pt idx="59" formatCode="General">
                        <c:v>-147.10405198019802</c:v>
                      </c:pt>
                      <c:pt idx="60" formatCode="General">
                        <c:v>-147.69949752475247</c:v>
                      </c:pt>
                      <c:pt idx="61" formatCode="General">
                        <c:v>-148.29494306930692</c:v>
                      </c:pt>
                      <c:pt idx="62" formatCode="General">
                        <c:v>-148.89038861386138</c:v>
                      </c:pt>
                      <c:pt idx="63" formatCode="General">
                        <c:v>-149.48583415841583</c:v>
                      </c:pt>
                      <c:pt idx="64" formatCode="General">
                        <c:v>-150.08127970297031</c:v>
                      </c:pt>
                      <c:pt idx="65" formatCode="General">
                        <c:v>-150.67672524752476</c:v>
                      </c:pt>
                      <c:pt idx="66" formatCode="General">
                        <c:v>-151.27217079207921</c:v>
                      </c:pt>
                      <c:pt idx="67" formatCode="General">
                        <c:v>-151.86761633663366</c:v>
                      </c:pt>
                      <c:pt idx="68" formatCode="General">
                        <c:v>-152.46306188118811</c:v>
                      </c:pt>
                      <c:pt idx="69" formatCode="General">
                        <c:v>-153.04677323420074</c:v>
                      </c:pt>
                      <c:pt idx="70" formatCode="General">
                        <c:v>-153.61539776951673</c:v>
                      </c:pt>
                      <c:pt idx="71" formatCode="General">
                        <c:v>-154.18402230483272</c:v>
                      </c:pt>
                      <c:pt idx="72" formatCode="General">
                        <c:v>-154.75264684014869</c:v>
                      </c:pt>
                      <c:pt idx="73" formatCode="General">
                        <c:v>-155.32127137546468</c:v>
                      </c:pt>
                      <c:pt idx="74" formatCode="General">
                        <c:v>-155.88989591078067</c:v>
                      </c:pt>
                      <c:pt idx="75" formatCode="General">
                        <c:v>-156.45852044609666</c:v>
                      </c:pt>
                      <c:pt idx="76" formatCode="General">
                        <c:v>-157.02714498141262</c:v>
                      </c:pt>
                      <c:pt idx="77" formatCode="General">
                        <c:v>-157.59576951672861</c:v>
                      </c:pt>
                      <c:pt idx="78" formatCode="General">
                        <c:v>-158.1643940520446</c:v>
                      </c:pt>
                      <c:pt idx="79" formatCode="General">
                        <c:v>-158.72674257425743</c:v>
                      </c:pt>
                      <c:pt idx="80" formatCode="General">
                        <c:v>-159.27743564356436</c:v>
                      </c:pt>
                      <c:pt idx="81" formatCode="General">
                        <c:v>-159.82812871287129</c:v>
                      </c:pt>
                      <c:pt idx="82" formatCode="General">
                        <c:v>-160.37882178217822</c:v>
                      </c:pt>
                      <c:pt idx="83" formatCode="General">
                        <c:v>-160.92951485148515</c:v>
                      </c:pt>
                      <c:pt idx="84" formatCode="General">
                        <c:v>-161.48020792079208</c:v>
                      </c:pt>
                      <c:pt idx="85" formatCode="General">
                        <c:v>-162.03090099009901</c:v>
                      </c:pt>
                      <c:pt idx="86" formatCode="General">
                        <c:v>-162.58159405940594</c:v>
                      </c:pt>
                      <c:pt idx="87" formatCode="General">
                        <c:v>-163.13228712871287</c:v>
                      </c:pt>
                      <c:pt idx="88" formatCode="General">
                        <c:v>-163.68298019801981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643-4ABA-B106-3DE1A3552FC5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0-E643-4ABA-B106-3DE1A3552FC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643-4ABA-B106-3DE1A3552FC5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643-4ABA-B106-3DE1A3552FC5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-48.673792079207914</c:v>
                      </c:pt>
                      <c:pt idx="27" formatCode="General">
                        <c:v>-48.573198019801978</c:v>
                      </c:pt>
                      <c:pt idx="28" formatCode="General">
                        <c:v>-48.472603960396036</c:v>
                      </c:pt>
                      <c:pt idx="29" formatCode="General">
                        <c:v>-48.675544554455442</c:v>
                      </c:pt>
                      <c:pt idx="30" formatCode="General">
                        <c:v>-48.94287128712871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-53.666273853779437</c:v>
                      </c:pt>
                      <c:pt idx="50" formatCode="General">
                        <c:v>-53.901912019826526</c:v>
                      </c:pt>
                      <c:pt idx="51" formatCode="General">
                        <c:v>-54.137550185873607</c:v>
                      </c:pt>
                      <c:pt idx="52" formatCode="General">
                        <c:v>-54.373188351920696</c:v>
                      </c:pt>
                      <c:pt idx="53" formatCode="General">
                        <c:v>-54.608826517967785</c:v>
                      </c:pt>
                      <c:pt idx="54" formatCode="General">
                        <c:v>-54.844464684014874</c:v>
                      </c:pt>
                      <c:pt idx="55" formatCode="General">
                        <c:v>-55.080102850061962</c:v>
                      </c:pt>
                      <c:pt idx="56" formatCode="General">
                        <c:v>-55.315741016109044</c:v>
                      </c:pt>
                      <c:pt idx="57" formatCode="General">
                        <c:v>-55.551379182156133</c:v>
                      </c:pt>
                      <c:pt idx="58" formatCode="General">
                        <c:v>-55.787017348203221</c:v>
                      </c:pt>
                      <c:pt idx="59" formatCode="General">
                        <c:v>-56.017922029702973</c:v>
                      </c:pt>
                      <c:pt idx="60" formatCode="General">
                        <c:v>-56.244753712871287</c:v>
                      </c:pt>
                      <c:pt idx="61" formatCode="General">
                        <c:v>-56.4715853960396</c:v>
                      </c:pt>
                      <c:pt idx="62" formatCode="General">
                        <c:v>-56.698417079207921</c:v>
                      </c:pt>
                      <c:pt idx="63" formatCode="General">
                        <c:v>-56.925248762376235</c:v>
                      </c:pt>
                      <c:pt idx="64" formatCode="General">
                        <c:v>-57.152080445544556</c:v>
                      </c:pt>
                      <c:pt idx="65" formatCode="General">
                        <c:v>-57.378912128712869</c:v>
                      </c:pt>
                      <c:pt idx="66" formatCode="General">
                        <c:v>-57.605743811881183</c:v>
                      </c:pt>
                      <c:pt idx="67" formatCode="General">
                        <c:v>-57.832575495049504</c:v>
                      </c:pt>
                      <c:pt idx="68" formatCode="General">
                        <c:v>-58.059407178217818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-60.444396039603951</c:v>
                      </c:pt>
                      <c:pt idx="80" formatCode="General">
                        <c:v>-60.654099009900989</c:v>
                      </c:pt>
                      <c:pt idx="81" formatCode="General">
                        <c:v>-60.863801980198019</c:v>
                      </c:pt>
                      <c:pt idx="82" formatCode="General">
                        <c:v>-61.07350495049505</c:v>
                      </c:pt>
                      <c:pt idx="83" formatCode="General">
                        <c:v>-61.28320792079208</c:v>
                      </c:pt>
                      <c:pt idx="84" formatCode="General">
                        <c:v>-61.49291089108911</c:v>
                      </c:pt>
                      <c:pt idx="85" formatCode="General">
                        <c:v>-61.702613861386141</c:v>
                      </c:pt>
                      <c:pt idx="86" formatCode="General">
                        <c:v>-61.912316831683171</c:v>
                      </c:pt>
                      <c:pt idx="87" formatCode="General">
                        <c:v>-62.122019801980201</c:v>
                      </c:pt>
                      <c:pt idx="88" formatCode="General">
                        <c:v>-62.331722772277232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643-4ABA-B106-3DE1A3552FC5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643-4ABA-B106-3DE1A3552FC5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643-4ABA-B106-3DE1A3552FC5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-31.291584158415841</c:v>
                      </c:pt>
                      <c:pt idx="1">
                        <c:v>-30.732871287128713</c:v>
                      </c:pt>
                      <c:pt idx="2">
                        <c:v>-30.21009900990099</c:v>
                      </c:pt>
                      <c:pt idx="3">
                        <c:v>-29.692277227722773</c:v>
                      </c:pt>
                      <c:pt idx="4" formatCode="General">
                        <c:v>-29.248712871287129</c:v>
                      </c:pt>
                      <c:pt idx="5" formatCode="General">
                        <c:v>-28.805148514851485</c:v>
                      </c:pt>
                      <c:pt idx="6" formatCode="General">
                        <c:v>-28.118910891089108</c:v>
                      </c:pt>
                      <c:pt idx="7" formatCode="General">
                        <c:v>-27.223861386138612</c:v>
                      </c:pt>
                      <c:pt idx="8" formatCode="General">
                        <c:v>-26.326987623762374</c:v>
                      </c:pt>
                      <c:pt idx="9" formatCode="General">
                        <c:v>-25.285997524752471</c:v>
                      </c:pt>
                      <c:pt idx="10" formatCode="General">
                        <c:v>-24.245007425742571</c:v>
                      </c:pt>
                      <c:pt idx="11" formatCode="General">
                        <c:v>-23.204017326732671</c:v>
                      </c:pt>
                      <c:pt idx="12" formatCode="General">
                        <c:v>-22.163027227722772</c:v>
                      </c:pt>
                      <c:pt idx="13" formatCode="General">
                        <c:v>-21.122037128712869</c:v>
                      </c:pt>
                      <c:pt idx="14" formatCode="General">
                        <c:v>-20.081047029702969</c:v>
                      </c:pt>
                      <c:pt idx="15" formatCode="General">
                        <c:v>-19.040056930693069</c:v>
                      </c:pt>
                      <c:pt idx="16" formatCode="General">
                        <c:v>-17.999066831683166</c:v>
                      </c:pt>
                      <c:pt idx="17" formatCode="General">
                        <c:v>-16.958076732673266</c:v>
                      </c:pt>
                      <c:pt idx="18" formatCode="General">
                        <c:v>-15.917086633663365</c:v>
                      </c:pt>
                      <c:pt idx="19" formatCode="General">
                        <c:v>-15.058415841584157</c:v>
                      </c:pt>
                      <c:pt idx="20" formatCode="General">
                        <c:v>-14.217227722772275</c:v>
                      </c:pt>
                      <c:pt idx="21" formatCode="General">
                        <c:v>-13.399980198019801</c:v>
                      </c:pt>
                      <c:pt idx="22" formatCode="General">
                        <c:v>-12.620574257425742</c:v>
                      </c:pt>
                      <c:pt idx="23" formatCode="General">
                        <c:v>-11.841168316831684</c:v>
                      </c:pt>
                      <c:pt idx="24" formatCode="General">
                        <c:v>-11.103731343283583</c:v>
                      </c:pt>
                      <c:pt idx="25" formatCode="General">
                        <c:v>-10.372985074626865</c:v>
                      </c:pt>
                      <c:pt idx="26" formatCode="General">
                        <c:v>-9.6612475247524738</c:v>
                      </c:pt>
                      <c:pt idx="27" formatCode="General">
                        <c:v>-8.9848118811881168</c:v>
                      </c:pt>
                      <c:pt idx="28" formatCode="General">
                        <c:v>-8.3083762376237598</c:v>
                      </c:pt>
                      <c:pt idx="29" formatCode="General">
                        <c:v>-8.2259405940594057</c:v>
                      </c:pt>
                      <c:pt idx="30" formatCode="General">
                        <c:v>-8.2695049504950493</c:v>
                      </c:pt>
                      <c:pt idx="31" formatCode="General">
                        <c:v>-8.3118811881188126</c:v>
                      </c:pt>
                      <c:pt idx="32" formatCode="General">
                        <c:v>-8.3514851485148522</c:v>
                      </c:pt>
                      <c:pt idx="33" formatCode="General">
                        <c:v>-8.3910891089108919</c:v>
                      </c:pt>
                      <c:pt idx="34" formatCode="General">
                        <c:v>-8.4300792079207927</c:v>
                      </c:pt>
                      <c:pt idx="35" formatCode="General">
                        <c:v>-8.4688910891089098</c:v>
                      </c:pt>
                      <c:pt idx="36" formatCode="General">
                        <c:v>-8.5079009900990101</c:v>
                      </c:pt>
                      <c:pt idx="37" formatCode="General">
                        <c:v>-8.5475049504950498</c:v>
                      </c:pt>
                      <c:pt idx="38" formatCode="General">
                        <c:v>-8.5871089108910894</c:v>
                      </c:pt>
                      <c:pt idx="39" formatCode="General">
                        <c:v>-8.626712871287129</c:v>
                      </c:pt>
                      <c:pt idx="40" formatCode="General">
                        <c:v>-8.6663168316831687</c:v>
                      </c:pt>
                      <c:pt idx="41" formatCode="General">
                        <c:v>-8.7059207920792083</c:v>
                      </c:pt>
                      <c:pt idx="42" formatCode="General">
                        <c:v>-8.745524752475248</c:v>
                      </c:pt>
                      <c:pt idx="43" formatCode="General">
                        <c:v>-8.7851287128712876</c:v>
                      </c:pt>
                      <c:pt idx="44" formatCode="General">
                        <c:v>-8.8247326732673272</c:v>
                      </c:pt>
                      <c:pt idx="45" formatCode="General">
                        <c:v>-8.8643366336633669</c:v>
                      </c:pt>
                      <c:pt idx="46" formatCode="General">
                        <c:v>-8.9039405940594047</c:v>
                      </c:pt>
                      <c:pt idx="47" formatCode="General">
                        <c:v>-8.9435445544554444</c:v>
                      </c:pt>
                      <c:pt idx="48" formatCode="General">
                        <c:v>-8.983148514851484</c:v>
                      </c:pt>
                      <c:pt idx="49" formatCode="General">
                        <c:v>-9.0224114002478313</c:v>
                      </c:pt>
                      <c:pt idx="50" formatCode="General">
                        <c:v>-9.0614696406443613</c:v>
                      </c:pt>
                      <c:pt idx="51" formatCode="General">
                        <c:v>-9.1005278810408914</c:v>
                      </c:pt>
                      <c:pt idx="52" formatCode="General">
                        <c:v>-9.1395861214374214</c:v>
                      </c:pt>
                      <c:pt idx="53" formatCode="General">
                        <c:v>-9.1786443618339515</c:v>
                      </c:pt>
                      <c:pt idx="54" formatCode="General">
                        <c:v>-9.2177026022304833</c:v>
                      </c:pt>
                      <c:pt idx="55" formatCode="General">
                        <c:v>-9.2567608426270134</c:v>
                      </c:pt>
                      <c:pt idx="56" formatCode="General">
                        <c:v>-9.2958190830235434</c:v>
                      </c:pt>
                      <c:pt idx="57" formatCode="General">
                        <c:v>-9.3348773234200735</c:v>
                      </c:pt>
                      <c:pt idx="58" formatCode="General">
                        <c:v>-9.3739355638166035</c:v>
                      </c:pt>
                      <c:pt idx="59" formatCode="General">
                        <c:v>-9.4123292079207914</c:v>
                      </c:pt>
                      <c:pt idx="60" formatCode="General">
                        <c:v>-9.4501509900990097</c:v>
                      </c:pt>
                      <c:pt idx="61" formatCode="General">
                        <c:v>-9.4879727722772262</c:v>
                      </c:pt>
                      <c:pt idx="62" formatCode="General">
                        <c:v>-9.5257945544554445</c:v>
                      </c:pt>
                      <c:pt idx="63" formatCode="General">
                        <c:v>-9.5636163366336628</c:v>
                      </c:pt>
                      <c:pt idx="64" formatCode="General">
                        <c:v>-9.6014381188118811</c:v>
                      </c:pt>
                      <c:pt idx="65" formatCode="General">
                        <c:v>-9.6392599009900977</c:v>
                      </c:pt>
                      <c:pt idx="66" formatCode="General">
                        <c:v>-9.677081683168316</c:v>
                      </c:pt>
                      <c:pt idx="67" formatCode="General">
                        <c:v>-9.7149034653465343</c:v>
                      </c:pt>
                      <c:pt idx="68" formatCode="General">
                        <c:v>-9.7527252475247508</c:v>
                      </c:pt>
                      <c:pt idx="69" formatCode="General">
                        <c:v>-9.7899603469640635</c:v>
                      </c:pt>
                      <c:pt idx="70" formatCode="General">
                        <c:v>-9.826441140024782</c:v>
                      </c:pt>
                      <c:pt idx="71" formatCode="General">
                        <c:v>-9.8629219330855005</c:v>
                      </c:pt>
                      <c:pt idx="72" formatCode="General">
                        <c:v>-9.899402726146219</c:v>
                      </c:pt>
                      <c:pt idx="73" formatCode="General">
                        <c:v>-9.9358835192069392</c:v>
                      </c:pt>
                      <c:pt idx="74" formatCode="General">
                        <c:v>-9.9723643122676577</c:v>
                      </c:pt>
                      <c:pt idx="75" formatCode="General">
                        <c:v>-10.008845105328376</c:v>
                      </c:pt>
                      <c:pt idx="76" formatCode="General">
                        <c:v>-10.045325898389095</c:v>
                      </c:pt>
                      <c:pt idx="77" formatCode="General">
                        <c:v>-10.081806691449813</c:v>
                      </c:pt>
                      <c:pt idx="78" formatCode="General">
                        <c:v>-10.118287484510532</c:v>
                      </c:pt>
                      <c:pt idx="79" formatCode="General">
                        <c:v>-10.154336633663366</c:v>
                      </c:pt>
                      <c:pt idx="80" formatCode="General">
                        <c:v>-10.18958415841584</c:v>
                      </c:pt>
                      <c:pt idx="81" formatCode="General">
                        <c:v>-10.224831683168317</c:v>
                      </c:pt>
                      <c:pt idx="82" formatCode="General">
                        <c:v>-10.260079207920791</c:v>
                      </c:pt>
                      <c:pt idx="83" formatCode="General">
                        <c:v>-10.295326732673267</c:v>
                      </c:pt>
                      <c:pt idx="84" formatCode="General">
                        <c:v>-10.330574257425742</c:v>
                      </c:pt>
                      <c:pt idx="85" formatCode="General">
                        <c:v>-10.365821782178218</c:v>
                      </c:pt>
                      <c:pt idx="86" formatCode="General">
                        <c:v>-10.401069306930692</c:v>
                      </c:pt>
                      <c:pt idx="87" formatCode="General">
                        <c:v>-10.436316831683168</c:v>
                      </c:pt>
                      <c:pt idx="88" formatCode="General">
                        <c:v>-10.471564356435643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643-4ABA-B106-3DE1A3552FC5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643-4ABA-B106-3DE1A3552FC5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-26.752207920792078</c:v>
                      </c:pt>
                      <c:pt idx="27" formatCode="General">
                        <c:v>-26.53280198019802</c:v>
                      </c:pt>
                      <c:pt idx="28" formatCode="General">
                        <c:v>-26.313396039603958</c:v>
                      </c:pt>
                      <c:pt idx="29" formatCode="General">
                        <c:v>-26.394257425742573</c:v>
                      </c:pt>
                      <c:pt idx="30" formatCode="General">
                        <c:v>-26.538811881188117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-29.088739776951673</c:v>
                      </c:pt>
                      <c:pt idx="50" formatCode="General">
                        <c:v>-29.21632342007435</c:v>
                      </c:pt>
                      <c:pt idx="51" formatCode="General">
                        <c:v>-29.343907063197026</c:v>
                      </c:pt>
                      <c:pt idx="52" formatCode="General">
                        <c:v>-29.471490706319702</c:v>
                      </c:pt>
                      <c:pt idx="53" formatCode="General">
                        <c:v>-29.599074349442379</c:v>
                      </c:pt>
                      <c:pt idx="54" formatCode="General">
                        <c:v>-29.726657992565055</c:v>
                      </c:pt>
                      <c:pt idx="55" formatCode="General">
                        <c:v>-29.854241635687732</c:v>
                      </c:pt>
                      <c:pt idx="56" formatCode="General">
                        <c:v>-29.981825278810408</c:v>
                      </c:pt>
                      <c:pt idx="57" formatCode="General">
                        <c:v>-30.109408921933085</c:v>
                      </c:pt>
                      <c:pt idx="58" formatCode="General">
                        <c:v>-30.236992565055761</c:v>
                      </c:pt>
                      <c:pt idx="59" formatCode="General">
                        <c:v>-30.362043316831681</c:v>
                      </c:pt>
                      <c:pt idx="60" formatCode="General">
                        <c:v>-30.484914603960394</c:v>
                      </c:pt>
                      <c:pt idx="61" formatCode="General">
                        <c:v>-30.607785891089108</c:v>
                      </c:pt>
                      <c:pt idx="62" formatCode="General">
                        <c:v>-30.730657178217822</c:v>
                      </c:pt>
                      <c:pt idx="63" formatCode="General">
                        <c:v>-30.853528465346532</c:v>
                      </c:pt>
                      <c:pt idx="64" formatCode="General">
                        <c:v>-30.976399752475245</c:v>
                      </c:pt>
                      <c:pt idx="65" formatCode="General">
                        <c:v>-31.099271039603959</c:v>
                      </c:pt>
                      <c:pt idx="66" formatCode="General">
                        <c:v>-31.222142326732673</c:v>
                      </c:pt>
                      <c:pt idx="67" formatCode="General">
                        <c:v>-31.345013613861386</c:v>
                      </c:pt>
                      <c:pt idx="68" formatCode="General">
                        <c:v>-31.467884900990096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-32.760782178217816</c:v>
                      </c:pt>
                      <c:pt idx="80" formatCode="General">
                        <c:v>-32.874445544554455</c:v>
                      </c:pt>
                      <c:pt idx="81" formatCode="General">
                        <c:v>-32.988108910891086</c:v>
                      </c:pt>
                      <c:pt idx="82" formatCode="General">
                        <c:v>-33.101772277227717</c:v>
                      </c:pt>
                      <c:pt idx="83" formatCode="General">
                        <c:v>-33.215435643564355</c:v>
                      </c:pt>
                      <c:pt idx="84" formatCode="General">
                        <c:v>-33.329099009900986</c:v>
                      </c:pt>
                      <c:pt idx="85" formatCode="General">
                        <c:v>-33.442762376237624</c:v>
                      </c:pt>
                      <c:pt idx="86" formatCode="General">
                        <c:v>-33.556425742574255</c:v>
                      </c:pt>
                      <c:pt idx="87" formatCode="General">
                        <c:v>-33.670089108910894</c:v>
                      </c:pt>
                      <c:pt idx="88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643-4ABA-B106-3DE1A3552FC5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-44.797821782178218</c:v>
                      </c:pt>
                      <c:pt idx="1">
                        <c:v>-43.820198019801978</c:v>
                      </c:pt>
                      <c:pt idx="2">
                        <c:v>-42.901386138613859</c:v>
                      </c:pt>
                      <c:pt idx="3">
                        <c:v>-41.99</c:v>
                      </c:pt>
                      <c:pt idx="4" formatCode="General">
                        <c:v>-41.19</c:v>
                      </c:pt>
                      <c:pt idx="5" formatCode="General">
                        <c:v>-40.39</c:v>
                      </c:pt>
                      <c:pt idx="6" formatCode="General">
                        <c:v>-39.917821782178223</c:v>
                      </c:pt>
                      <c:pt idx="7" formatCode="General">
                        <c:v>-39.727722772277225</c:v>
                      </c:pt>
                      <c:pt idx="8" formatCode="General">
                        <c:v>-39.542970297029704</c:v>
                      </c:pt>
                      <c:pt idx="9" formatCode="General">
                        <c:v>-39.780594059405942</c:v>
                      </c:pt>
                      <c:pt idx="10" formatCode="General">
                        <c:v>-40.01821782178218</c:v>
                      </c:pt>
                      <c:pt idx="11" formatCode="General">
                        <c:v>-40.255841584158418</c:v>
                      </c:pt>
                      <c:pt idx="12" formatCode="General">
                        <c:v>-40.493465346534656</c:v>
                      </c:pt>
                      <c:pt idx="13" formatCode="General">
                        <c:v>-40.731089108910894</c:v>
                      </c:pt>
                      <c:pt idx="14" formatCode="General">
                        <c:v>-40.968712871287124</c:v>
                      </c:pt>
                      <c:pt idx="15" formatCode="General">
                        <c:v>-41.206336633663362</c:v>
                      </c:pt>
                      <c:pt idx="16" formatCode="General">
                        <c:v>-41.4439603960396</c:v>
                      </c:pt>
                      <c:pt idx="17" formatCode="General">
                        <c:v>-41.681584158415838</c:v>
                      </c:pt>
                      <c:pt idx="18" formatCode="General">
                        <c:v>-41.919207920792076</c:v>
                      </c:pt>
                      <c:pt idx="19" formatCode="General">
                        <c:v>-42.156831683168313</c:v>
                      </c:pt>
                      <c:pt idx="20" formatCode="General">
                        <c:v>-42.394455445544551</c:v>
                      </c:pt>
                      <c:pt idx="21" formatCode="General">
                        <c:v>-42.635148514851487</c:v>
                      </c:pt>
                      <c:pt idx="22" formatCode="General">
                        <c:v>-42.880693069306929</c:v>
                      </c:pt>
                      <c:pt idx="23" formatCode="General">
                        <c:v>-43.126237623762371</c:v>
                      </c:pt>
                      <c:pt idx="24" formatCode="General">
                        <c:v>-43.365970149253727</c:v>
                      </c:pt>
                      <c:pt idx="25" formatCode="General">
                        <c:v>-43.604776119402985</c:v>
                      </c:pt>
                      <c:pt idx="26" formatCode="General">
                        <c:v>-43.843168316831679</c:v>
                      </c:pt>
                      <c:pt idx="27" formatCode="General">
                        <c:v>-44.080792079207917</c:v>
                      </c:pt>
                      <c:pt idx="28" formatCode="General">
                        <c:v>-44.318415841584155</c:v>
                      </c:pt>
                      <c:pt idx="29" formatCode="General">
                        <c:v>-44.562574257425744</c:v>
                      </c:pt>
                      <c:pt idx="30" formatCode="General">
                        <c:v>-44.808118811881187</c:v>
                      </c:pt>
                      <c:pt idx="31" formatCode="General">
                        <c:v>-45.051287128712865</c:v>
                      </c:pt>
                      <c:pt idx="32" formatCode="General">
                        <c:v>-45.28891089108911</c:v>
                      </c:pt>
                      <c:pt idx="33" formatCode="General">
                        <c:v>-45.526534653465347</c:v>
                      </c:pt>
                      <c:pt idx="34" formatCode="General">
                        <c:v>-45.758019801980197</c:v>
                      </c:pt>
                      <c:pt idx="35" formatCode="General">
                        <c:v>-45.987722772277223</c:v>
                      </c:pt>
                      <c:pt idx="36" formatCode="General">
                        <c:v>-46.217425742574257</c:v>
                      </c:pt>
                      <c:pt idx="37" formatCode="General">
                        <c:v>-46.447128712871283</c:v>
                      </c:pt>
                      <c:pt idx="38" formatCode="General">
                        <c:v>-46.676831683168317</c:v>
                      </c:pt>
                      <c:pt idx="39" formatCode="General">
                        <c:v>-46.903663366336637</c:v>
                      </c:pt>
                      <c:pt idx="40" formatCode="General">
                        <c:v>-47.129405940594062</c:v>
                      </c:pt>
                      <c:pt idx="41" formatCode="General">
                        <c:v>-47.355148514851486</c:v>
                      </c:pt>
                      <c:pt idx="42" formatCode="General">
                        <c:v>-47.58089108910891</c:v>
                      </c:pt>
                      <c:pt idx="43" formatCode="General">
                        <c:v>-47.806633663366341</c:v>
                      </c:pt>
                      <c:pt idx="44" formatCode="General">
                        <c:v>-48.032376237623765</c:v>
                      </c:pt>
                      <c:pt idx="45" formatCode="General">
                        <c:v>-48.258118811881189</c:v>
                      </c:pt>
                      <c:pt idx="46" formatCode="General">
                        <c:v>-48.483861386138614</c:v>
                      </c:pt>
                      <c:pt idx="47" formatCode="General">
                        <c:v>-48.709603960396045</c:v>
                      </c:pt>
                      <c:pt idx="48" formatCode="General">
                        <c:v>-48.935346534653469</c:v>
                      </c:pt>
                      <c:pt idx="49" formatCode="General">
                        <c:v>-49.15506815365552</c:v>
                      </c:pt>
                      <c:pt idx="50" formatCode="General">
                        <c:v>-49.371177199504338</c:v>
                      </c:pt>
                      <c:pt idx="51" formatCode="General">
                        <c:v>-49.587286245353162</c:v>
                      </c:pt>
                      <c:pt idx="52" formatCode="General">
                        <c:v>-49.803395291201987</c:v>
                      </c:pt>
                      <c:pt idx="53" formatCode="General">
                        <c:v>-50.019504337050805</c:v>
                      </c:pt>
                      <c:pt idx="54" formatCode="General">
                        <c:v>-50.235613382899629</c:v>
                      </c:pt>
                      <c:pt idx="55" formatCode="General">
                        <c:v>-50.451722428748454</c:v>
                      </c:pt>
                      <c:pt idx="56" formatCode="General">
                        <c:v>-50.667831474597278</c:v>
                      </c:pt>
                      <c:pt idx="57" formatCode="General">
                        <c:v>-50.883940520446096</c:v>
                      </c:pt>
                      <c:pt idx="58" formatCode="General">
                        <c:v>-51.100049566294921</c:v>
                      </c:pt>
                      <c:pt idx="59" formatCode="General">
                        <c:v>-51.311757425742577</c:v>
                      </c:pt>
                      <c:pt idx="60" formatCode="General">
                        <c:v>-51.519678217821784</c:v>
                      </c:pt>
                      <c:pt idx="61" formatCode="General">
                        <c:v>-51.727599009900992</c:v>
                      </c:pt>
                      <c:pt idx="62" formatCode="General">
                        <c:v>-51.935519801980199</c:v>
                      </c:pt>
                      <c:pt idx="63" formatCode="General">
                        <c:v>-52.143440594059406</c:v>
                      </c:pt>
                      <c:pt idx="64" formatCode="General">
                        <c:v>-52.351361386138613</c:v>
                      </c:pt>
                      <c:pt idx="65" formatCode="General">
                        <c:v>-52.559282178217821</c:v>
                      </c:pt>
                      <c:pt idx="66" formatCode="General">
                        <c:v>-52.767202970297028</c:v>
                      </c:pt>
                      <c:pt idx="67" formatCode="General">
                        <c:v>-52.975123762376235</c:v>
                      </c:pt>
                      <c:pt idx="68" formatCode="General">
                        <c:v>-53.183044554455442</c:v>
                      </c:pt>
                      <c:pt idx="69" formatCode="General">
                        <c:v>-53.386741016109042</c:v>
                      </c:pt>
                      <c:pt idx="70" formatCode="General">
                        <c:v>-53.58500619578686</c:v>
                      </c:pt>
                      <c:pt idx="71" formatCode="General">
                        <c:v>-53.783271375464679</c:v>
                      </c:pt>
                      <c:pt idx="72" formatCode="General">
                        <c:v>-53.981536555142497</c:v>
                      </c:pt>
                      <c:pt idx="73" formatCode="General">
                        <c:v>-54.179801734820316</c:v>
                      </c:pt>
                      <c:pt idx="74" formatCode="General">
                        <c:v>-54.378066914498135</c:v>
                      </c:pt>
                      <c:pt idx="75" formatCode="General">
                        <c:v>-54.57633209417596</c:v>
                      </c:pt>
                      <c:pt idx="76" formatCode="General">
                        <c:v>-54.774597273853779</c:v>
                      </c:pt>
                      <c:pt idx="77" formatCode="General">
                        <c:v>-54.972862453531597</c:v>
                      </c:pt>
                      <c:pt idx="78" formatCode="General">
                        <c:v>-55.171127633209416</c:v>
                      </c:pt>
                      <c:pt idx="79" formatCode="General">
                        <c:v>-55.36722772277227</c:v>
                      </c:pt>
                      <c:pt idx="80" formatCode="General">
                        <c:v>-55.559306930693069</c:v>
                      </c:pt>
                      <c:pt idx="81" formatCode="General">
                        <c:v>-55.75138613861386</c:v>
                      </c:pt>
                      <c:pt idx="82" formatCode="General">
                        <c:v>-55.943465346534651</c:v>
                      </c:pt>
                      <c:pt idx="83" formatCode="General">
                        <c:v>-56.135544554455443</c:v>
                      </c:pt>
                      <c:pt idx="84" formatCode="General">
                        <c:v>-56.327623762376234</c:v>
                      </c:pt>
                      <c:pt idx="85" formatCode="General">
                        <c:v>-56.519702970297033</c:v>
                      </c:pt>
                      <c:pt idx="86" formatCode="General">
                        <c:v>-56.711782178217824</c:v>
                      </c:pt>
                      <c:pt idx="87" formatCode="General">
                        <c:v>-56.903861386138615</c:v>
                      </c:pt>
                      <c:pt idx="88" formatCode="General">
                        <c:v>-57.095940594059407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643-4ABA-B106-3DE1A3552FC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643-4ABA-B106-3DE1A3552FC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643-4ABA-B106-3DE1A3552FC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643-4ABA-B106-3DE1A3552FC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643-4ABA-B106-3DE1A3552FC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643-4ABA-B106-3DE1A3552FC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643-4ABA-B106-3DE1A3552FC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643-4ABA-B106-3DE1A3552FC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643-4ABA-B106-3DE1A3552FC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643-4ABA-B106-3DE1A3552FC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643-4ABA-B106-3DE1A3552FC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643-4ABA-B106-3DE1A3552FC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643-4ABA-B106-3DE1A3552FC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643-4ABA-B106-3DE1A3552FC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643-4ABA-B106-3DE1A3552FC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643-4ABA-B106-3DE1A3552FC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643-4ABA-B106-3DE1A3552FC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643-4ABA-B106-3DE1A3552FC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643-4ABA-B106-3DE1A3552FC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643-4ABA-B106-3DE1A3552FC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643-4ABA-B106-3DE1A3552FC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643-4ABA-B106-3DE1A3552FC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643-4ABA-B106-3DE1A3552FC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643-4ABA-B106-3DE1A3552FC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643-4ABA-B106-3DE1A3552FC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643-4ABA-B106-3DE1A3552FC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643-4ABA-B106-3DE1A3552FC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643-4ABA-B106-3DE1A3552FC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643-4ABA-B106-3DE1A3552FC5}"/>
                  </c:ext>
                </c:extLst>
              </c15:ser>
            </c15:filteredScatterSeries>
            <c15:filteredScatterSeries>
              <c15:ser>
                <c:idx val="40"/>
                <c:order val="41"/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643-4ABA-B106-3DE1A3552FC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643-4ABA-B106-3DE1A3552FC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643-4ABA-B106-3DE1A3552FC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643-4ABA-B106-3DE1A3552FC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643-4ABA-B106-3DE1A3552FC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643-4ABA-B106-3DE1A3552FC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643-4ABA-B106-3DE1A3552FC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643-4ABA-B106-3DE1A3552FC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643-4ABA-B106-3DE1A3552FC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643-4ABA-B106-3DE1A3552FC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643-4ABA-B106-3DE1A3552FC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643-4ABA-B106-3DE1A3552FC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643-4ABA-B106-3DE1A3552FC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2"/>
          <c:order val="4"/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EVALUATION!$B$105:$CP$105</c:f>
              <c:numCache>
                <c:formatCode>0</c:formatCode>
                <c:ptCount val="93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-48.673792079207914</c:v>
                </c:pt>
                <c:pt idx="27" formatCode="General">
                  <c:v>-48.573198019801978</c:v>
                </c:pt>
                <c:pt idx="28" formatCode="General">
                  <c:v>-48.472603960396036</c:v>
                </c:pt>
                <c:pt idx="29" formatCode="General">
                  <c:v>-48.675544554455442</c:v>
                </c:pt>
                <c:pt idx="30" formatCode="General">
                  <c:v>-48.94287128712871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-53.666273853779437</c:v>
                </c:pt>
                <c:pt idx="50" formatCode="General">
                  <c:v>-53.901912019826526</c:v>
                </c:pt>
                <c:pt idx="51" formatCode="General">
                  <c:v>-54.137550185873607</c:v>
                </c:pt>
                <c:pt idx="52" formatCode="General">
                  <c:v>-54.373188351920696</c:v>
                </c:pt>
                <c:pt idx="53" formatCode="General">
                  <c:v>-54.608826517967785</c:v>
                </c:pt>
                <c:pt idx="54" formatCode="General">
                  <c:v>-54.844464684014874</c:v>
                </c:pt>
                <c:pt idx="55" formatCode="General">
                  <c:v>-55.080102850061962</c:v>
                </c:pt>
                <c:pt idx="56" formatCode="General">
                  <c:v>-55.315741016109044</c:v>
                </c:pt>
                <c:pt idx="57" formatCode="General">
                  <c:v>-55.551379182156133</c:v>
                </c:pt>
                <c:pt idx="58" formatCode="General">
                  <c:v>-55.787017348203221</c:v>
                </c:pt>
                <c:pt idx="59" formatCode="General">
                  <c:v>-56.017922029702973</c:v>
                </c:pt>
                <c:pt idx="60" formatCode="General">
                  <c:v>-56.244753712871287</c:v>
                </c:pt>
                <c:pt idx="61" formatCode="General">
                  <c:v>-56.4715853960396</c:v>
                </c:pt>
                <c:pt idx="62" formatCode="General">
                  <c:v>-56.698417079207921</c:v>
                </c:pt>
                <c:pt idx="63" formatCode="General">
                  <c:v>-56.925248762376235</c:v>
                </c:pt>
                <c:pt idx="64" formatCode="General">
                  <c:v>-57.152080445544556</c:v>
                </c:pt>
                <c:pt idx="65" formatCode="General">
                  <c:v>-57.378912128712869</c:v>
                </c:pt>
                <c:pt idx="66" formatCode="General">
                  <c:v>-57.605743811881183</c:v>
                </c:pt>
                <c:pt idx="67" formatCode="General">
                  <c:v>-57.832575495049504</c:v>
                </c:pt>
                <c:pt idx="68" formatCode="General">
                  <c:v>-58.059407178217818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-60.444396039603951</c:v>
                </c:pt>
                <c:pt idx="80" formatCode="General">
                  <c:v>-60.654099009900989</c:v>
                </c:pt>
                <c:pt idx="81" formatCode="General">
                  <c:v>-60.863801980198019</c:v>
                </c:pt>
                <c:pt idx="82" formatCode="General">
                  <c:v>-61.07350495049505</c:v>
                </c:pt>
                <c:pt idx="83" formatCode="General">
                  <c:v>-61.28320792079208</c:v>
                </c:pt>
                <c:pt idx="84" formatCode="General">
                  <c:v>-61.49291089108911</c:v>
                </c:pt>
                <c:pt idx="85" formatCode="General">
                  <c:v>-61.702613861386141</c:v>
                </c:pt>
                <c:pt idx="86" formatCode="General">
                  <c:v>-61.912316831683171</c:v>
                </c:pt>
                <c:pt idx="87" formatCode="General">
                  <c:v>-62.122019801980201</c:v>
                </c:pt>
                <c:pt idx="88" formatCode="General">
                  <c:v>-62.331722772277232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3E8-4985-B972-FB6B32C5B9EC}"/>
            </c:ext>
          </c:extLst>
        </c:ser>
        <c:ser>
          <c:idx val="33"/>
          <c:order val="35"/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EVALUATION!$B$136:$CP$136</c:f>
              <c:numCache>
                <c:formatCode>0</c:formatCode>
                <c:ptCount val="93"/>
                <c:pt idx="0">
                  <c:v>-61.223811881188126</c:v>
                </c:pt>
                <c:pt idx="1">
                  <c:v>-60.041782178217822</c:v>
                </c:pt>
                <c:pt idx="2">
                  <c:v>-58.972475247524756</c:v>
                </c:pt>
                <c:pt idx="3">
                  <c:v>-57.919257425742572</c:v>
                </c:pt>
                <c:pt idx="4" formatCode="General">
                  <c:v>-57.107376237623761</c:v>
                </c:pt>
                <c:pt idx="5" formatCode="General">
                  <c:v>-56.29549504950495</c:v>
                </c:pt>
                <c:pt idx="6" formatCode="General">
                  <c:v>-55.60920792079208</c:v>
                </c:pt>
                <c:pt idx="7" formatCode="General">
                  <c:v>-55.030990099009898</c:v>
                </c:pt>
                <c:pt idx="8" formatCode="General">
                  <c:v>-54.456210396039602</c:v>
                </c:pt>
                <c:pt idx="9" formatCode="General">
                  <c:v>-54.153042079207921</c:v>
                </c:pt>
                <c:pt idx="10" formatCode="General">
                  <c:v>-53.849873762376241</c:v>
                </c:pt>
                <c:pt idx="11" formatCode="General">
                  <c:v>-53.546705445544553</c:v>
                </c:pt>
                <c:pt idx="12" formatCode="General">
                  <c:v>-53.243537128712873</c:v>
                </c:pt>
                <c:pt idx="13" formatCode="General">
                  <c:v>-52.940368811881193</c:v>
                </c:pt>
                <c:pt idx="14" formatCode="General">
                  <c:v>-52.637200495049505</c:v>
                </c:pt>
                <c:pt idx="15" formatCode="General">
                  <c:v>-52.334032178217825</c:v>
                </c:pt>
                <c:pt idx="16" formatCode="General">
                  <c:v>-52.030863861386138</c:v>
                </c:pt>
                <c:pt idx="17" formatCode="General">
                  <c:v>-51.727695544554457</c:v>
                </c:pt>
                <c:pt idx="18" formatCode="General">
                  <c:v>-51.424527227722777</c:v>
                </c:pt>
                <c:pt idx="19" formatCode="General">
                  <c:v>-51.271153465346536</c:v>
                </c:pt>
                <c:pt idx="20" formatCode="General">
                  <c:v>-51.132143564356433</c:v>
                </c:pt>
                <c:pt idx="21" formatCode="General">
                  <c:v>-51.028123762376232</c:v>
                </c:pt>
                <c:pt idx="22" formatCode="General">
                  <c:v>-50.97941089108911</c:v>
                </c:pt>
                <c:pt idx="23" formatCode="General">
                  <c:v>-50.93069801980198</c:v>
                </c:pt>
                <c:pt idx="24" formatCode="General">
                  <c:v>-50.967253731343284</c:v>
                </c:pt>
                <c:pt idx="25" formatCode="General">
                  <c:v>-51.017402985074632</c:v>
                </c:pt>
                <c:pt idx="26" formatCode="General">
                  <c:v>-51.096574257425743</c:v>
                </c:pt>
                <c:pt idx="27" formatCode="General">
                  <c:v>-51.229643564356437</c:v>
                </c:pt>
                <c:pt idx="28" formatCode="General">
                  <c:v>-51.36271287128713</c:v>
                </c:pt>
                <c:pt idx="29" formatCode="General">
                  <c:v>-51.551000000000002</c:v>
                </c:pt>
                <c:pt idx="30" formatCode="General">
                  <c:v>-51.751000000000005</c:v>
                </c:pt>
                <c:pt idx="31" formatCode="General">
                  <c:v>-51.958841584158421</c:v>
                </c:pt>
                <c:pt idx="32" formatCode="General">
                  <c:v>-52.184980198019801</c:v>
                </c:pt>
                <c:pt idx="33" formatCode="General">
                  <c:v>-52.411118811881188</c:v>
                </c:pt>
                <c:pt idx="34" formatCode="General">
                  <c:v>-52.649841584158416</c:v>
                </c:pt>
                <c:pt idx="35" formatCode="General">
                  <c:v>-52.892217821782182</c:v>
                </c:pt>
                <c:pt idx="36" formatCode="General">
                  <c:v>-53.135584158415845</c:v>
                </c:pt>
                <c:pt idx="37" formatCode="General">
                  <c:v>-53.381920792079207</c:v>
                </c:pt>
                <c:pt idx="38" formatCode="General">
                  <c:v>-53.628257425742575</c:v>
                </c:pt>
                <c:pt idx="39" formatCode="General">
                  <c:v>-53.870287128712867</c:v>
                </c:pt>
                <c:pt idx="40" formatCode="General">
                  <c:v>-54.110683168316832</c:v>
                </c:pt>
                <c:pt idx="41" formatCode="General">
                  <c:v>-54.352742574257434</c:v>
                </c:pt>
                <c:pt idx="42" formatCode="General">
                  <c:v>-54.601455445544559</c:v>
                </c:pt>
                <c:pt idx="43" formatCode="General">
                  <c:v>-54.850168316831684</c:v>
                </c:pt>
                <c:pt idx="44" formatCode="General">
                  <c:v>-55.093801980198023</c:v>
                </c:pt>
                <c:pt idx="45" formatCode="General">
                  <c:v>-55.3349900990099</c:v>
                </c:pt>
                <c:pt idx="46" formatCode="General">
                  <c:v>-55.576178217821784</c:v>
                </c:pt>
                <c:pt idx="47" formatCode="General">
                  <c:v>-55.817366336633661</c:v>
                </c:pt>
                <c:pt idx="48" formatCode="General">
                  <c:v>-56.058554455445545</c:v>
                </c:pt>
                <c:pt idx="49" formatCode="General">
                  <c:v>-56.29621189591078</c:v>
                </c:pt>
                <c:pt idx="50" formatCode="General">
                  <c:v>-56.53175092936803</c:v>
                </c:pt>
                <c:pt idx="51" formatCode="General">
                  <c:v>-56.767289962825281</c:v>
                </c:pt>
                <c:pt idx="52" formatCode="General">
                  <c:v>-57.002828996282524</c:v>
                </c:pt>
                <c:pt idx="53" formatCode="General">
                  <c:v>-57.238368029739775</c:v>
                </c:pt>
                <c:pt idx="54" formatCode="General">
                  <c:v>-57.473907063197025</c:v>
                </c:pt>
                <c:pt idx="55" formatCode="General">
                  <c:v>-57.709446096654275</c:v>
                </c:pt>
                <c:pt idx="56" formatCode="General">
                  <c:v>-57.944985130111519</c:v>
                </c:pt>
                <c:pt idx="57" formatCode="General">
                  <c:v>-58.180524163568769</c:v>
                </c:pt>
                <c:pt idx="58" formatCode="General">
                  <c:v>-58.41606319702602</c:v>
                </c:pt>
                <c:pt idx="59" formatCode="General">
                  <c:v>-58.646922029702971</c:v>
                </c:pt>
                <c:pt idx="60" formatCode="General">
                  <c:v>-58.873753712871284</c:v>
                </c:pt>
                <c:pt idx="61" formatCode="General">
                  <c:v>-59.100585396039605</c:v>
                </c:pt>
                <c:pt idx="62" formatCode="General">
                  <c:v>-59.327417079207919</c:v>
                </c:pt>
                <c:pt idx="63" formatCode="General">
                  <c:v>-59.55424876237624</c:v>
                </c:pt>
                <c:pt idx="64" formatCode="General">
                  <c:v>-59.781080445544553</c:v>
                </c:pt>
                <c:pt idx="65" formatCode="General">
                  <c:v>-60.007912128712874</c:v>
                </c:pt>
                <c:pt idx="66" formatCode="General">
                  <c:v>-60.234743811881188</c:v>
                </c:pt>
                <c:pt idx="67" formatCode="General">
                  <c:v>-60.461575495049509</c:v>
                </c:pt>
                <c:pt idx="68" formatCode="General">
                  <c:v>-60.688407178217822</c:v>
                </c:pt>
                <c:pt idx="69" formatCode="General">
                  <c:v>-60.910764560099132</c:v>
                </c:pt>
                <c:pt idx="70" formatCode="General">
                  <c:v>-61.127369268897155</c:v>
                </c:pt>
                <c:pt idx="71" formatCode="General">
                  <c:v>-61.343973977695171</c:v>
                </c:pt>
                <c:pt idx="72" formatCode="General">
                  <c:v>-61.560578686493187</c:v>
                </c:pt>
                <c:pt idx="73" formatCode="General">
                  <c:v>-61.777183395291203</c:v>
                </c:pt>
                <c:pt idx="74" formatCode="General">
                  <c:v>-61.993788104089219</c:v>
                </c:pt>
                <c:pt idx="75" formatCode="General">
                  <c:v>-62.210392812887235</c:v>
                </c:pt>
                <c:pt idx="76" formatCode="General">
                  <c:v>-62.426997521685252</c:v>
                </c:pt>
                <c:pt idx="77" formatCode="General">
                  <c:v>-62.643602230483268</c:v>
                </c:pt>
                <c:pt idx="78" formatCode="General">
                  <c:v>-62.860206939281284</c:v>
                </c:pt>
                <c:pt idx="79" formatCode="General">
                  <c:v>-63.074361386138612</c:v>
                </c:pt>
                <c:pt idx="80" formatCode="General">
                  <c:v>-63.28396534653465</c:v>
                </c:pt>
                <c:pt idx="81" formatCode="General">
                  <c:v>-63.493569306930688</c:v>
                </c:pt>
                <c:pt idx="82" formatCode="General">
                  <c:v>-63.703173267326726</c:v>
                </c:pt>
                <c:pt idx="83" formatCode="General">
                  <c:v>-63.912777227722771</c:v>
                </c:pt>
                <c:pt idx="84" formatCode="General">
                  <c:v>-64.122381188118808</c:v>
                </c:pt>
                <c:pt idx="85" formatCode="General">
                  <c:v>-64.331985148514846</c:v>
                </c:pt>
                <c:pt idx="86" formatCode="General">
                  <c:v>-64.541589108910884</c:v>
                </c:pt>
                <c:pt idx="87" formatCode="General">
                  <c:v>-64.751193069306922</c:v>
                </c:pt>
                <c:pt idx="88" formatCode="General">
                  <c:v>-64.96079702970296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33E8-4985-B972-FB6B32C5B9EC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3E8-4985-B972-FB6B32C5B9EC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-174.57772277227724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3E8-4985-B972-FB6B32C5B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-136.5330198019802</c:v>
                      </c:pt>
                      <c:pt idx="1">
                        <c:v>-133.73970297029703</c:v>
                      </c:pt>
                      <c:pt idx="2">
                        <c:v>-131.11792079207922</c:v>
                      </c:pt>
                      <c:pt idx="3">
                        <c:v>-128.51841584158416</c:v>
                      </c:pt>
                      <c:pt idx="4" formatCode="General">
                        <c:v>-126.2530693069307</c:v>
                      </c:pt>
                      <c:pt idx="5" formatCode="General">
                        <c:v>-123.98772277227724</c:v>
                      </c:pt>
                      <c:pt idx="6" formatCode="General">
                        <c:v>-122.0140099009901</c:v>
                      </c:pt>
                      <c:pt idx="7" formatCode="General">
                        <c:v>-120.29123762376238</c:v>
                      </c:pt>
                      <c:pt idx="8" formatCode="General">
                        <c:v>-118.57642202970297</c:v>
                      </c:pt>
                      <c:pt idx="9" formatCode="General">
                        <c:v>-117.4901844059406</c:v>
                      </c:pt>
                      <c:pt idx="10" formatCode="General">
                        <c:v>-116.40394678217822</c:v>
                      </c:pt>
                      <c:pt idx="11" formatCode="General">
                        <c:v>-115.31770915841584</c:v>
                      </c:pt>
                      <c:pt idx="12" formatCode="General">
                        <c:v>-114.23147153465347</c:v>
                      </c:pt>
                      <c:pt idx="13" formatCode="General">
                        <c:v>-113.14523391089109</c:v>
                      </c:pt>
                      <c:pt idx="14" formatCode="General">
                        <c:v>-112.05899628712871</c:v>
                      </c:pt>
                      <c:pt idx="15" formatCode="General">
                        <c:v>-110.97275866336633</c:v>
                      </c:pt>
                      <c:pt idx="16" formatCode="General">
                        <c:v>-109.88652103960396</c:v>
                      </c:pt>
                      <c:pt idx="17" formatCode="General">
                        <c:v>-108.80028341584158</c:v>
                      </c:pt>
                      <c:pt idx="18" formatCode="General">
                        <c:v>-107.7140457920792</c:v>
                      </c:pt>
                      <c:pt idx="19" formatCode="General">
                        <c:v>-106.90128712871287</c:v>
                      </c:pt>
                      <c:pt idx="20" formatCode="General">
                        <c:v>-106.11475247524751</c:v>
                      </c:pt>
                      <c:pt idx="21" formatCode="General">
                        <c:v>-105.37026732673267</c:v>
                      </c:pt>
                      <c:pt idx="22" formatCode="General">
                        <c:v>-104.69224752475247</c:v>
                      </c:pt>
                      <c:pt idx="23" formatCode="General">
                        <c:v>-104.01422772277228</c:v>
                      </c:pt>
                      <c:pt idx="24" formatCode="General">
                        <c:v>-103.38753731343283</c:v>
                      </c:pt>
                      <c:pt idx="25" formatCode="General">
                        <c:v>-102.76902985074626</c:v>
                      </c:pt>
                      <c:pt idx="26" formatCode="General">
                        <c:v>-102.17820792079208</c:v>
                      </c:pt>
                      <c:pt idx="27" formatCode="General">
                        <c:v>-101.63880198019801</c:v>
                      </c:pt>
                      <c:pt idx="28" formatCode="General">
                        <c:v>-101.09939603960396</c:v>
                      </c:pt>
                      <c:pt idx="29" formatCode="General">
                        <c:v>-101.46405940594059</c:v>
                      </c:pt>
                      <c:pt idx="30" formatCode="General">
                        <c:v>-102.02049504950494</c:v>
                      </c:pt>
                      <c:pt idx="31" formatCode="General">
                        <c:v>-102.57039603960395</c:v>
                      </c:pt>
                      <c:pt idx="32" formatCode="General">
                        <c:v>-103.10504950495049</c:v>
                      </c:pt>
                      <c:pt idx="33" formatCode="General">
                        <c:v>-103.63970297029702</c:v>
                      </c:pt>
                      <c:pt idx="34" formatCode="General">
                        <c:v>-104.16115841584158</c:v>
                      </c:pt>
                      <c:pt idx="35" formatCode="General">
                        <c:v>-104.67878217821782</c:v>
                      </c:pt>
                      <c:pt idx="36" formatCode="General">
                        <c:v>-105.19670297029703</c:v>
                      </c:pt>
                      <c:pt idx="37" formatCode="General">
                        <c:v>-105.71551485148515</c:v>
                      </c:pt>
                      <c:pt idx="38" formatCode="General">
                        <c:v>-106.23432673267327</c:v>
                      </c:pt>
                      <c:pt idx="39" formatCode="General">
                        <c:v>-106.74739603960397</c:v>
                      </c:pt>
                      <c:pt idx="40" formatCode="General">
                        <c:v>-107.25828712871288</c:v>
                      </c:pt>
                      <c:pt idx="41" formatCode="General">
                        <c:v>-107.76917821782179</c:v>
                      </c:pt>
                      <c:pt idx="42" formatCode="General">
                        <c:v>-108.2800693069307</c:v>
                      </c:pt>
                      <c:pt idx="43" formatCode="General">
                        <c:v>-108.79096039603961</c:v>
                      </c:pt>
                      <c:pt idx="44" formatCode="General">
                        <c:v>-109.30185148514852</c:v>
                      </c:pt>
                      <c:pt idx="45" formatCode="General">
                        <c:v>-109.81274257425743</c:v>
                      </c:pt>
                      <c:pt idx="46" formatCode="General">
                        <c:v>-110.32363366336634</c:v>
                      </c:pt>
                      <c:pt idx="47" formatCode="General">
                        <c:v>-110.83452475247526</c:v>
                      </c:pt>
                      <c:pt idx="48" formatCode="General">
                        <c:v>-111.34541584158417</c:v>
                      </c:pt>
                      <c:pt idx="49" formatCode="General">
                        <c:v>-111.84375340768278</c:v>
                      </c:pt>
                      <c:pt idx="50" formatCode="General">
                        <c:v>-112.33455885997522</c:v>
                      </c:pt>
                      <c:pt idx="51" formatCode="General">
                        <c:v>-112.82536431226767</c:v>
                      </c:pt>
                      <c:pt idx="52" formatCode="General">
                        <c:v>-113.3161697645601</c:v>
                      </c:pt>
                      <c:pt idx="53" formatCode="General">
                        <c:v>-113.80697521685254</c:v>
                      </c:pt>
                      <c:pt idx="54" formatCode="General">
                        <c:v>-114.29778066914498</c:v>
                      </c:pt>
                      <c:pt idx="55" formatCode="General">
                        <c:v>-114.78858612143742</c:v>
                      </c:pt>
                      <c:pt idx="56" formatCode="General">
                        <c:v>-115.27939157372987</c:v>
                      </c:pt>
                      <c:pt idx="57" formatCode="General">
                        <c:v>-115.7701970260223</c:v>
                      </c:pt>
                      <c:pt idx="58" formatCode="General">
                        <c:v>-116.26100247831474</c:v>
                      </c:pt>
                      <c:pt idx="59" formatCode="General">
                        <c:v>-116.74200866336633</c:v>
                      </c:pt>
                      <c:pt idx="60" formatCode="General">
                        <c:v>-117.21458292079208</c:v>
                      </c:pt>
                      <c:pt idx="61" formatCode="General">
                        <c:v>-117.68715717821782</c:v>
                      </c:pt>
                      <c:pt idx="62" formatCode="General">
                        <c:v>-118.15973143564356</c:v>
                      </c:pt>
                      <c:pt idx="63" formatCode="General">
                        <c:v>-118.6323056930693</c:v>
                      </c:pt>
                      <c:pt idx="64" formatCode="General">
                        <c:v>-119.10487995049505</c:v>
                      </c:pt>
                      <c:pt idx="65" formatCode="General">
                        <c:v>-119.57745420792079</c:v>
                      </c:pt>
                      <c:pt idx="66" formatCode="General">
                        <c:v>-120.05002846534653</c:v>
                      </c:pt>
                      <c:pt idx="67" formatCode="General">
                        <c:v>-120.52260272277228</c:v>
                      </c:pt>
                      <c:pt idx="68" formatCode="General">
                        <c:v>-120.99517698019801</c:v>
                      </c:pt>
                      <c:pt idx="69" formatCode="General">
                        <c:v>-121.45842255266419</c:v>
                      </c:pt>
                      <c:pt idx="70" formatCode="General">
                        <c:v>-121.9096741016109</c:v>
                      </c:pt>
                      <c:pt idx="71" formatCode="General">
                        <c:v>-122.36092565055762</c:v>
                      </c:pt>
                      <c:pt idx="72" formatCode="General">
                        <c:v>-122.81217719950433</c:v>
                      </c:pt>
                      <c:pt idx="73" formatCode="General">
                        <c:v>-123.26342874845105</c:v>
                      </c:pt>
                      <c:pt idx="74" formatCode="General">
                        <c:v>-123.71468029739776</c:v>
                      </c:pt>
                      <c:pt idx="75" formatCode="General">
                        <c:v>-124.16593184634448</c:v>
                      </c:pt>
                      <c:pt idx="76" formatCode="General">
                        <c:v>-124.61718339529119</c:v>
                      </c:pt>
                      <c:pt idx="77" formatCode="General">
                        <c:v>-125.06843494423791</c:v>
                      </c:pt>
                      <c:pt idx="78" formatCode="General">
                        <c:v>-125.51968649318462</c:v>
                      </c:pt>
                      <c:pt idx="79" formatCode="General">
                        <c:v>-125.96596039603959</c:v>
                      </c:pt>
                      <c:pt idx="80" formatCode="General">
                        <c:v>-126.40299009900988</c:v>
                      </c:pt>
                      <c:pt idx="81" formatCode="General">
                        <c:v>-126.84001980198019</c:v>
                      </c:pt>
                      <c:pt idx="82" formatCode="General">
                        <c:v>-127.27704950495048</c:v>
                      </c:pt>
                      <c:pt idx="83" formatCode="General">
                        <c:v>-127.71407920792079</c:v>
                      </c:pt>
                      <c:pt idx="84" formatCode="General">
                        <c:v>-128.15110891089108</c:v>
                      </c:pt>
                      <c:pt idx="85" formatCode="General">
                        <c:v>-128.58813861386139</c:v>
                      </c:pt>
                      <c:pt idx="86" formatCode="General">
                        <c:v>-129.0251683168317</c:v>
                      </c:pt>
                      <c:pt idx="87" formatCode="General">
                        <c:v>-129.46219801980197</c:v>
                      </c:pt>
                      <c:pt idx="88" formatCode="General">
                        <c:v>-129.89922772277228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3E8-4985-B972-FB6B32C5B9EC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-174.57772277227724</c:v>
                      </c:pt>
                      <c:pt idx="1">
                        <c:v>-171.01623762376238</c:v>
                      </c:pt>
                      <c:pt idx="2">
                        <c:v>-167.67366336633663</c:v>
                      </c:pt>
                      <c:pt idx="3">
                        <c:v>-164.35955445544553</c:v>
                      </c:pt>
                      <c:pt idx="4" formatCode="General">
                        <c:v>-161.47242574257425</c:v>
                      </c:pt>
                      <c:pt idx="5" formatCode="General">
                        <c:v>-158.58529702970296</c:v>
                      </c:pt>
                      <c:pt idx="6" formatCode="General">
                        <c:v>-156.03237623762377</c:v>
                      </c:pt>
                      <c:pt idx="7" formatCode="General">
                        <c:v>-153.76702970297029</c:v>
                      </c:pt>
                      <c:pt idx="8" formatCode="General">
                        <c:v>-151.51140099009902</c:v>
                      </c:pt>
                      <c:pt idx="9" formatCode="General">
                        <c:v>-150.0234801980198</c:v>
                      </c:pt>
                      <c:pt idx="10" formatCode="General">
                        <c:v>-148.5355594059406</c:v>
                      </c:pt>
                      <c:pt idx="11" formatCode="General">
                        <c:v>-147.04763861386138</c:v>
                      </c:pt>
                      <c:pt idx="12" formatCode="General">
                        <c:v>-145.55971782178219</c:v>
                      </c:pt>
                      <c:pt idx="13" formatCode="General">
                        <c:v>-144.07179702970296</c:v>
                      </c:pt>
                      <c:pt idx="14" formatCode="General">
                        <c:v>-142.58387623762377</c:v>
                      </c:pt>
                      <c:pt idx="15" formatCode="General">
                        <c:v>-141.09595544554455</c:v>
                      </c:pt>
                      <c:pt idx="16" formatCode="General">
                        <c:v>-139.60803465346535</c:v>
                      </c:pt>
                      <c:pt idx="17" formatCode="General">
                        <c:v>-138.12011386138616</c:v>
                      </c:pt>
                      <c:pt idx="18" formatCode="General">
                        <c:v>-136.63219306930694</c:v>
                      </c:pt>
                      <c:pt idx="19" formatCode="General">
                        <c:v>-135.5089108910891</c:v>
                      </c:pt>
                      <c:pt idx="20" formatCode="General">
                        <c:v>-134.42059405940594</c:v>
                      </c:pt>
                      <c:pt idx="21" formatCode="General">
                        <c:v>-133.38783168316832</c:v>
                      </c:pt>
                      <c:pt idx="22" formatCode="General">
                        <c:v>-132.4428811881188</c:v>
                      </c:pt>
                      <c:pt idx="23" formatCode="General">
                        <c:v>-131.49793069306929</c:v>
                      </c:pt>
                      <c:pt idx="24" formatCode="General">
                        <c:v>-130.62238805970148</c:v>
                      </c:pt>
                      <c:pt idx="25" formatCode="General">
                        <c:v>-129.75791044776119</c:v>
                      </c:pt>
                      <c:pt idx="26" formatCode="General">
                        <c:v>-128.93041584158416</c:v>
                      </c:pt>
                      <c:pt idx="27" formatCode="General">
                        <c:v>-128.17160396039603</c:v>
                      </c:pt>
                      <c:pt idx="28" formatCode="General">
                        <c:v>-127.41279207920792</c:v>
                      </c:pt>
                      <c:pt idx="29" formatCode="General">
                        <c:v>-127.85831683168317</c:v>
                      </c:pt>
                      <c:pt idx="30" formatCode="General">
                        <c:v>-128.55930693069305</c:v>
                      </c:pt>
                      <c:pt idx="31" formatCode="General">
                        <c:v>-129.25198019801979</c:v>
                      </c:pt>
                      <c:pt idx="32" formatCode="General">
                        <c:v>-129.92524752475248</c:v>
                      </c:pt>
                      <c:pt idx="33" formatCode="General">
                        <c:v>-130.59851485148516</c:v>
                      </c:pt>
                      <c:pt idx="34" formatCode="General">
                        <c:v>-131.25520792079209</c:v>
                      </c:pt>
                      <c:pt idx="35" formatCode="General">
                        <c:v>-131.9070891089109</c:v>
                      </c:pt>
                      <c:pt idx="36" formatCode="General">
                        <c:v>-132.55936633663364</c:v>
                      </c:pt>
                      <c:pt idx="37" formatCode="General">
                        <c:v>-133.21283168316833</c:v>
                      </c:pt>
                      <c:pt idx="38" formatCode="General">
                        <c:v>-133.86629702970299</c:v>
                      </c:pt>
                      <c:pt idx="39" formatCode="General">
                        <c:v>-134.51258415841585</c:v>
                      </c:pt>
                      <c:pt idx="40" formatCode="General">
                        <c:v>-135.15614851485151</c:v>
                      </c:pt>
                      <c:pt idx="41" formatCode="General">
                        <c:v>-135.79971287128714</c:v>
                      </c:pt>
                      <c:pt idx="42" formatCode="General">
                        <c:v>-136.4432772277228</c:v>
                      </c:pt>
                      <c:pt idx="43" formatCode="General">
                        <c:v>-137.08684158415844</c:v>
                      </c:pt>
                      <c:pt idx="44" formatCode="General">
                        <c:v>-137.73040594059407</c:v>
                      </c:pt>
                      <c:pt idx="45" formatCode="General">
                        <c:v>-138.37397029702973</c:v>
                      </c:pt>
                      <c:pt idx="46" formatCode="General">
                        <c:v>-139.01753465346536</c:v>
                      </c:pt>
                      <c:pt idx="47" formatCode="General">
                        <c:v>-139.66109900990102</c:v>
                      </c:pt>
                      <c:pt idx="48" formatCode="General">
                        <c:v>-140.30466336633665</c:v>
                      </c:pt>
                      <c:pt idx="49" formatCode="General">
                        <c:v>-140.93249318463447</c:v>
                      </c:pt>
                      <c:pt idx="50" formatCode="General">
                        <c:v>-141.55088228004959</c:v>
                      </c:pt>
                      <c:pt idx="51" formatCode="General">
                        <c:v>-142.16927137546469</c:v>
                      </c:pt>
                      <c:pt idx="52" formatCode="General">
                        <c:v>-142.78766047087981</c:v>
                      </c:pt>
                      <c:pt idx="53" formatCode="General">
                        <c:v>-143.40604956629494</c:v>
                      </c:pt>
                      <c:pt idx="54" formatCode="General">
                        <c:v>-144.02443866171004</c:v>
                      </c:pt>
                      <c:pt idx="55" formatCode="General">
                        <c:v>-144.64282775712516</c:v>
                      </c:pt>
                      <c:pt idx="56" formatCode="General">
                        <c:v>-145.26121685254026</c:v>
                      </c:pt>
                      <c:pt idx="57" formatCode="General">
                        <c:v>-145.87960594795538</c:v>
                      </c:pt>
                      <c:pt idx="58" formatCode="General">
                        <c:v>-146.49799504337051</c:v>
                      </c:pt>
                      <c:pt idx="59" formatCode="General">
                        <c:v>-147.10405198019802</c:v>
                      </c:pt>
                      <c:pt idx="60" formatCode="General">
                        <c:v>-147.69949752475247</c:v>
                      </c:pt>
                      <c:pt idx="61" formatCode="General">
                        <c:v>-148.29494306930692</c:v>
                      </c:pt>
                      <c:pt idx="62" formatCode="General">
                        <c:v>-148.89038861386138</c:v>
                      </c:pt>
                      <c:pt idx="63" formatCode="General">
                        <c:v>-149.48583415841583</c:v>
                      </c:pt>
                      <c:pt idx="64" formatCode="General">
                        <c:v>-150.08127970297031</c:v>
                      </c:pt>
                      <c:pt idx="65" formatCode="General">
                        <c:v>-150.67672524752476</c:v>
                      </c:pt>
                      <c:pt idx="66" formatCode="General">
                        <c:v>-151.27217079207921</c:v>
                      </c:pt>
                      <c:pt idx="67" formatCode="General">
                        <c:v>-151.86761633663366</c:v>
                      </c:pt>
                      <c:pt idx="68" formatCode="General">
                        <c:v>-152.46306188118811</c:v>
                      </c:pt>
                      <c:pt idx="69" formatCode="General">
                        <c:v>-153.04677323420074</c:v>
                      </c:pt>
                      <c:pt idx="70" formatCode="General">
                        <c:v>-153.61539776951673</c:v>
                      </c:pt>
                      <c:pt idx="71" formatCode="General">
                        <c:v>-154.18402230483272</c:v>
                      </c:pt>
                      <c:pt idx="72" formatCode="General">
                        <c:v>-154.75264684014869</c:v>
                      </c:pt>
                      <c:pt idx="73" formatCode="General">
                        <c:v>-155.32127137546468</c:v>
                      </c:pt>
                      <c:pt idx="74" formatCode="General">
                        <c:v>-155.88989591078067</c:v>
                      </c:pt>
                      <c:pt idx="75" formatCode="General">
                        <c:v>-156.45852044609666</c:v>
                      </c:pt>
                      <c:pt idx="76" formatCode="General">
                        <c:v>-157.02714498141262</c:v>
                      </c:pt>
                      <c:pt idx="77" formatCode="General">
                        <c:v>-157.59576951672861</c:v>
                      </c:pt>
                      <c:pt idx="78" formatCode="General">
                        <c:v>-158.1643940520446</c:v>
                      </c:pt>
                      <c:pt idx="79" formatCode="General">
                        <c:v>-158.72674257425743</c:v>
                      </c:pt>
                      <c:pt idx="80" formatCode="General">
                        <c:v>-159.27743564356436</c:v>
                      </c:pt>
                      <c:pt idx="81" formatCode="General">
                        <c:v>-159.82812871287129</c:v>
                      </c:pt>
                      <c:pt idx="82" formatCode="General">
                        <c:v>-160.37882178217822</c:v>
                      </c:pt>
                      <c:pt idx="83" formatCode="General">
                        <c:v>-160.92951485148515</c:v>
                      </c:pt>
                      <c:pt idx="84" formatCode="General">
                        <c:v>-161.48020792079208</c:v>
                      </c:pt>
                      <c:pt idx="85" formatCode="General">
                        <c:v>-162.03090099009901</c:v>
                      </c:pt>
                      <c:pt idx="86" formatCode="General">
                        <c:v>-162.58159405940594</c:v>
                      </c:pt>
                      <c:pt idx="87" formatCode="General">
                        <c:v>-163.13228712871287</c:v>
                      </c:pt>
                      <c:pt idx="88" formatCode="General">
                        <c:v>-163.68298019801981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3E8-4985-B972-FB6B32C5B9EC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3E8-4985-B972-FB6B32C5B9EC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3E8-4985-B972-FB6B32C5B9EC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3E8-4985-B972-FB6B32C5B9EC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3E8-4985-B972-FB6B32C5B9EC}"/>
                  </c:ext>
                </c:extLst>
              </c15:ser>
            </c15:filteredScatterSeries>
            <c15:filteredScatterSeries>
              <c15:ser>
                <c:idx val="4"/>
                <c:order val="6"/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3E8-4985-B972-FB6B32C5B9EC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-26.752207920792078</c:v>
                      </c:pt>
                      <c:pt idx="27" formatCode="General">
                        <c:v>-26.53280198019802</c:v>
                      </c:pt>
                      <c:pt idx="28" formatCode="General">
                        <c:v>-26.313396039603958</c:v>
                      </c:pt>
                      <c:pt idx="29" formatCode="General">
                        <c:v>-26.394257425742573</c:v>
                      </c:pt>
                      <c:pt idx="30" formatCode="General">
                        <c:v>-26.538811881188117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-29.088739776951673</c:v>
                      </c:pt>
                      <c:pt idx="50" formatCode="General">
                        <c:v>-29.21632342007435</c:v>
                      </c:pt>
                      <c:pt idx="51" formatCode="General">
                        <c:v>-29.343907063197026</c:v>
                      </c:pt>
                      <c:pt idx="52" formatCode="General">
                        <c:v>-29.471490706319702</c:v>
                      </c:pt>
                      <c:pt idx="53" formatCode="General">
                        <c:v>-29.599074349442379</c:v>
                      </c:pt>
                      <c:pt idx="54" formatCode="General">
                        <c:v>-29.726657992565055</c:v>
                      </c:pt>
                      <c:pt idx="55" formatCode="General">
                        <c:v>-29.854241635687732</c:v>
                      </c:pt>
                      <c:pt idx="56" formatCode="General">
                        <c:v>-29.981825278810408</c:v>
                      </c:pt>
                      <c:pt idx="57" formatCode="General">
                        <c:v>-30.109408921933085</c:v>
                      </c:pt>
                      <c:pt idx="58" formatCode="General">
                        <c:v>-30.236992565055761</c:v>
                      </c:pt>
                      <c:pt idx="59" formatCode="General">
                        <c:v>-30.362043316831681</c:v>
                      </c:pt>
                      <c:pt idx="60" formatCode="General">
                        <c:v>-30.484914603960394</c:v>
                      </c:pt>
                      <c:pt idx="61" formatCode="General">
                        <c:v>-30.607785891089108</c:v>
                      </c:pt>
                      <c:pt idx="62" formatCode="General">
                        <c:v>-30.730657178217822</c:v>
                      </c:pt>
                      <c:pt idx="63" formatCode="General">
                        <c:v>-30.853528465346532</c:v>
                      </c:pt>
                      <c:pt idx="64" formatCode="General">
                        <c:v>-30.976399752475245</c:v>
                      </c:pt>
                      <c:pt idx="65" formatCode="General">
                        <c:v>-31.099271039603959</c:v>
                      </c:pt>
                      <c:pt idx="66" formatCode="General">
                        <c:v>-31.222142326732673</c:v>
                      </c:pt>
                      <c:pt idx="67" formatCode="General">
                        <c:v>-31.345013613861386</c:v>
                      </c:pt>
                      <c:pt idx="68" formatCode="General">
                        <c:v>-31.467884900990096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-32.760782178217816</c:v>
                      </c:pt>
                      <c:pt idx="80" formatCode="General">
                        <c:v>-32.874445544554455</c:v>
                      </c:pt>
                      <c:pt idx="81" formatCode="General">
                        <c:v>-32.988108910891086</c:v>
                      </c:pt>
                      <c:pt idx="82" formatCode="General">
                        <c:v>-33.101772277227717</c:v>
                      </c:pt>
                      <c:pt idx="83" formatCode="General">
                        <c:v>-33.215435643564355</c:v>
                      </c:pt>
                      <c:pt idx="84" formatCode="General">
                        <c:v>-33.329099009900986</c:v>
                      </c:pt>
                      <c:pt idx="85" formatCode="General">
                        <c:v>-33.442762376237624</c:v>
                      </c:pt>
                      <c:pt idx="86" formatCode="General">
                        <c:v>-33.556425742574255</c:v>
                      </c:pt>
                      <c:pt idx="87" formatCode="General">
                        <c:v>-33.670089108910894</c:v>
                      </c:pt>
                      <c:pt idx="88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3E8-4985-B972-FB6B32C5B9EC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-31.291584158415841</c:v>
                      </c:pt>
                      <c:pt idx="1">
                        <c:v>-30.732871287128713</c:v>
                      </c:pt>
                      <c:pt idx="2">
                        <c:v>-30.21009900990099</c:v>
                      </c:pt>
                      <c:pt idx="3">
                        <c:v>-29.692277227722773</c:v>
                      </c:pt>
                      <c:pt idx="4" formatCode="General">
                        <c:v>-29.248712871287129</c:v>
                      </c:pt>
                      <c:pt idx="5" formatCode="General">
                        <c:v>-28.805148514851485</c:v>
                      </c:pt>
                      <c:pt idx="6" formatCode="General">
                        <c:v>-28.118910891089108</c:v>
                      </c:pt>
                      <c:pt idx="7" formatCode="General">
                        <c:v>-27.223861386138612</c:v>
                      </c:pt>
                      <c:pt idx="8" formatCode="General">
                        <c:v>-26.326987623762374</c:v>
                      </c:pt>
                      <c:pt idx="9" formatCode="General">
                        <c:v>-25.285997524752471</c:v>
                      </c:pt>
                      <c:pt idx="10" formatCode="General">
                        <c:v>-24.245007425742571</c:v>
                      </c:pt>
                      <c:pt idx="11" formatCode="General">
                        <c:v>-23.204017326732671</c:v>
                      </c:pt>
                      <c:pt idx="12" formatCode="General">
                        <c:v>-22.163027227722772</c:v>
                      </c:pt>
                      <c:pt idx="13" formatCode="General">
                        <c:v>-21.122037128712869</c:v>
                      </c:pt>
                      <c:pt idx="14" formatCode="General">
                        <c:v>-20.081047029702969</c:v>
                      </c:pt>
                      <c:pt idx="15" formatCode="General">
                        <c:v>-19.040056930693069</c:v>
                      </c:pt>
                      <c:pt idx="16" formatCode="General">
                        <c:v>-17.999066831683166</c:v>
                      </c:pt>
                      <c:pt idx="17" formatCode="General">
                        <c:v>-16.958076732673266</c:v>
                      </c:pt>
                      <c:pt idx="18" formatCode="General">
                        <c:v>-15.917086633663365</c:v>
                      </c:pt>
                      <c:pt idx="19" formatCode="General">
                        <c:v>-15.058415841584157</c:v>
                      </c:pt>
                      <c:pt idx="20" formatCode="General">
                        <c:v>-14.217227722772275</c:v>
                      </c:pt>
                      <c:pt idx="21" formatCode="General">
                        <c:v>-13.399980198019801</c:v>
                      </c:pt>
                      <c:pt idx="22" formatCode="General">
                        <c:v>-12.620574257425742</c:v>
                      </c:pt>
                      <c:pt idx="23" formatCode="General">
                        <c:v>-11.841168316831684</c:v>
                      </c:pt>
                      <c:pt idx="24" formatCode="General">
                        <c:v>-11.103731343283583</c:v>
                      </c:pt>
                      <c:pt idx="25" formatCode="General">
                        <c:v>-10.372985074626865</c:v>
                      </c:pt>
                      <c:pt idx="26" formatCode="General">
                        <c:v>-9.6612475247524738</c:v>
                      </c:pt>
                      <c:pt idx="27" formatCode="General">
                        <c:v>-8.9848118811881168</c:v>
                      </c:pt>
                      <c:pt idx="28" formatCode="General">
                        <c:v>-8.3083762376237598</c:v>
                      </c:pt>
                      <c:pt idx="29" formatCode="General">
                        <c:v>-8.2259405940594057</c:v>
                      </c:pt>
                      <c:pt idx="30" formatCode="General">
                        <c:v>-8.2695049504950493</c:v>
                      </c:pt>
                      <c:pt idx="31" formatCode="General">
                        <c:v>-8.3118811881188126</c:v>
                      </c:pt>
                      <c:pt idx="32" formatCode="General">
                        <c:v>-8.3514851485148522</c:v>
                      </c:pt>
                      <c:pt idx="33" formatCode="General">
                        <c:v>-8.3910891089108919</c:v>
                      </c:pt>
                      <c:pt idx="34" formatCode="General">
                        <c:v>-8.4300792079207927</c:v>
                      </c:pt>
                      <c:pt idx="35" formatCode="General">
                        <c:v>-8.4688910891089098</c:v>
                      </c:pt>
                      <c:pt idx="36" formatCode="General">
                        <c:v>-8.5079009900990101</c:v>
                      </c:pt>
                      <c:pt idx="37" formatCode="General">
                        <c:v>-8.5475049504950498</c:v>
                      </c:pt>
                      <c:pt idx="38" formatCode="General">
                        <c:v>-8.5871089108910894</c:v>
                      </c:pt>
                      <c:pt idx="39" formatCode="General">
                        <c:v>-8.626712871287129</c:v>
                      </c:pt>
                      <c:pt idx="40" formatCode="General">
                        <c:v>-8.6663168316831687</c:v>
                      </c:pt>
                      <c:pt idx="41" formatCode="General">
                        <c:v>-8.7059207920792083</c:v>
                      </c:pt>
                      <c:pt idx="42" formatCode="General">
                        <c:v>-8.745524752475248</c:v>
                      </c:pt>
                      <c:pt idx="43" formatCode="General">
                        <c:v>-8.7851287128712876</c:v>
                      </c:pt>
                      <c:pt idx="44" formatCode="General">
                        <c:v>-8.8247326732673272</c:v>
                      </c:pt>
                      <c:pt idx="45" formatCode="General">
                        <c:v>-8.8643366336633669</c:v>
                      </c:pt>
                      <c:pt idx="46" formatCode="General">
                        <c:v>-8.9039405940594047</c:v>
                      </c:pt>
                      <c:pt idx="47" formatCode="General">
                        <c:v>-8.9435445544554444</c:v>
                      </c:pt>
                      <c:pt idx="48" formatCode="General">
                        <c:v>-8.983148514851484</c:v>
                      </c:pt>
                      <c:pt idx="49" formatCode="General">
                        <c:v>-9.0224114002478313</c:v>
                      </c:pt>
                      <c:pt idx="50" formatCode="General">
                        <c:v>-9.0614696406443613</c:v>
                      </c:pt>
                      <c:pt idx="51" formatCode="General">
                        <c:v>-9.1005278810408914</c:v>
                      </c:pt>
                      <c:pt idx="52" formatCode="General">
                        <c:v>-9.1395861214374214</c:v>
                      </c:pt>
                      <c:pt idx="53" formatCode="General">
                        <c:v>-9.1786443618339515</c:v>
                      </c:pt>
                      <c:pt idx="54" formatCode="General">
                        <c:v>-9.2177026022304833</c:v>
                      </c:pt>
                      <c:pt idx="55" formatCode="General">
                        <c:v>-9.2567608426270134</c:v>
                      </c:pt>
                      <c:pt idx="56" formatCode="General">
                        <c:v>-9.2958190830235434</c:v>
                      </c:pt>
                      <c:pt idx="57" formatCode="General">
                        <c:v>-9.3348773234200735</c:v>
                      </c:pt>
                      <c:pt idx="58" formatCode="General">
                        <c:v>-9.3739355638166035</c:v>
                      </c:pt>
                      <c:pt idx="59" formatCode="General">
                        <c:v>-9.4123292079207914</c:v>
                      </c:pt>
                      <c:pt idx="60" formatCode="General">
                        <c:v>-9.4501509900990097</c:v>
                      </c:pt>
                      <c:pt idx="61" formatCode="General">
                        <c:v>-9.4879727722772262</c:v>
                      </c:pt>
                      <c:pt idx="62" formatCode="General">
                        <c:v>-9.5257945544554445</c:v>
                      </c:pt>
                      <c:pt idx="63" formatCode="General">
                        <c:v>-9.5636163366336628</c:v>
                      </c:pt>
                      <c:pt idx="64" formatCode="General">
                        <c:v>-9.6014381188118811</c:v>
                      </c:pt>
                      <c:pt idx="65" formatCode="General">
                        <c:v>-9.6392599009900977</c:v>
                      </c:pt>
                      <c:pt idx="66" formatCode="General">
                        <c:v>-9.677081683168316</c:v>
                      </c:pt>
                      <c:pt idx="67" formatCode="General">
                        <c:v>-9.7149034653465343</c:v>
                      </c:pt>
                      <c:pt idx="68" formatCode="General">
                        <c:v>-9.7527252475247508</c:v>
                      </c:pt>
                      <c:pt idx="69" formatCode="General">
                        <c:v>-9.7899603469640635</c:v>
                      </c:pt>
                      <c:pt idx="70" formatCode="General">
                        <c:v>-9.826441140024782</c:v>
                      </c:pt>
                      <c:pt idx="71" formatCode="General">
                        <c:v>-9.8629219330855005</c:v>
                      </c:pt>
                      <c:pt idx="72" formatCode="General">
                        <c:v>-9.899402726146219</c:v>
                      </c:pt>
                      <c:pt idx="73" formatCode="General">
                        <c:v>-9.9358835192069392</c:v>
                      </c:pt>
                      <c:pt idx="74" formatCode="General">
                        <c:v>-9.9723643122676577</c:v>
                      </c:pt>
                      <c:pt idx="75" formatCode="General">
                        <c:v>-10.008845105328376</c:v>
                      </c:pt>
                      <c:pt idx="76" formatCode="General">
                        <c:v>-10.045325898389095</c:v>
                      </c:pt>
                      <c:pt idx="77" formatCode="General">
                        <c:v>-10.081806691449813</c:v>
                      </c:pt>
                      <c:pt idx="78" formatCode="General">
                        <c:v>-10.118287484510532</c:v>
                      </c:pt>
                      <c:pt idx="79" formatCode="General">
                        <c:v>-10.154336633663366</c:v>
                      </c:pt>
                      <c:pt idx="80" formatCode="General">
                        <c:v>-10.18958415841584</c:v>
                      </c:pt>
                      <c:pt idx="81" formatCode="General">
                        <c:v>-10.224831683168317</c:v>
                      </c:pt>
                      <c:pt idx="82" formatCode="General">
                        <c:v>-10.260079207920791</c:v>
                      </c:pt>
                      <c:pt idx="83" formatCode="General">
                        <c:v>-10.295326732673267</c:v>
                      </c:pt>
                      <c:pt idx="84" formatCode="General">
                        <c:v>-10.330574257425742</c:v>
                      </c:pt>
                      <c:pt idx="85" formatCode="General">
                        <c:v>-10.365821782178218</c:v>
                      </c:pt>
                      <c:pt idx="86" formatCode="General">
                        <c:v>-10.401069306930692</c:v>
                      </c:pt>
                      <c:pt idx="87" formatCode="General">
                        <c:v>-10.436316831683168</c:v>
                      </c:pt>
                      <c:pt idx="88" formatCode="General">
                        <c:v>-10.471564356435643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3E8-4985-B972-FB6B32C5B9EC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3E8-4985-B972-FB6B32C5B9EC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-26.752207920792078</c:v>
                      </c:pt>
                      <c:pt idx="27" formatCode="General">
                        <c:v>-26.53280198019802</c:v>
                      </c:pt>
                      <c:pt idx="28" formatCode="General">
                        <c:v>-26.313396039603958</c:v>
                      </c:pt>
                      <c:pt idx="29" formatCode="General">
                        <c:v>-26.394257425742573</c:v>
                      </c:pt>
                      <c:pt idx="30" formatCode="General">
                        <c:v>-26.538811881188117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-29.088739776951673</c:v>
                      </c:pt>
                      <c:pt idx="50" formatCode="General">
                        <c:v>-29.21632342007435</c:v>
                      </c:pt>
                      <c:pt idx="51" formatCode="General">
                        <c:v>-29.343907063197026</c:v>
                      </c:pt>
                      <c:pt idx="52" formatCode="General">
                        <c:v>-29.471490706319702</c:v>
                      </c:pt>
                      <c:pt idx="53" formatCode="General">
                        <c:v>-29.599074349442379</c:v>
                      </c:pt>
                      <c:pt idx="54" formatCode="General">
                        <c:v>-29.726657992565055</c:v>
                      </c:pt>
                      <c:pt idx="55" formatCode="General">
                        <c:v>-29.854241635687732</c:v>
                      </c:pt>
                      <c:pt idx="56" formatCode="General">
                        <c:v>-29.981825278810408</c:v>
                      </c:pt>
                      <c:pt idx="57" formatCode="General">
                        <c:v>-30.109408921933085</c:v>
                      </c:pt>
                      <c:pt idx="58" formatCode="General">
                        <c:v>-30.236992565055761</c:v>
                      </c:pt>
                      <c:pt idx="59" formatCode="General">
                        <c:v>-30.362043316831681</c:v>
                      </c:pt>
                      <c:pt idx="60" formatCode="General">
                        <c:v>-30.484914603960394</c:v>
                      </c:pt>
                      <c:pt idx="61" formatCode="General">
                        <c:v>-30.607785891089108</c:v>
                      </c:pt>
                      <c:pt idx="62" formatCode="General">
                        <c:v>-30.730657178217822</c:v>
                      </c:pt>
                      <c:pt idx="63" formatCode="General">
                        <c:v>-30.853528465346532</c:v>
                      </c:pt>
                      <c:pt idx="64" formatCode="General">
                        <c:v>-30.976399752475245</c:v>
                      </c:pt>
                      <c:pt idx="65" formatCode="General">
                        <c:v>-31.099271039603959</c:v>
                      </c:pt>
                      <c:pt idx="66" formatCode="General">
                        <c:v>-31.222142326732673</c:v>
                      </c:pt>
                      <c:pt idx="67" formatCode="General">
                        <c:v>-31.345013613861386</c:v>
                      </c:pt>
                      <c:pt idx="68" formatCode="General">
                        <c:v>-31.467884900990096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-32.760782178217816</c:v>
                      </c:pt>
                      <c:pt idx="80" formatCode="General">
                        <c:v>-32.874445544554455</c:v>
                      </c:pt>
                      <c:pt idx="81" formatCode="General">
                        <c:v>-32.988108910891086</c:v>
                      </c:pt>
                      <c:pt idx="82" formatCode="General">
                        <c:v>-33.101772277227717</c:v>
                      </c:pt>
                      <c:pt idx="83" formatCode="General">
                        <c:v>-33.215435643564355</c:v>
                      </c:pt>
                      <c:pt idx="84" formatCode="General">
                        <c:v>-33.329099009900986</c:v>
                      </c:pt>
                      <c:pt idx="85" formatCode="General">
                        <c:v>-33.442762376237624</c:v>
                      </c:pt>
                      <c:pt idx="86" formatCode="General">
                        <c:v>-33.556425742574255</c:v>
                      </c:pt>
                      <c:pt idx="87" formatCode="General">
                        <c:v>-33.670089108910894</c:v>
                      </c:pt>
                      <c:pt idx="88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3E8-4985-B972-FB6B32C5B9EC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-44.797821782178218</c:v>
                      </c:pt>
                      <c:pt idx="1">
                        <c:v>-43.820198019801978</c:v>
                      </c:pt>
                      <c:pt idx="2">
                        <c:v>-42.901386138613859</c:v>
                      </c:pt>
                      <c:pt idx="3">
                        <c:v>-41.99</c:v>
                      </c:pt>
                      <c:pt idx="4" formatCode="General">
                        <c:v>-41.19</c:v>
                      </c:pt>
                      <c:pt idx="5" formatCode="General">
                        <c:v>-40.39</c:v>
                      </c:pt>
                      <c:pt idx="6" formatCode="General">
                        <c:v>-39.917821782178223</c:v>
                      </c:pt>
                      <c:pt idx="7" formatCode="General">
                        <c:v>-39.727722772277225</c:v>
                      </c:pt>
                      <c:pt idx="8" formatCode="General">
                        <c:v>-39.542970297029704</c:v>
                      </c:pt>
                      <c:pt idx="9" formatCode="General">
                        <c:v>-39.780594059405942</c:v>
                      </c:pt>
                      <c:pt idx="10" formatCode="General">
                        <c:v>-40.01821782178218</c:v>
                      </c:pt>
                      <c:pt idx="11" formatCode="General">
                        <c:v>-40.255841584158418</c:v>
                      </c:pt>
                      <c:pt idx="12" formatCode="General">
                        <c:v>-40.493465346534656</c:v>
                      </c:pt>
                      <c:pt idx="13" formatCode="General">
                        <c:v>-40.731089108910894</c:v>
                      </c:pt>
                      <c:pt idx="14" formatCode="General">
                        <c:v>-40.968712871287124</c:v>
                      </c:pt>
                      <c:pt idx="15" formatCode="General">
                        <c:v>-41.206336633663362</c:v>
                      </c:pt>
                      <c:pt idx="16" formatCode="General">
                        <c:v>-41.4439603960396</c:v>
                      </c:pt>
                      <c:pt idx="17" formatCode="General">
                        <c:v>-41.681584158415838</c:v>
                      </c:pt>
                      <c:pt idx="18" formatCode="General">
                        <c:v>-41.919207920792076</c:v>
                      </c:pt>
                      <c:pt idx="19" formatCode="General">
                        <c:v>-42.156831683168313</c:v>
                      </c:pt>
                      <c:pt idx="20" formatCode="General">
                        <c:v>-42.394455445544551</c:v>
                      </c:pt>
                      <c:pt idx="21" formatCode="General">
                        <c:v>-42.635148514851487</c:v>
                      </c:pt>
                      <c:pt idx="22" formatCode="General">
                        <c:v>-42.880693069306929</c:v>
                      </c:pt>
                      <c:pt idx="23" formatCode="General">
                        <c:v>-43.126237623762371</c:v>
                      </c:pt>
                      <c:pt idx="24" formatCode="General">
                        <c:v>-43.365970149253727</c:v>
                      </c:pt>
                      <c:pt idx="25" formatCode="General">
                        <c:v>-43.604776119402985</c:v>
                      </c:pt>
                      <c:pt idx="26" formatCode="General">
                        <c:v>-43.843168316831679</c:v>
                      </c:pt>
                      <c:pt idx="27" formatCode="General">
                        <c:v>-44.080792079207917</c:v>
                      </c:pt>
                      <c:pt idx="28" formatCode="General">
                        <c:v>-44.318415841584155</c:v>
                      </c:pt>
                      <c:pt idx="29" formatCode="General">
                        <c:v>-44.562574257425744</c:v>
                      </c:pt>
                      <c:pt idx="30" formatCode="General">
                        <c:v>-44.808118811881187</c:v>
                      </c:pt>
                      <c:pt idx="31" formatCode="General">
                        <c:v>-45.051287128712865</c:v>
                      </c:pt>
                      <c:pt idx="32" formatCode="General">
                        <c:v>-45.28891089108911</c:v>
                      </c:pt>
                      <c:pt idx="33" formatCode="General">
                        <c:v>-45.526534653465347</c:v>
                      </c:pt>
                      <c:pt idx="34" formatCode="General">
                        <c:v>-45.758019801980197</c:v>
                      </c:pt>
                      <c:pt idx="35" formatCode="General">
                        <c:v>-45.987722772277223</c:v>
                      </c:pt>
                      <c:pt idx="36" formatCode="General">
                        <c:v>-46.217425742574257</c:v>
                      </c:pt>
                      <c:pt idx="37" formatCode="General">
                        <c:v>-46.447128712871283</c:v>
                      </c:pt>
                      <c:pt idx="38" formatCode="General">
                        <c:v>-46.676831683168317</c:v>
                      </c:pt>
                      <c:pt idx="39" formatCode="General">
                        <c:v>-46.903663366336637</c:v>
                      </c:pt>
                      <c:pt idx="40" formatCode="General">
                        <c:v>-47.129405940594062</c:v>
                      </c:pt>
                      <c:pt idx="41" formatCode="General">
                        <c:v>-47.355148514851486</c:v>
                      </c:pt>
                      <c:pt idx="42" formatCode="General">
                        <c:v>-47.58089108910891</c:v>
                      </c:pt>
                      <c:pt idx="43" formatCode="General">
                        <c:v>-47.806633663366341</c:v>
                      </c:pt>
                      <c:pt idx="44" formatCode="General">
                        <c:v>-48.032376237623765</c:v>
                      </c:pt>
                      <c:pt idx="45" formatCode="General">
                        <c:v>-48.258118811881189</c:v>
                      </c:pt>
                      <c:pt idx="46" formatCode="General">
                        <c:v>-48.483861386138614</c:v>
                      </c:pt>
                      <c:pt idx="47" formatCode="General">
                        <c:v>-48.709603960396045</c:v>
                      </c:pt>
                      <c:pt idx="48" formatCode="General">
                        <c:v>-48.935346534653469</c:v>
                      </c:pt>
                      <c:pt idx="49" formatCode="General">
                        <c:v>-49.15506815365552</c:v>
                      </c:pt>
                      <c:pt idx="50" formatCode="General">
                        <c:v>-49.371177199504338</c:v>
                      </c:pt>
                      <c:pt idx="51" formatCode="General">
                        <c:v>-49.587286245353162</c:v>
                      </c:pt>
                      <c:pt idx="52" formatCode="General">
                        <c:v>-49.803395291201987</c:v>
                      </c:pt>
                      <c:pt idx="53" formatCode="General">
                        <c:v>-50.019504337050805</c:v>
                      </c:pt>
                      <c:pt idx="54" formatCode="General">
                        <c:v>-50.235613382899629</c:v>
                      </c:pt>
                      <c:pt idx="55" formatCode="General">
                        <c:v>-50.451722428748454</c:v>
                      </c:pt>
                      <c:pt idx="56" formatCode="General">
                        <c:v>-50.667831474597278</c:v>
                      </c:pt>
                      <c:pt idx="57" formatCode="General">
                        <c:v>-50.883940520446096</c:v>
                      </c:pt>
                      <c:pt idx="58" formatCode="General">
                        <c:v>-51.100049566294921</c:v>
                      </c:pt>
                      <c:pt idx="59" formatCode="General">
                        <c:v>-51.311757425742577</c:v>
                      </c:pt>
                      <c:pt idx="60" formatCode="General">
                        <c:v>-51.519678217821784</c:v>
                      </c:pt>
                      <c:pt idx="61" formatCode="General">
                        <c:v>-51.727599009900992</c:v>
                      </c:pt>
                      <c:pt idx="62" formatCode="General">
                        <c:v>-51.935519801980199</c:v>
                      </c:pt>
                      <c:pt idx="63" formatCode="General">
                        <c:v>-52.143440594059406</c:v>
                      </c:pt>
                      <c:pt idx="64" formatCode="General">
                        <c:v>-52.351361386138613</c:v>
                      </c:pt>
                      <c:pt idx="65" formatCode="General">
                        <c:v>-52.559282178217821</c:v>
                      </c:pt>
                      <c:pt idx="66" formatCode="General">
                        <c:v>-52.767202970297028</c:v>
                      </c:pt>
                      <c:pt idx="67" formatCode="General">
                        <c:v>-52.975123762376235</c:v>
                      </c:pt>
                      <c:pt idx="68" formatCode="General">
                        <c:v>-53.183044554455442</c:v>
                      </c:pt>
                      <c:pt idx="69" formatCode="General">
                        <c:v>-53.386741016109042</c:v>
                      </c:pt>
                      <c:pt idx="70" formatCode="General">
                        <c:v>-53.58500619578686</c:v>
                      </c:pt>
                      <c:pt idx="71" formatCode="General">
                        <c:v>-53.783271375464679</c:v>
                      </c:pt>
                      <c:pt idx="72" formatCode="General">
                        <c:v>-53.981536555142497</c:v>
                      </c:pt>
                      <c:pt idx="73" formatCode="General">
                        <c:v>-54.179801734820316</c:v>
                      </c:pt>
                      <c:pt idx="74" formatCode="General">
                        <c:v>-54.378066914498135</c:v>
                      </c:pt>
                      <c:pt idx="75" formatCode="General">
                        <c:v>-54.57633209417596</c:v>
                      </c:pt>
                      <c:pt idx="76" formatCode="General">
                        <c:v>-54.774597273853779</c:v>
                      </c:pt>
                      <c:pt idx="77" formatCode="General">
                        <c:v>-54.972862453531597</c:v>
                      </c:pt>
                      <c:pt idx="78" formatCode="General">
                        <c:v>-55.171127633209416</c:v>
                      </c:pt>
                      <c:pt idx="79" formatCode="General">
                        <c:v>-55.36722772277227</c:v>
                      </c:pt>
                      <c:pt idx="80" formatCode="General">
                        <c:v>-55.559306930693069</c:v>
                      </c:pt>
                      <c:pt idx="81" formatCode="General">
                        <c:v>-55.75138613861386</c:v>
                      </c:pt>
                      <c:pt idx="82" formatCode="General">
                        <c:v>-55.943465346534651</c:v>
                      </c:pt>
                      <c:pt idx="83" formatCode="General">
                        <c:v>-56.135544554455443</c:v>
                      </c:pt>
                      <c:pt idx="84" formatCode="General">
                        <c:v>-56.327623762376234</c:v>
                      </c:pt>
                      <c:pt idx="85" formatCode="General">
                        <c:v>-56.519702970297033</c:v>
                      </c:pt>
                      <c:pt idx="86" formatCode="General">
                        <c:v>-56.711782178217824</c:v>
                      </c:pt>
                      <c:pt idx="87" formatCode="General">
                        <c:v>-56.903861386138615</c:v>
                      </c:pt>
                      <c:pt idx="88" formatCode="General">
                        <c:v>-57.095940594059407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3E8-4985-B972-FB6B32C5B9EC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3E8-4985-B972-FB6B32C5B9EC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3E8-4985-B972-FB6B32C5B9EC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3E8-4985-B972-FB6B32C5B9EC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3E8-4985-B972-FB6B32C5B9EC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3E8-4985-B972-FB6B32C5B9EC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3E8-4985-B972-FB6B32C5B9EC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3E8-4985-B972-FB6B32C5B9EC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3E8-4985-B972-FB6B32C5B9EC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3E8-4985-B972-FB6B32C5B9EC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3E8-4985-B972-FB6B32C5B9EC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3E8-4985-B972-FB6B32C5B9EC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3E8-4985-B972-FB6B32C5B9EC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3E8-4985-B972-FB6B32C5B9EC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3E8-4985-B972-FB6B32C5B9EC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3E8-4985-B972-FB6B32C5B9EC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3E8-4985-B972-FB6B32C5B9EC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3E8-4985-B972-FB6B32C5B9EC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3E8-4985-B972-FB6B32C5B9EC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3E8-4985-B972-FB6B32C5B9EC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3E8-4985-B972-FB6B32C5B9EC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3E8-4985-B972-FB6B32C5B9EC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3E8-4985-B972-FB6B32C5B9EC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3E8-4985-B972-FB6B32C5B9EC}"/>
                  </c:ext>
                </c:extLst>
              </c15:ser>
            </c15:filteredScatterSeries>
            <c15:filteredScatterSeries>
              <c15:ser>
                <c:idx val="34"/>
                <c:order val="36"/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3E8-4985-B972-FB6B32C5B9EC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3E8-4985-B972-FB6B32C5B9EC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3E8-4985-B972-FB6B32C5B9EC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3E8-4985-B972-FB6B32C5B9EC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3E8-4985-B972-FB6B32C5B9EC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3E8-4985-B972-FB6B32C5B9EC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3E8-4985-B972-FB6B32C5B9EC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3E8-4985-B972-FB6B32C5B9EC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3E8-4985-B972-FB6B32C5B9EC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3E8-4985-B972-FB6B32C5B9EC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3E8-4985-B972-FB6B32C5B9EC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3E8-4985-B972-FB6B32C5B9EC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3E8-4985-B972-FB6B32C5B9EC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3E8-4985-B972-FB6B32C5B9EC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3E8-4985-B972-FB6B32C5B9EC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3E8-4985-B972-FB6B32C5B9EC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3E8-4985-B972-FB6B32C5B9EC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3E8-4985-B972-FB6B32C5B9EC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7"/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-26.752207920792078</c:v>
                </c:pt>
                <c:pt idx="27" formatCode="General">
                  <c:v>-26.53280198019802</c:v>
                </c:pt>
                <c:pt idx="28" formatCode="General">
                  <c:v>-26.313396039603958</c:v>
                </c:pt>
                <c:pt idx="29" formatCode="General">
                  <c:v>-26.394257425742573</c:v>
                </c:pt>
                <c:pt idx="30" formatCode="General">
                  <c:v>-26.538811881188117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-29.088739776951673</c:v>
                </c:pt>
                <c:pt idx="50" formatCode="General">
                  <c:v>-29.21632342007435</c:v>
                </c:pt>
                <c:pt idx="51" formatCode="General">
                  <c:v>-29.343907063197026</c:v>
                </c:pt>
                <c:pt idx="52" formatCode="General">
                  <c:v>-29.471490706319702</c:v>
                </c:pt>
                <c:pt idx="53" formatCode="General">
                  <c:v>-29.599074349442379</c:v>
                </c:pt>
                <c:pt idx="54" formatCode="General">
                  <c:v>-29.726657992565055</c:v>
                </c:pt>
                <c:pt idx="55" formatCode="General">
                  <c:v>-29.854241635687732</c:v>
                </c:pt>
                <c:pt idx="56" formatCode="General">
                  <c:v>-29.981825278810408</c:v>
                </c:pt>
                <c:pt idx="57" formatCode="General">
                  <c:v>-30.109408921933085</c:v>
                </c:pt>
                <c:pt idx="58" formatCode="General">
                  <c:v>-30.236992565055761</c:v>
                </c:pt>
                <c:pt idx="59" formatCode="General">
                  <c:v>-30.362043316831681</c:v>
                </c:pt>
                <c:pt idx="60" formatCode="General">
                  <c:v>-30.484914603960394</c:v>
                </c:pt>
                <c:pt idx="61" formatCode="General">
                  <c:v>-30.607785891089108</c:v>
                </c:pt>
                <c:pt idx="62" formatCode="General">
                  <c:v>-30.730657178217822</c:v>
                </c:pt>
                <c:pt idx="63" formatCode="General">
                  <c:v>-30.853528465346532</c:v>
                </c:pt>
                <c:pt idx="64" formatCode="General">
                  <c:v>-30.976399752475245</c:v>
                </c:pt>
                <c:pt idx="65" formatCode="General">
                  <c:v>-31.099271039603959</c:v>
                </c:pt>
                <c:pt idx="66" formatCode="General">
                  <c:v>-31.222142326732673</c:v>
                </c:pt>
                <c:pt idx="67" formatCode="General">
                  <c:v>-31.345013613861386</c:v>
                </c:pt>
                <c:pt idx="68" formatCode="General">
                  <c:v>-31.467884900990096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-32.760782178217816</c:v>
                </c:pt>
                <c:pt idx="80" formatCode="General">
                  <c:v>-32.874445544554455</c:v>
                </c:pt>
                <c:pt idx="81" formatCode="General">
                  <c:v>-32.988108910891086</c:v>
                </c:pt>
                <c:pt idx="82" formatCode="General">
                  <c:v>-33.101772277227717</c:v>
                </c:pt>
                <c:pt idx="83" formatCode="General">
                  <c:v>-33.215435643564355</c:v>
                </c:pt>
                <c:pt idx="84" formatCode="General">
                  <c:v>-33.329099009900986</c:v>
                </c:pt>
                <c:pt idx="85" formatCode="General">
                  <c:v>-33.442762376237624</c:v>
                </c:pt>
                <c:pt idx="86" formatCode="General">
                  <c:v>-33.556425742574255</c:v>
                </c:pt>
                <c:pt idx="87" formatCode="General">
                  <c:v>-33.670089108910894</c:v>
                </c:pt>
                <c:pt idx="88" formatCode="General">
                  <c:v>-33.783752475247525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E-491F-9C5D-1F86F7F69D48}"/>
            </c:ext>
          </c:extLst>
        </c:ser>
        <c:ser>
          <c:idx val="36"/>
          <c:order val="38"/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EVALUATION!$B$139:$CP$139</c:f>
              <c:numCache>
                <c:formatCode>0</c:formatCode>
                <c:ptCount val="93"/>
                <c:pt idx="0">
                  <c:v>-22.522574257425745</c:v>
                </c:pt>
                <c:pt idx="1">
                  <c:v>-22.126881188118812</c:v>
                </c:pt>
                <c:pt idx="2">
                  <c:v>-21.798168316831681</c:v>
                </c:pt>
                <c:pt idx="3">
                  <c:v>-21.480346534653464</c:v>
                </c:pt>
                <c:pt idx="4" formatCode="General">
                  <c:v>-21.325891089108911</c:v>
                </c:pt>
                <c:pt idx="5" formatCode="General">
                  <c:v>-21.171435643564358</c:v>
                </c:pt>
                <c:pt idx="6" formatCode="General">
                  <c:v>-21.093613861386139</c:v>
                </c:pt>
                <c:pt idx="7" formatCode="General">
                  <c:v>-21.081732673267329</c:v>
                </c:pt>
                <c:pt idx="8" formatCode="General">
                  <c:v>-21.071101485148514</c:v>
                </c:pt>
                <c:pt idx="9" formatCode="General">
                  <c:v>-21.159220297029705</c:v>
                </c:pt>
                <c:pt idx="10" formatCode="General">
                  <c:v>-21.247339108910893</c:v>
                </c:pt>
                <c:pt idx="11" formatCode="General">
                  <c:v>-21.335457920792081</c:v>
                </c:pt>
                <c:pt idx="12" formatCode="General">
                  <c:v>-21.423576732673268</c:v>
                </c:pt>
                <c:pt idx="13" formatCode="General">
                  <c:v>-21.511695544554456</c:v>
                </c:pt>
                <c:pt idx="14" formatCode="General">
                  <c:v>-21.599814356435644</c:v>
                </c:pt>
                <c:pt idx="15" formatCode="General">
                  <c:v>-21.687933168316832</c:v>
                </c:pt>
                <c:pt idx="16" formatCode="General">
                  <c:v>-21.776051980198019</c:v>
                </c:pt>
                <c:pt idx="17" formatCode="General">
                  <c:v>-21.864170792079207</c:v>
                </c:pt>
                <c:pt idx="18" formatCode="General">
                  <c:v>-21.952289603960399</c:v>
                </c:pt>
                <c:pt idx="19" formatCode="General">
                  <c:v>-22.028663366336634</c:v>
                </c:pt>
                <c:pt idx="20" formatCode="General">
                  <c:v>-22.103910891089107</c:v>
                </c:pt>
                <c:pt idx="21" formatCode="General">
                  <c:v>-22.177623762376236</c:v>
                </c:pt>
                <c:pt idx="22" formatCode="General">
                  <c:v>-22.248910891089107</c:v>
                </c:pt>
                <c:pt idx="23" formatCode="General">
                  <c:v>-22.320198019801978</c:v>
                </c:pt>
                <c:pt idx="24" formatCode="General">
                  <c:v>-22.398656716417911</c:v>
                </c:pt>
                <c:pt idx="25" formatCode="General">
                  <c:v>-22.478258706467663</c:v>
                </c:pt>
                <c:pt idx="26" formatCode="General">
                  <c:v>-22.561881188118814</c:v>
                </c:pt>
                <c:pt idx="27" formatCode="General">
                  <c:v>-22.652970297029704</c:v>
                </c:pt>
                <c:pt idx="28" formatCode="General">
                  <c:v>-22.744059405940597</c:v>
                </c:pt>
                <c:pt idx="29" formatCode="General">
                  <c:v>-22.848217821782178</c:v>
                </c:pt>
                <c:pt idx="30" formatCode="General">
                  <c:v>-22.955148514851487</c:v>
                </c:pt>
                <c:pt idx="31" formatCode="General">
                  <c:v>-23.063267326732674</c:v>
                </c:pt>
                <c:pt idx="32" formatCode="General">
                  <c:v>-23.174158415841585</c:v>
                </c:pt>
                <c:pt idx="33" formatCode="General">
                  <c:v>-23.285049504950493</c:v>
                </c:pt>
                <c:pt idx="34" formatCode="General">
                  <c:v>-23.399009900990098</c:v>
                </c:pt>
                <c:pt idx="35" formatCode="General">
                  <c:v>-23.513861386138615</c:v>
                </c:pt>
                <c:pt idx="36" formatCode="General">
                  <c:v>-23.628712871287131</c:v>
                </c:pt>
                <c:pt idx="37" formatCode="General">
                  <c:v>-23.743564356435645</c:v>
                </c:pt>
                <c:pt idx="38" formatCode="General">
                  <c:v>-23.858415841584158</c:v>
                </c:pt>
                <c:pt idx="39" formatCode="General">
                  <c:v>-23.970396039603962</c:v>
                </c:pt>
                <c:pt idx="40" formatCode="General">
                  <c:v>-24.081287128712873</c:v>
                </c:pt>
                <c:pt idx="41" formatCode="General">
                  <c:v>-24.192970297029706</c:v>
                </c:pt>
                <c:pt idx="42" formatCode="General">
                  <c:v>-24.30782178217822</c:v>
                </c:pt>
                <c:pt idx="43" formatCode="General">
                  <c:v>-24.422673267326733</c:v>
                </c:pt>
                <c:pt idx="44" formatCode="General">
                  <c:v>-24.534851485148515</c:v>
                </c:pt>
                <c:pt idx="45" formatCode="General">
                  <c:v>-24.645742574257426</c:v>
                </c:pt>
                <c:pt idx="46" formatCode="General">
                  <c:v>-24.756633663366337</c:v>
                </c:pt>
                <c:pt idx="47" formatCode="General">
                  <c:v>-24.867524752475248</c:v>
                </c:pt>
                <c:pt idx="48" formatCode="General">
                  <c:v>-24.978415841584159</c:v>
                </c:pt>
                <c:pt idx="49" formatCode="General">
                  <c:v>-25.087534076827758</c:v>
                </c:pt>
                <c:pt idx="50" formatCode="General">
                  <c:v>-25.195588599752167</c:v>
                </c:pt>
                <c:pt idx="51" formatCode="General">
                  <c:v>-25.303643122676579</c:v>
                </c:pt>
                <c:pt idx="52" formatCode="General">
                  <c:v>-25.411697645600992</c:v>
                </c:pt>
                <c:pt idx="53" formatCode="General">
                  <c:v>-25.5197521685254</c:v>
                </c:pt>
                <c:pt idx="54" formatCode="General">
                  <c:v>-25.627806691449813</c:v>
                </c:pt>
                <c:pt idx="55" formatCode="General">
                  <c:v>-25.735861214374225</c:v>
                </c:pt>
                <c:pt idx="56" formatCode="General">
                  <c:v>-25.843915737298637</c:v>
                </c:pt>
                <c:pt idx="57" formatCode="General">
                  <c:v>-25.951970260223046</c:v>
                </c:pt>
                <c:pt idx="58" formatCode="General">
                  <c:v>-26.060024783147458</c:v>
                </c:pt>
                <c:pt idx="59" formatCode="General">
                  <c:v>-26.165878712871287</c:v>
                </c:pt>
                <c:pt idx="60" formatCode="General">
                  <c:v>-26.26983910891089</c:v>
                </c:pt>
                <c:pt idx="61" formatCode="General">
                  <c:v>-26.373799504950494</c:v>
                </c:pt>
                <c:pt idx="62" formatCode="General">
                  <c:v>-26.477759900990097</c:v>
                </c:pt>
                <c:pt idx="63" formatCode="General">
                  <c:v>-26.581720297029701</c:v>
                </c:pt>
                <c:pt idx="64" formatCode="General">
                  <c:v>-26.685680693069308</c:v>
                </c:pt>
                <c:pt idx="65" formatCode="General">
                  <c:v>-26.789641089108912</c:v>
                </c:pt>
                <c:pt idx="66" formatCode="General">
                  <c:v>-26.893601485148515</c:v>
                </c:pt>
                <c:pt idx="67" formatCode="General">
                  <c:v>-26.997561881188119</c:v>
                </c:pt>
                <c:pt idx="68" formatCode="General">
                  <c:v>-27.101522277227723</c:v>
                </c:pt>
                <c:pt idx="69" formatCode="General">
                  <c:v>-27.203370508054523</c:v>
                </c:pt>
                <c:pt idx="70" formatCode="General">
                  <c:v>-27.302503097893432</c:v>
                </c:pt>
                <c:pt idx="71" formatCode="General">
                  <c:v>-27.401635687732341</c:v>
                </c:pt>
                <c:pt idx="72" formatCode="General">
                  <c:v>-27.50076827757125</c:v>
                </c:pt>
                <c:pt idx="73" formatCode="General">
                  <c:v>-27.59990086741016</c:v>
                </c:pt>
                <c:pt idx="74" formatCode="General">
                  <c:v>-27.699033457249069</c:v>
                </c:pt>
                <c:pt idx="75" formatCode="General">
                  <c:v>-27.798166047087982</c:v>
                </c:pt>
                <c:pt idx="76" formatCode="General">
                  <c:v>-27.897298636926891</c:v>
                </c:pt>
                <c:pt idx="77" formatCode="General">
                  <c:v>-27.9964312267658</c:v>
                </c:pt>
                <c:pt idx="78" formatCode="General">
                  <c:v>-28.095563816604709</c:v>
                </c:pt>
                <c:pt idx="79" formatCode="General">
                  <c:v>-28.193613861386137</c:v>
                </c:pt>
                <c:pt idx="80" formatCode="General">
                  <c:v>-28.289653465346536</c:v>
                </c:pt>
                <c:pt idx="81" formatCode="General">
                  <c:v>-28.385693069306932</c:v>
                </c:pt>
                <c:pt idx="82" formatCode="General">
                  <c:v>-28.481732673267327</c:v>
                </c:pt>
                <c:pt idx="83" formatCode="General">
                  <c:v>-28.577772277227723</c:v>
                </c:pt>
                <c:pt idx="84" formatCode="General">
                  <c:v>-28.673811881188119</c:v>
                </c:pt>
                <c:pt idx="85" formatCode="General">
                  <c:v>-28.769851485148514</c:v>
                </c:pt>
                <c:pt idx="86" formatCode="General">
                  <c:v>-28.86589108910891</c:v>
                </c:pt>
                <c:pt idx="87" formatCode="General">
                  <c:v>-28.961930693069306</c:v>
                </c:pt>
                <c:pt idx="88" formatCode="General">
                  <c:v>-29.057970297029701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E-491F-9C5D-1F86F7F69D48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-174.57772277227724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E-491F-9C5D-1F86F7F69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-136.5330198019802</c:v>
                      </c:pt>
                      <c:pt idx="1">
                        <c:v>-133.73970297029703</c:v>
                      </c:pt>
                      <c:pt idx="2">
                        <c:v>-131.11792079207922</c:v>
                      </c:pt>
                      <c:pt idx="3">
                        <c:v>-128.51841584158416</c:v>
                      </c:pt>
                      <c:pt idx="4" formatCode="General">
                        <c:v>-126.2530693069307</c:v>
                      </c:pt>
                      <c:pt idx="5" formatCode="General">
                        <c:v>-123.98772277227724</c:v>
                      </c:pt>
                      <c:pt idx="6" formatCode="General">
                        <c:v>-122.0140099009901</c:v>
                      </c:pt>
                      <c:pt idx="7" formatCode="General">
                        <c:v>-120.29123762376238</c:v>
                      </c:pt>
                      <c:pt idx="8" formatCode="General">
                        <c:v>-118.57642202970297</c:v>
                      </c:pt>
                      <c:pt idx="9" formatCode="General">
                        <c:v>-117.4901844059406</c:v>
                      </c:pt>
                      <c:pt idx="10" formatCode="General">
                        <c:v>-116.40394678217822</c:v>
                      </c:pt>
                      <c:pt idx="11" formatCode="General">
                        <c:v>-115.31770915841584</c:v>
                      </c:pt>
                      <c:pt idx="12" formatCode="General">
                        <c:v>-114.23147153465347</c:v>
                      </c:pt>
                      <c:pt idx="13" formatCode="General">
                        <c:v>-113.14523391089109</c:v>
                      </c:pt>
                      <c:pt idx="14" formatCode="General">
                        <c:v>-112.05899628712871</c:v>
                      </c:pt>
                      <c:pt idx="15" formatCode="General">
                        <c:v>-110.97275866336633</c:v>
                      </c:pt>
                      <c:pt idx="16" formatCode="General">
                        <c:v>-109.88652103960396</c:v>
                      </c:pt>
                      <c:pt idx="17" formatCode="General">
                        <c:v>-108.80028341584158</c:v>
                      </c:pt>
                      <c:pt idx="18" formatCode="General">
                        <c:v>-107.7140457920792</c:v>
                      </c:pt>
                      <c:pt idx="19" formatCode="General">
                        <c:v>-106.90128712871287</c:v>
                      </c:pt>
                      <c:pt idx="20" formatCode="General">
                        <c:v>-106.11475247524751</c:v>
                      </c:pt>
                      <c:pt idx="21" formatCode="General">
                        <c:v>-105.37026732673267</c:v>
                      </c:pt>
                      <c:pt idx="22" formatCode="General">
                        <c:v>-104.69224752475247</c:v>
                      </c:pt>
                      <c:pt idx="23" formatCode="General">
                        <c:v>-104.01422772277228</c:v>
                      </c:pt>
                      <c:pt idx="24" formatCode="General">
                        <c:v>-103.38753731343283</c:v>
                      </c:pt>
                      <c:pt idx="25" formatCode="General">
                        <c:v>-102.76902985074626</c:v>
                      </c:pt>
                      <c:pt idx="26" formatCode="General">
                        <c:v>-102.17820792079208</c:v>
                      </c:pt>
                      <c:pt idx="27" formatCode="General">
                        <c:v>-101.63880198019801</c:v>
                      </c:pt>
                      <c:pt idx="28" formatCode="General">
                        <c:v>-101.09939603960396</c:v>
                      </c:pt>
                      <c:pt idx="29" formatCode="General">
                        <c:v>-101.46405940594059</c:v>
                      </c:pt>
                      <c:pt idx="30" formatCode="General">
                        <c:v>-102.02049504950494</c:v>
                      </c:pt>
                      <c:pt idx="31" formatCode="General">
                        <c:v>-102.57039603960395</c:v>
                      </c:pt>
                      <c:pt idx="32" formatCode="General">
                        <c:v>-103.10504950495049</c:v>
                      </c:pt>
                      <c:pt idx="33" formatCode="General">
                        <c:v>-103.63970297029702</c:v>
                      </c:pt>
                      <c:pt idx="34" formatCode="General">
                        <c:v>-104.16115841584158</c:v>
                      </c:pt>
                      <c:pt idx="35" formatCode="General">
                        <c:v>-104.67878217821782</c:v>
                      </c:pt>
                      <c:pt idx="36" formatCode="General">
                        <c:v>-105.19670297029703</c:v>
                      </c:pt>
                      <c:pt idx="37" formatCode="General">
                        <c:v>-105.71551485148515</c:v>
                      </c:pt>
                      <c:pt idx="38" formatCode="General">
                        <c:v>-106.23432673267327</c:v>
                      </c:pt>
                      <c:pt idx="39" formatCode="General">
                        <c:v>-106.74739603960397</c:v>
                      </c:pt>
                      <c:pt idx="40" formatCode="General">
                        <c:v>-107.25828712871288</c:v>
                      </c:pt>
                      <c:pt idx="41" formatCode="General">
                        <c:v>-107.76917821782179</c:v>
                      </c:pt>
                      <c:pt idx="42" formatCode="General">
                        <c:v>-108.2800693069307</c:v>
                      </c:pt>
                      <c:pt idx="43" formatCode="General">
                        <c:v>-108.79096039603961</c:v>
                      </c:pt>
                      <c:pt idx="44" formatCode="General">
                        <c:v>-109.30185148514852</c:v>
                      </c:pt>
                      <c:pt idx="45" formatCode="General">
                        <c:v>-109.81274257425743</c:v>
                      </c:pt>
                      <c:pt idx="46" formatCode="General">
                        <c:v>-110.32363366336634</c:v>
                      </c:pt>
                      <c:pt idx="47" formatCode="General">
                        <c:v>-110.83452475247526</c:v>
                      </c:pt>
                      <c:pt idx="48" formatCode="General">
                        <c:v>-111.34541584158417</c:v>
                      </c:pt>
                      <c:pt idx="49" formatCode="General">
                        <c:v>-111.84375340768278</c:v>
                      </c:pt>
                      <c:pt idx="50" formatCode="General">
                        <c:v>-112.33455885997522</c:v>
                      </c:pt>
                      <c:pt idx="51" formatCode="General">
                        <c:v>-112.82536431226767</c:v>
                      </c:pt>
                      <c:pt idx="52" formatCode="General">
                        <c:v>-113.3161697645601</c:v>
                      </c:pt>
                      <c:pt idx="53" formatCode="General">
                        <c:v>-113.80697521685254</c:v>
                      </c:pt>
                      <c:pt idx="54" formatCode="General">
                        <c:v>-114.29778066914498</c:v>
                      </c:pt>
                      <c:pt idx="55" formatCode="General">
                        <c:v>-114.78858612143742</c:v>
                      </c:pt>
                      <c:pt idx="56" formatCode="General">
                        <c:v>-115.27939157372987</c:v>
                      </c:pt>
                      <c:pt idx="57" formatCode="General">
                        <c:v>-115.7701970260223</c:v>
                      </c:pt>
                      <c:pt idx="58" formatCode="General">
                        <c:v>-116.26100247831474</c:v>
                      </c:pt>
                      <c:pt idx="59" formatCode="General">
                        <c:v>-116.74200866336633</c:v>
                      </c:pt>
                      <c:pt idx="60" formatCode="General">
                        <c:v>-117.21458292079208</c:v>
                      </c:pt>
                      <c:pt idx="61" formatCode="General">
                        <c:v>-117.68715717821782</c:v>
                      </c:pt>
                      <c:pt idx="62" formatCode="General">
                        <c:v>-118.15973143564356</c:v>
                      </c:pt>
                      <c:pt idx="63" formatCode="General">
                        <c:v>-118.6323056930693</c:v>
                      </c:pt>
                      <c:pt idx="64" formatCode="General">
                        <c:v>-119.10487995049505</c:v>
                      </c:pt>
                      <c:pt idx="65" formatCode="General">
                        <c:v>-119.57745420792079</c:v>
                      </c:pt>
                      <c:pt idx="66" formatCode="General">
                        <c:v>-120.05002846534653</c:v>
                      </c:pt>
                      <c:pt idx="67" formatCode="General">
                        <c:v>-120.52260272277228</c:v>
                      </c:pt>
                      <c:pt idx="68" formatCode="General">
                        <c:v>-120.99517698019801</c:v>
                      </c:pt>
                      <c:pt idx="69" formatCode="General">
                        <c:v>-121.45842255266419</c:v>
                      </c:pt>
                      <c:pt idx="70" formatCode="General">
                        <c:v>-121.9096741016109</c:v>
                      </c:pt>
                      <c:pt idx="71" formatCode="General">
                        <c:v>-122.36092565055762</c:v>
                      </c:pt>
                      <c:pt idx="72" formatCode="General">
                        <c:v>-122.81217719950433</c:v>
                      </c:pt>
                      <c:pt idx="73" formatCode="General">
                        <c:v>-123.26342874845105</c:v>
                      </c:pt>
                      <c:pt idx="74" formatCode="General">
                        <c:v>-123.71468029739776</c:v>
                      </c:pt>
                      <c:pt idx="75" formatCode="General">
                        <c:v>-124.16593184634448</c:v>
                      </c:pt>
                      <c:pt idx="76" formatCode="General">
                        <c:v>-124.61718339529119</c:v>
                      </c:pt>
                      <c:pt idx="77" formatCode="General">
                        <c:v>-125.06843494423791</c:v>
                      </c:pt>
                      <c:pt idx="78" formatCode="General">
                        <c:v>-125.51968649318462</c:v>
                      </c:pt>
                      <c:pt idx="79" formatCode="General">
                        <c:v>-125.96596039603959</c:v>
                      </c:pt>
                      <c:pt idx="80" formatCode="General">
                        <c:v>-126.40299009900988</c:v>
                      </c:pt>
                      <c:pt idx="81" formatCode="General">
                        <c:v>-126.84001980198019</c:v>
                      </c:pt>
                      <c:pt idx="82" formatCode="General">
                        <c:v>-127.27704950495048</c:v>
                      </c:pt>
                      <c:pt idx="83" formatCode="General">
                        <c:v>-127.71407920792079</c:v>
                      </c:pt>
                      <c:pt idx="84" formatCode="General">
                        <c:v>-128.15110891089108</c:v>
                      </c:pt>
                      <c:pt idx="85" formatCode="General">
                        <c:v>-128.58813861386139</c:v>
                      </c:pt>
                      <c:pt idx="86" formatCode="General">
                        <c:v>-129.0251683168317</c:v>
                      </c:pt>
                      <c:pt idx="87" formatCode="General">
                        <c:v>-129.46219801980197</c:v>
                      </c:pt>
                      <c:pt idx="88" formatCode="General">
                        <c:v>-129.89922772277228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BB1E-491F-9C5D-1F86F7F69D48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-174.57772277227724</c:v>
                      </c:pt>
                      <c:pt idx="1">
                        <c:v>-171.01623762376238</c:v>
                      </c:pt>
                      <c:pt idx="2">
                        <c:v>-167.67366336633663</c:v>
                      </c:pt>
                      <c:pt idx="3">
                        <c:v>-164.35955445544553</c:v>
                      </c:pt>
                      <c:pt idx="4" formatCode="General">
                        <c:v>-161.47242574257425</c:v>
                      </c:pt>
                      <c:pt idx="5" formatCode="General">
                        <c:v>-158.58529702970296</c:v>
                      </c:pt>
                      <c:pt idx="6" formatCode="General">
                        <c:v>-156.03237623762377</c:v>
                      </c:pt>
                      <c:pt idx="7" formatCode="General">
                        <c:v>-153.76702970297029</c:v>
                      </c:pt>
                      <c:pt idx="8" formatCode="General">
                        <c:v>-151.51140099009902</c:v>
                      </c:pt>
                      <c:pt idx="9" formatCode="General">
                        <c:v>-150.0234801980198</c:v>
                      </c:pt>
                      <c:pt idx="10" formatCode="General">
                        <c:v>-148.5355594059406</c:v>
                      </c:pt>
                      <c:pt idx="11" formatCode="General">
                        <c:v>-147.04763861386138</c:v>
                      </c:pt>
                      <c:pt idx="12" formatCode="General">
                        <c:v>-145.55971782178219</c:v>
                      </c:pt>
                      <c:pt idx="13" formatCode="General">
                        <c:v>-144.07179702970296</c:v>
                      </c:pt>
                      <c:pt idx="14" formatCode="General">
                        <c:v>-142.58387623762377</c:v>
                      </c:pt>
                      <c:pt idx="15" formatCode="General">
                        <c:v>-141.09595544554455</c:v>
                      </c:pt>
                      <c:pt idx="16" formatCode="General">
                        <c:v>-139.60803465346535</c:v>
                      </c:pt>
                      <c:pt idx="17" formatCode="General">
                        <c:v>-138.12011386138616</c:v>
                      </c:pt>
                      <c:pt idx="18" formatCode="General">
                        <c:v>-136.63219306930694</c:v>
                      </c:pt>
                      <c:pt idx="19" formatCode="General">
                        <c:v>-135.5089108910891</c:v>
                      </c:pt>
                      <c:pt idx="20" formatCode="General">
                        <c:v>-134.42059405940594</c:v>
                      </c:pt>
                      <c:pt idx="21" formatCode="General">
                        <c:v>-133.38783168316832</c:v>
                      </c:pt>
                      <c:pt idx="22" formatCode="General">
                        <c:v>-132.4428811881188</c:v>
                      </c:pt>
                      <c:pt idx="23" formatCode="General">
                        <c:v>-131.49793069306929</c:v>
                      </c:pt>
                      <c:pt idx="24" formatCode="General">
                        <c:v>-130.62238805970148</c:v>
                      </c:pt>
                      <c:pt idx="25" formatCode="General">
                        <c:v>-129.75791044776119</c:v>
                      </c:pt>
                      <c:pt idx="26" formatCode="General">
                        <c:v>-128.93041584158416</c:v>
                      </c:pt>
                      <c:pt idx="27" formatCode="General">
                        <c:v>-128.17160396039603</c:v>
                      </c:pt>
                      <c:pt idx="28" formatCode="General">
                        <c:v>-127.41279207920792</c:v>
                      </c:pt>
                      <c:pt idx="29" formatCode="General">
                        <c:v>-127.85831683168317</c:v>
                      </c:pt>
                      <c:pt idx="30" formatCode="General">
                        <c:v>-128.55930693069305</c:v>
                      </c:pt>
                      <c:pt idx="31" formatCode="General">
                        <c:v>-129.25198019801979</c:v>
                      </c:pt>
                      <c:pt idx="32" formatCode="General">
                        <c:v>-129.92524752475248</c:v>
                      </c:pt>
                      <c:pt idx="33" formatCode="General">
                        <c:v>-130.59851485148516</c:v>
                      </c:pt>
                      <c:pt idx="34" formatCode="General">
                        <c:v>-131.25520792079209</c:v>
                      </c:pt>
                      <c:pt idx="35" formatCode="General">
                        <c:v>-131.9070891089109</c:v>
                      </c:pt>
                      <c:pt idx="36" formatCode="General">
                        <c:v>-132.55936633663364</c:v>
                      </c:pt>
                      <c:pt idx="37" formatCode="General">
                        <c:v>-133.21283168316833</c:v>
                      </c:pt>
                      <c:pt idx="38" formatCode="General">
                        <c:v>-133.86629702970299</c:v>
                      </c:pt>
                      <c:pt idx="39" formatCode="General">
                        <c:v>-134.51258415841585</c:v>
                      </c:pt>
                      <c:pt idx="40" formatCode="General">
                        <c:v>-135.15614851485151</c:v>
                      </c:pt>
                      <c:pt idx="41" formatCode="General">
                        <c:v>-135.79971287128714</c:v>
                      </c:pt>
                      <c:pt idx="42" formatCode="General">
                        <c:v>-136.4432772277228</c:v>
                      </c:pt>
                      <c:pt idx="43" formatCode="General">
                        <c:v>-137.08684158415844</c:v>
                      </c:pt>
                      <c:pt idx="44" formatCode="General">
                        <c:v>-137.73040594059407</c:v>
                      </c:pt>
                      <c:pt idx="45" formatCode="General">
                        <c:v>-138.37397029702973</c:v>
                      </c:pt>
                      <c:pt idx="46" formatCode="General">
                        <c:v>-139.01753465346536</c:v>
                      </c:pt>
                      <c:pt idx="47" formatCode="General">
                        <c:v>-139.66109900990102</c:v>
                      </c:pt>
                      <c:pt idx="48" formatCode="General">
                        <c:v>-140.30466336633665</c:v>
                      </c:pt>
                      <c:pt idx="49" formatCode="General">
                        <c:v>-140.93249318463447</c:v>
                      </c:pt>
                      <c:pt idx="50" formatCode="General">
                        <c:v>-141.55088228004959</c:v>
                      </c:pt>
                      <c:pt idx="51" formatCode="General">
                        <c:v>-142.16927137546469</c:v>
                      </c:pt>
                      <c:pt idx="52" formatCode="General">
                        <c:v>-142.78766047087981</c:v>
                      </c:pt>
                      <c:pt idx="53" formatCode="General">
                        <c:v>-143.40604956629494</c:v>
                      </c:pt>
                      <c:pt idx="54" formatCode="General">
                        <c:v>-144.02443866171004</c:v>
                      </c:pt>
                      <c:pt idx="55" formatCode="General">
                        <c:v>-144.64282775712516</c:v>
                      </c:pt>
                      <c:pt idx="56" formatCode="General">
                        <c:v>-145.26121685254026</c:v>
                      </c:pt>
                      <c:pt idx="57" formatCode="General">
                        <c:v>-145.87960594795538</c:v>
                      </c:pt>
                      <c:pt idx="58" formatCode="General">
                        <c:v>-146.49799504337051</c:v>
                      </c:pt>
                      <c:pt idx="59" formatCode="General">
                        <c:v>-147.10405198019802</c:v>
                      </c:pt>
                      <c:pt idx="60" formatCode="General">
                        <c:v>-147.69949752475247</c:v>
                      </c:pt>
                      <c:pt idx="61" formatCode="General">
                        <c:v>-148.29494306930692</c:v>
                      </c:pt>
                      <c:pt idx="62" formatCode="General">
                        <c:v>-148.89038861386138</c:v>
                      </c:pt>
                      <c:pt idx="63" formatCode="General">
                        <c:v>-149.48583415841583</c:v>
                      </c:pt>
                      <c:pt idx="64" formatCode="General">
                        <c:v>-150.08127970297031</c:v>
                      </c:pt>
                      <c:pt idx="65" formatCode="General">
                        <c:v>-150.67672524752476</c:v>
                      </c:pt>
                      <c:pt idx="66" formatCode="General">
                        <c:v>-151.27217079207921</c:v>
                      </c:pt>
                      <c:pt idx="67" formatCode="General">
                        <c:v>-151.86761633663366</c:v>
                      </c:pt>
                      <c:pt idx="68" formatCode="General">
                        <c:v>-152.46306188118811</c:v>
                      </c:pt>
                      <c:pt idx="69" formatCode="General">
                        <c:v>-153.04677323420074</c:v>
                      </c:pt>
                      <c:pt idx="70" formatCode="General">
                        <c:v>-153.61539776951673</c:v>
                      </c:pt>
                      <c:pt idx="71" formatCode="General">
                        <c:v>-154.18402230483272</c:v>
                      </c:pt>
                      <c:pt idx="72" formatCode="General">
                        <c:v>-154.75264684014869</c:v>
                      </c:pt>
                      <c:pt idx="73" formatCode="General">
                        <c:v>-155.32127137546468</c:v>
                      </c:pt>
                      <c:pt idx="74" formatCode="General">
                        <c:v>-155.88989591078067</c:v>
                      </c:pt>
                      <c:pt idx="75" formatCode="General">
                        <c:v>-156.45852044609666</c:v>
                      </c:pt>
                      <c:pt idx="76" formatCode="General">
                        <c:v>-157.02714498141262</c:v>
                      </c:pt>
                      <c:pt idx="77" formatCode="General">
                        <c:v>-157.59576951672861</c:v>
                      </c:pt>
                      <c:pt idx="78" formatCode="General">
                        <c:v>-158.1643940520446</c:v>
                      </c:pt>
                      <c:pt idx="79" formatCode="General">
                        <c:v>-158.72674257425743</c:v>
                      </c:pt>
                      <c:pt idx="80" formatCode="General">
                        <c:v>-159.27743564356436</c:v>
                      </c:pt>
                      <c:pt idx="81" formatCode="General">
                        <c:v>-159.82812871287129</c:v>
                      </c:pt>
                      <c:pt idx="82" formatCode="General">
                        <c:v>-160.37882178217822</c:v>
                      </c:pt>
                      <c:pt idx="83" formatCode="General">
                        <c:v>-160.92951485148515</c:v>
                      </c:pt>
                      <c:pt idx="84" formatCode="General">
                        <c:v>-161.48020792079208</c:v>
                      </c:pt>
                      <c:pt idx="85" formatCode="General">
                        <c:v>-162.03090099009901</c:v>
                      </c:pt>
                      <c:pt idx="86" formatCode="General">
                        <c:v>-162.58159405940594</c:v>
                      </c:pt>
                      <c:pt idx="87" formatCode="General">
                        <c:v>-163.13228712871287</c:v>
                      </c:pt>
                      <c:pt idx="88" formatCode="General">
                        <c:v>-163.68298019801981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B1E-491F-9C5D-1F86F7F69D48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BB1E-491F-9C5D-1F86F7F69D48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B1E-491F-9C5D-1F86F7F69D48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B1E-491F-9C5D-1F86F7F69D48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-48.673792079207914</c:v>
                      </c:pt>
                      <c:pt idx="27" formatCode="General">
                        <c:v>-48.573198019801978</c:v>
                      </c:pt>
                      <c:pt idx="28" formatCode="General">
                        <c:v>-48.472603960396036</c:v>
                      </c:pt>
                      <c:pt idx="29" formatCode="General">
                        <c:v>-48.675544554455442</c:v>
                      </c:pt>
                      <c:pt idx="30" formatCode="General">
                        <c:v>-48.94287128712871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-53.666273853779437</c:v>
                      </c:pt>
                      <c:pt idx="50" formatCode="General">
                        <c:v>-53.901912019826526</c:v>
                      </c:pt>
                      <c:pt idx="51" formatCode="General">
                        <c:v>-54.137550185873607</c:v>
                      </c:pt>
                      <c:pt idx="52" formatCode="General">
                        <c:v>-54.373188351920696</c:v>
                      </c:pt>
                      <c:pt idx="53" formatCode="General">
                        <c:v>-54.608826517967785</c:v>
                      </c:pt>
                      <c:pt idx="54" formatCode="General">
                        <c:v>-54.844464684014874</c:v>
                      </c:pt>
                      <c:pt idx="55" formatCode="General">
                        <c:v>-55.080102850061962</c:v>
                      </c:pt>
                      <c:pt idx="56" formatCode="General">
                        <c:v>-55.315741016109044</c:v>
                      </c:pt>
                      <c:pt idx="57" formatCode="General">
                        <c:v>-55.551379182156133</c:v>
                      </c:pt>
                      <c:pt idx="58" formatCode="General">
                        <c:v>-55.787017348203221</c:v>
                      </c:pt>
                      <c:pt idx="59" formatCode="General">
                        <c:v>-56.017922029702973</c:v>
                      </c:pt>
                      <c:pt idx="60" formatCode="General">
                        <c:v>-56.244753712871287</c:v>
                      </c:pt>
                      <c:pt idx="61" formatCode="General">
                        <c:v>-56.4715853960396</c:v>
                      </c:pt>
                      <c:pt idx="62" formatCode="General">
                        <c:v>-56.698417079207921</c:v>
                      </c:pt>
                      <c:pt idx="63" formatCode="General">
                        <c:v>-56.925248762376235</c:v>
                      </c:pt>
                      <c:pt idx="64" formatCode="General">
                        <c:v>-57.152080445544556</c:v>
                      </c:pt>
                      <c:pt idx="65" formatCode="General">
                        <c:v>-57.378912128712869</c:v>
                      </c:pt>
                      <c:pt idx="66" formatCode="General">
                        <c:v>-57.605743811881183</c:v>
                      </c:pt>
                      <c:pt idx="67" formatCode="General">
                        <c:v>-57.832575495049504</c:v>
                      </c:pt>
                      <c:pt idx="68" formatCode="General">
                        <c:v>-58.059407178217818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-60.444396039603951</c:v>
                      </c:pt>
                      <c:pt idx="80" formatCode="General">
                        <c:v>-60.654099009900989</c:v>
                      </c:pt>
                      <c:pt idx="81" formatCode="General">
                        <c:v>-60.863801980198019</c:v>
                      </c:pt>
                      <c:pt idx="82" formatCode="General">
                        <c:v>-61.07350495049505</c:v>
                      </c:pt>
                      <c:pt idx="83" formatCode="General">
                        <c:v>-61.28320792079208</c:v>
                      </c:pt>
                      <c:pt idx="84" formatCode="General">
                        <c:v>-61.49291089108911</c:v>
                      </c:pt>
                      <c:pt idx="85" formatCode="General">
                        <c:v>-61.702613861386141</c:v>
                      </c:pt>
                      <c:pt idx="86" formatCode="General">
                        <c:v>-61.912316831683171</c:v>
                      </c:pt>
                      <c:pt idx="87" formatCode="General">
                        <c:v>-62.122019801980201</c:v>
                      </c:pt>
                      <c:pt idx="88" formatCode="General">
                        <c:v>-62.331722772277232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B1E-491F-9C5D-1F86F7F69D48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B1E-491F-9C5D-1F86F7F69D48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B1E-491F-9C5D-1F86F7F69D48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-31.291584158415841</c:v>
                      </c:pt>
                      <c:pt idx="1">
                        <c:v>-30.732871287128713</c:v>
                      </c:pt>
                      <c:pt idx="2">
                        <c:v>-30.21009900990099</c:v>
                      </c:pt>
                      <c:pt idx="3">
                        <c:v>-29.692277227722773</c:v>
                      </c:pt>
                      <c:pt idx="4" formatCode="General">
                        <c:v>-29.248712871287129</c:v>
                      </c:pt>
                      <c:pt idx="5" formatCode="General">
                        <c:v>-28.805148514851485</c:v>
                      </c:pt>
                      <c:pt idx="6" formatCode="General">
                        <c:v>-28.118910891089108</c:v>
                      </c:pt>
                      <c:pt idx="7" formatCode="General">
                        <c:v>-27.223861386138612</c:v>
                      </c:pt>
                      <c:pt idx="8" formatCode="General">
                        <c:v>-26.326987623762374</c:v>
                      </c:pt>
                      <c:pt idx="9" formatCode="General">
                        <c:v>-25.285997524752471</c:v>
                      </c:pt>
                      <c:pt idx="10" formatCode="General">
                        <c:v>-24.245007425742571</c:v>
                      </c:pt>
                      <c:pt idx="11" formatCode="General">
                        <c:v>-23.204017326732671</c:v>
                      </c:pt>
                      <c:pt idx="12" formatCode="General">
                        <c:v>-22.163027227722772</c:v>
                      </c:pt>
                      <c:pt idx="13" formatCode="General">
                        <c:v>-21.122037128712869</c:v>
                      </c:pt>
                      <c:pt idx="14" formatCode="General">
                        <c:v>-20.081047029702969</c:v>
                      </c:pt>
                      <c:pt idx="15" formatCode="General">
                        <c:v>-19.040056930693069</c:v>
                      </c:pt>
                      <c:pt idx="16" formatCode="General">
                        <c:v>-17.999066831683166</c:v>
                      </c:pt>
                      <c:pt idx="17" formatCode="General">
                        <c:v>-16.958076732673266</c:v>
                      </c:pt>
                      <c:pt idx="18" formatCode="General">
                        <c:v>-15.917086633663365</c:v>
                      </c:pt>
                      <c:pt idx="19" formatCode="General">
                        <c:v>-15.058415841584157</c:v>
                      </c:pt>
                      <c:pt idx="20" formatCode="General">
                        <c:v>-14.217227722772275</c:v>
                      </c:pt>
                      <c:pt idx="21" formatCode="General">
                        <c:v>-13.399980198019801</c:v>
                      </c:pt>
                      <c:pt idx="22" formatCode="General">
                        <c:v>-12.620574257425742</c:v>
                      </c:pt>
                      <c:pt idx="23" formatCode="General">
                        <c:v>-11.841168316831684</c:v>
                      </c:pt>
                      <c:pt idx="24" formatCode="General">
                        <c:v>-11.103731343283583</c:v>
                      </c:pt>
                      <c:pt idx="25" formatCode="General">
                        <c:v>-10.372985074626865</c:v>
                      </c:pt>
                      <c:pt idx="26" formatCode="General">
                        <c:v>-9.6612475247524738</c:v>
                      </c:pt>
                      <c:pt idx="27" formatCode="General">
                        <c:v>-8.9848118811881168</c:v>
                      </c:pt>
                      <c:pt idx="28" formatCode="General">
                        <c:v>-8.3083762376237598</c:v>
                      </c:pt>
                      <c:pt idx="29" formatCode="General">
                        <c:v>-8.2259405940594057</c:v>
                      </c:pt>
                      <c:pt idx="30" formatCode="General">
                        <c:v>-8.2695049504950493</c:v>
                      </c:pt>
                      <c:pt idx="31" formatCode="General">
                        <c:v>-8.3118811881188126</c:v>
                      </c:pt>
                      <c:pt idx="32" formatCode="General">
                        <c:v>-8.3514851485148522</c:v>
                      </c:pt>
                      <c:pt idx="33" formatCode="General">
                        <c:v>-8.3910891089108919</c:v>
                      </c:pt>
                      <c:pt idx="34" formatCode="General">
                        <c:v>-8.4300792079207927</c:v>
                      </c:pt>
                      <c:pt idx="35" formatCode="General">
                        <c:v>-8.4688910891089098</c:v>
                      </c:pt>
                      <c:pt idx="36" formatCode="General">
                        <c:v>-8.5079009900990101</c:v>
                      </c:pt>
                      <c:pt idx="37" formatCode="General">
                        <c:v>-8.5475049504950498</c:v>
                      </c:pt>
                      <c:pt idx="38" formatCode="General">
                        <c:v>-8.5871089108910894</c:v>
                      </c:pt>
                      <c:pt idx="39" formatCode="General">
                        <c:v>-8.626712871287129</c:v>
                      </c:pt>
                      <c:pt idx="40" formatCode="General">
                        <c:v>-8.6663168316831687</c:v>
                      </c:pt>
                      <c:pt idx="41" formatCode="General">
                        <c:v>-8.7059207920792083</c:v>
                      </c:pt>
                      <c:pt idx="42" formatCode="General">
                        <c:v>-8.745524752475248</c:v>
                      </c:pt>
                      <c:pt idx="43" formatCode="General">
                        <c:v>-8.7851287128712876</c:v>
                      </c:pt>
                      <c:pt idx="44" formatCode="General">
                        <c:v>-8.8247326732673272</c:v>
                      </c:pt>
                      <c:pt idx="45" formatCode="General">
                        <c:v>-8.8643366336633669</c:v>
                      </c:pt>
                      <c:pt idx="46" formatCode="General">
                        <c:v>-8.9039405940594047</c:v>
                      </c:pt>
                      <c:pt idx="47" formatCode="General">
                        <c:v>-8.9435445544554444</c:v>
                      </c:pt>
                      <c:pt idx="48" formatCode="General">
                        <c:v>-8.983148514851484</c:v>
                      </c:pt>
                      <c:pt idx="49" formatCode="General">
                        <c:v>-9.0224114002478313</c:v>
                      </c:pt>
                      <c:pt idx="50" formatCode="General">
                        <c:v>-9.0614696406443613</c:v>
                      </c:pt>
                      <c:pt idx="51" formatCode="General">
                        <c:v>-9.1005278810408914</c:v>
                      </c:pt>
                      <c:pt idx="52" formatCode="General">
                        <c:v>-9.1395861214374214</c:v>
                      </c:pt>
                      <c:pt idx="53" formatCode="General">
                        <c:v>-9.1786443618339515</c:v>
                      </c:pt>
                      <c:pt idx="54" formatCode="General">
                        <c:v>-9.2177026022304833</c:v>
                      </c:pt>
                      <c:pt idx="55" formatCode="General">
                        <c:v>-9.2567608426270134</c:v>
                      </c:pt>
                      <c:pt idx="56" formatCode="General">
                        <c:v>-9.2958190830235434</c:v>
                      </c:pt>
                      <c:pt idx="57" formatCode="General">
                        <c:v>-9.3348773234200735</c:v>
                      </c:pt>
                      <c:pt idx="58" formatCode="General">
                        <c:v>-9.3739355638166035</c:v>
                      </c:pt>
                      <c:pt idx="59" formatCode="General">
                        <c:v>-9.4123292079207914</c:v>
                      </c:pt>
                      <c:pt idx="60" formatCode="General">
                        <c:v>-9.4501509900990097</c:v>
                      </c:pt>
                      <c:pt idx="61" formatCode="General">
                        <c:v>-9.4879727722772262</c:v>
                      </c:pt>
                      <c:pt idx="62" formatCode="General">
                        <c:v>-9.5257945544554445</c:v>
                      </c:pt>
                      <c:pt idx="63" formatCode="General">
                        <c:v>-9.5636163366336628</c:v>
                      </c:pt>
                      <c:pt idx="64" formatCode="General">
                        <c:v>-9.6014381188118811</c:v>
                      </c:pt>
                      <c:pt idx="65" formatCode="General">
                        <c:v>-9.6392599009900977</c:v>
                      </c:pt>
                      <c:pt idx="66" formatCode="General">
                        <c:v>-9.677081683168316</c:v>
                      </c:pt>
                      <c:pt idx="67" formatCode="General">
                        <c:v>-9.7149034653465343</c:v>
                      </c:pt>
                      <c:pt idx="68" formatCode="General">
                        <c:v>-9.7527252475247508</c:v>
                      </c:pt>
                      <c:pt idx="69" formatCode="General">
                        <c:v>-9.7899603469640635</c:v>
                      </c:pt>
                      <c:pt idx="70" formatCode="General">
                        <c:v>-9.826441140024782</c:v>
                      </c:pt>
                      <c:pt idx="71" formatCode="General">
                        <c:v>-9.8629219330855005</c:v>
                      </c:pt>
                      <c:pt idx="72" formatCode="General">
                        <c:v>-9.899402726146219</c:v>
                      </c:pt>
                      <c:pt idx="73" formatCode="General">
                        <c:v>-9.9358835192069392</c:v>
                      </c:pt>
                      <c:pt idx="74" formatCode="General">
                        <c:v>-9.9723643122676577</c:v>
                      </c:pt>
                      <c:pt idx="75" formatCode="General">
                        <c:v>-10.008845105328376</c:v>
                      </c:pt>
                      <c:pt idx="76" formatCode="General">
                        <c:v>-10.045325898389095</c:v>
                      </c:pt>
                      <c:pt idx="77" formatCode="General">
                        <c:v>-10.081806691449813</c:v>
                      </c:pt>
                      <c:pt idx="78" formatCode="General">
                        <c:v>-10.118287484510532</c:v>
                      </c:pt>
                      <c:pt idx="79" formatCode="General">
                        <c:v>-10.154336633663366</c:v>
                      </c:pt>
                      <c:pt idx="80" formatCode="General">
                        <c:v>-10.18958415841584</c:v>
                      </c:pt>
                      <c:pt idx="81" formatCode="General">
                        <c:v>-10.224831683168317</c:v>
                      </c:pt>
                      <c:pt idx="82" formatCode="General">
                        <c:v>-10.260079207920791</c:v>
                      </c:pt>
                      <c:pt idx="83" formatCode="General">
                        <c:v>-10.295326732673267</c:v>
                      </c:pt>
                      <c:pt idx="84" formatCode="General">
                        <c:v>-10.330574257425742</c:v>
                      </c:pt>
                      <c:pt idx="85" formatCode="General">
                        <c:v>-10.365821782178218</c:v>
                      </c:pt>
                      <c:pt idx="86" formatCode="General">
                        <c:v>-10.401069306930692</c:v>
                      </c:pt>
                      <c:pt idx="87" formatCode="General">
                        <c:v>-10.436316831683168</c:v>
                      </c:pt>
                      <c:pt idx="88" formatCode="General">
                        <c:v>-10.471564356435643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B1E-491F-9C5D-1F86F7F69D48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B1E-491F-9C5D-1F86F7F69D48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-26.752207920792078</c:v>
                      </c:pt>
                      <c:pt idx="27" formatCode="General">
                        <c:v>-26.53280198019802</c:v>
                      </c:pt>
                      <c:pt idx="28" formatCode="General">
                        <c:v>-26.313396039603958</c:v>
                      </c:pt>
                      <c:pt idx="29" formatCode="General">
                        <c:v>-26.394257425742573</c:v>
                      </c:pt>
                      <c:pt idx="30" formatCode="General">
                        <c:v>-26.538811881188117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-29.088739776951673</c:v>
                      </c:pt>
                      <c:pt idx="50" formatCode="General">
                        <c:v>-29.21632342007435</c:v>
                      </c:pt>
                      <c:pt idx="51" formatCode="General">
                        <c:v>-29.343907063197026</c:v>
                      </c:pt>
                      <c:pt idx="52" formatCode="General">
                        <c:v>-29.471490706319702</c:v>
                      </c:pt>
                      <c:pt idx="53" formatCode="General">
                        <c:v>-29.599074349442379</c:v>
                      </c:pt>
                      <c:pt idx="54" formatCode="General">
                        <c:v>-29.726657992565055</c:v>
                      </c:pt>
                      <c:pt idx="55" formatCode="General">
                        <c:v>-29.854241635687732</c:v>
                      </c:pt>
                      <c:pt idx="56" formatCode="General">
                        <c:v>-29.981825278810408</c:v>
                      </c:pt>
                      <c:pt idx="57" formatCode="General">
                        <c:v>-30.109408921933085</c:v>
                      </c:pt>
                      <c:pt idx="58" formatCode="General">
                        <c:v>-30.236992565055761</c:v>
                      </c:pt>
                      <c:pt idx="59" formatCode="General">
                        <c:v>-30.362043316831681</c:v>
                      </c:pt>
                      <c:pt idx="60" formatCode="General">
                        <c:v>-30.484914603960394</c:v>
                      </c:pt>
                      <c:pt idx="61" formatCode="General">
                        <c:v>-30.607785891089108</c:v>
                      </c:pt>
                      <c:pt idx="62" formatCode="General">
                        <c:v>-30.730657178217822</c:v>
                      </c:pt>
                      <c:pt idx="63" formatCode="General">
                        <c:v>-30.853528465346532</c:v>
                      </c:pt>
                      <c:pt idx="64" formatCode="General">
                        <c:v>-30.976399752475245</c:v>
                      </c:pt>
                      <c:pt idx="65" formatCode="General">
                        <c:v>-31.099271039603959</c:v>
                      </c:pt>
                      <c:pt idx="66" formatCode="General">
                        <c:v>-31.222142326732673</c:v>
                      </c:pt>
                      <c:pt idx="67" formatCode="General">
                        <c:v>-31.345013613861386</c:v>
                      </c:pt>
                      <c:pt idx="68" formatCode="General">
                        <c:v>-31.467884900990096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-32.760782178217816</c:v>
                      </c:pt>
                      <c:pt idx="80" formatCode="General">
                        <c:v>-32.874445544554455</c:v>
                      </c:pt>
                      <c:pt idx="81" formatCode="General">
                        <c:v>-32.988108910891086</c:v>
                      </c:pt>
                      <c:pt idx="82" formatCode="General">
                        <c:v>-33.101772277227717</c:v>
                      </c:pt>
                      <c:pt idx="83" formatCode="General">
                        <c:v>-33.215435643564355</c:v>
                      </c:pt>
                      <c:pt idx="84" formatCode="General">
                        <c:v>-33.329099009900986</c:v>
                      </c:pt>
                      <c:pt idx="85" formatCode="General">
                        <c:v>-33.442762376237624</c:v>
                      </c:pt>
                      <c:pt idx="86" formatCode="General">
                        <c:v>-33.556425742574255</c:v>
                      </c:pt>
                      <c:pt idx="87" formatCode="General">
                        <c:v>-33.670089108910894</c:v>
                      </c:pt>
                      <c:pt idx="88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B1E-491F-9C5D-1F86F7F69D48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-44.797821782178218</c:v>
                      </c:pt>
                      <c:pt idx="1">
                        <c:v>-43.820198019801978</c:v>
                      </c:pt>
                      <c:pt idx="2">
                        <c:v>-42.901386138613859</c:v>
                      </c:pt>
                      <c:pt idx="3">
                        <c:v>-41.99</c:v>
                      </c:pt>
                      <c:pt idx="4" formatCode="General">
                        <c:v>-41.19</c:v>
                      </c:pt>
                      <c:pt idx="5" formatCode="General">
                        <c:v>-40.39</c:v>
                      </c:pt>
                      <c:pt idx="6" formatCode="General">
                        <c:v>-39.917821782178223</c:v>
                      </c:pt>
                      <c:pt idx="7" formatCode="General">
                        <c:v>-39.727722772277225</c:v>
                      </c:pt>
                      <c:pt idx="8" formatCode="General">
                        <c:v>-39.542970297029704</c:v>
                      </c:pt>
                      <c:pt idx="9" formatCode="General">
                        <c:v>-39.780594059405942</c:v>
                      </c:pt>
                      <c:pt idx="10" formatCode="General">
                        <c:v>-40.01821782178218</c:v>
                      </c:pt>
                      <c:pt idx="11" formatCode="General">
                        <c:v>-40.255841584158418</c:v>
                      </c:pt>
                      <c:pt idx="12" formatCode="General">
                        <c:v>-40.493465346534656</c:v>
                      </c:pt>
                      <c:pt idx="13" formatCode="General">
                        <c:v>-40.731089108910894</c:v>
                      </c:pt>
                      <c:pt idx="14" formatCode="General">
                        <c:v>-40.968712871287124</c:v>
                      </c:pt>
                      <c:pt idx="15" formatCode="General">
                        <c:v>-41.206336633663362</c:v>
                      </c:pt>
                      <c:pt idx="16" formatCode="General">
                        <c:v>-41.4439603960396</c:v>
                      </c:pt>
                      <c:pt idx="17" formatCode="General">
                        <c:v>-41.681584158415838</c:v>
                      </c:pt>
                      <c:pt idx="18" formatCode="General">
                        <c:v>-41.919207920792076</c:v>
                      </c:pt>
                      <c:pt idx="19" formatCode="General">
                        <c:v>-42.156831683168313</c:v>
                      </c:pt>
                      <c:pt idx="20" formatCode="General">
                        <c:v>-42.394455445544551</c:v>
                      </c:pt>
                      <c:pt idx="21" formatCode="General">
                        <c:v>-42.635148514851487</c:v>
                      </c:pt>
                      <c:pt idx="22" formatCode="General">
                        <c:v>-42.880693069306929</c:v>
                      </c:pt>
                      <c:pt idx="23" formatCode="General">
                        <c:v>-43.126237623762371</c:v>
                      </c:pt>
                      <c:pt idx="24" formatCode="General">
                        <c:v>-43.365970149253727</c:v>
                      </c:pt>
                      <c:pt idx="25" formatCode="General">
                        <c:v>-43.604776119402985</c:v>
                      </c:pt>
                      <c:pt idx="26" formatCode="General">
                        <c:v>-43.843168316831679</c:v>
                      </c:pt>
                      <c:pt idx="27" formatCode="General">
                        <c:v>-44.080792079207917</c:v>
                      </c:pt>
                      <c:pt idx="28" formatCode="General">
                        <c:v>-44.318415841584155</c:v>
                      </c:pt>
                      <c:pt idx="29" formatCode="General">
                        <c:v>-44.562574257425744</c:v>
                      </c:pt>
                      <c:pt idx="30" formatCode="General">
                        <c:v>-44.808118811881187</c:v>
                      </c:pt>
                      <c:pt idx="31" formatCode="General">
                        <c:v>-45.051287128712865</c:v>
                      </c:pt>
                      <c:pt idx="32" formatCode="General">
                        <c:v>-45.28891089108911</c:v>
                      </c:pt>
                      <c:pt idx="33" formatCode="General">
                        <c:v>-45.526534653465347</c:v>
                      </c:pt>
                      <c:pt idx="34" formatCode="General">
                        <c:v>-45.758019801980197</c:v>
                      </c:pt>
                      <c:pt idx="35" formatCode="General">
                        <c:v>-45.987722772277223</c:v>
                      </c:pt>
                      <c:pt idx="36" formatCode="General">
                        <c:v>-46.217425742574257</c:v>
                      </c:pt>
                      <c:pt idx="37" formatCode="General">
                        <c:v>-46.447128712871283</c:v>
                      </c:pt>
                      <c:pt idx="38" formatCode="General">
                        <c:v>-46.676831683168317</c:v>
                      </c:pt>
                      <c:pt idx="39" formatCode="General">
                        <c:v>-46.903663366336637</c:v>
                      </c:pt>
                      <c:pt idx="40" formatCode="General">
                        <c:v>-47.129405940594062</c:v>
                      </c:pt>
                      <c:pt idx="41" formatCode="General">
                        <c:v>-47.355148514851486</c:v>
                      </c:pt>
                      <c:pt idx="42" formatCode="General">
                        <c:v>-47.58089108910891</c:v>
                      </c:pt>
                      <c:pt idx="43" formatCode="General">
                        <c:v>-47.806633663366341</c:v>
                      </c:pt>
                      <c:pt idx="44" formatCode="General">
                        <c:v>-48.032376237623765</c:v>
                      </c:pt>
                      <c:pt idx="45" formatCode="General">
                        <c:v>-48.258118811881189</c:v>
                      </c:pt>
                      <c:pt idx="46" formatCode="General">
                        <c:v>-48.483861386138614</c:v>
                      </c:pt>
                      <c:pt idx="47" formatCode="General">
                        <c:v>-48.709603960396045</c:v>
                      </c:pt>
                      <c:pt idx="48" formatCode="General">
                        <c:v>-48.935346534653469</c:v>
                      </c:pt>
                      <c:pt idx="49" formatCode="General">
                        <c:v>-49.15506815365552</c:v>
                      </c:pt>
                      <c:pt idx="50" formatCode="General">
                        <c:v>-49.371177199504338</c:v>
                      </c:pt>
                      <c:pt idx="51" formatCode="General">
                        <c:v>-49.587286245353162</c:v>
                      </c:pt>
                      <c:pt idx="52" formatCode="General">
                        <c:v>-49.803395291201987</c:v>
                      </c:pt>
                      <c:pt idx="53" formatCode="General">
                        <c:v>-50.019504337050805</c:v>
                      </c:pt>
                      <c:pt idx="54" formatCode="General">
                        <c:v>-50.235613382899629</c:v>
                      </c:pt>
                      <c:pt idx="55" formatCode="General">
                        <c:v>-50.451722428748454</c:v>
                      </c:pt>
                      <c:pt idx="56" formatCode="General">
                        <c:v>-50.667831474597278</c:v>
                      </c:pt>
                      <c:pt idx="57" formatCode="General">
                        <c:v>-50.883940520446096</c:v>
                      </c:pt>
                      <c:pt idx="58" formatCode="General">
                        <c:v>-51.100049566294921</c:v>
                      </c:pt>
                      <c:pt idx="59" formatCode="General">
                        <c:v>-51.311757425742577</c:v>
                      </c:pt>
                      <c:pt idx="60" formatCode="General">
                        <c:v>-51.519678217821784</c:v>
                      </c:pt>
                      <c:pt idx="61" formatCode="General">
                        <c:v>-51.727599009900992</c:v>
                      </c:pt>
                      <c:pt idx="62" formatCode="General">
                        <c:v>-51.935519801980199</c:v>
                      </c:pt>
                      <c:pt idx="63" formatCode="General">
                        <c:v>-52.143440594059406</c:v>
                      </c:pt>
                      <c:pt idx="64" formatCode="General">
                        <c:v>-52.351361386138613</c:v>
                      </c:pt>
                      <c:pt idx="65" formatCode="General">
                        <c:v>-52.559282178217821</c:v>
                      </c:pt>
                      <c:pt idx="66" formatCode="General">
                        <c:v>-52.767202970297028</c:v>
                      </c:pt>
                      <c:pt idx="67" formatCode="General">
                        <c:v>-52.975123762376235</c:v>
                      </c:pt>
                      <c:pt idx="68" formatCode="General">
                        <c:v>-53.183044554455442</c:v>
                      </c:pt>
                      <c:pt idx="69" formatCode="General">
                        <c:v>-53.386741016109042</c:v>
                      </c:pt>
                      <c:pt idx="70" formatCode="General">
                        <c:v>-53.58500619578686</c:v>
                      </c:pt>
                      <c:pt idx="71" formatCode="General">
                        <c:v>-53.783271375464679</c:v>
                      </c:pt>
                      <c:pt idx="72" formatCode="General">
                        <c:v>-53.981536555142497</c:v>
                      </c:pt>
                      <c:pt idx="73" formatCode="General">
                        <c:v>-54.179801734820316</c:v>
                      </c:pt>
                      <c:pt idx="74" formatCode="General">
                        <c:v>-54.378066914498135</c:v>
                      </c:pt>
                      <c:pt idx="75" formatCode="General">
                        <c:v>-54.57633209417596</c:v>
                      </c:pt>
                      <c:pt idx="76" formatCode="General">
                        <c:v>-54.774597273853779</c:v>
                      </c:pt>
                      <c:pt idx="77" formatCode="General">
                        <c:v>-54.972862453531597</c:v>
                      </c:pt>
                      <c:pt idx="78" formatCode="General">
                        <c:v>-55.171127633209416</c:v>
                      </c:pt>
                      <c:pt idx="79" formatCode="General">
                        <c:v>-55.36722772277227</c:v>
                      </c:pt>
                      <c:pt idx="80" formatCode="General">
                        <c:v>-55.559306930693069</c:v>
                      </c:pt>
                      <c:pt idx="81" formatCode="General">
                        <c:v>-55.75138613861386</c:v>
                      </c:pt>
                      <c:pt idx="82" formatCode="General">
                        <c:v>-55.943465346534651</c:v>
                      </c:pt>
                      <c:pt idx="83" formatCode="General">
                        <c:v>-56.135544554455443</c:v>
                      </c:pt>
                      <c:pt idx="84" formatCode="General">
                        <c:v>-56.327623762376234</c:v>
                      </c:pt>
                      <c:pt idx="85" formatCode="General">
                        <c:v>-56.519702970297033</c:v>
                      </c:pt>
                      <c:pt idx="86" formatCode="General">
                        <c:v>-56.711782178217824</c:v>
                      </c:pt>
                      <c:pt idx="87" formatCode="General">
                        <c:v>-56.903861386138615</c:v>
                      </c:pt>
                      <c:pt idx="88" formatCode="General">
                        <c:v>-57.095940594059407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B1E-491F-9C5D-1F86F7F69D48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B1E-491F-9C5D-1F86F7F69D48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B1E-491F-9C5D-1F86F7F69D48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B1E-491F-9C5D-1F86F7F69D48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B1E-491F-9C5D-1F86F7F69D48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B1E-491F-9C5D-1F86F7F69D48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B1E-491F-9C5D-1F86F7F69D48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B1E-491F-9C5D-1F86F7F69D48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B1E-491F-9C5D-1F86F7F69D48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B1E-491F-9C5D-1F86F7F69D48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B1E-491F-9C5D-1F86F7F69D48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B1E-491F-9C5D-1F86F7F69D48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B1E-491F-9C5D-1F86F7F69D48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B1E-491F-9C5D-1F86F7F69D48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B1E-491F-9C5D-1F86F7F69D48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B1E-491F-9C5D-1F86F7F69D48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B1E-491F-9C5D-1F86F7F69D48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B1E-491F-9C5D-1F86F7F69D48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B1E-491F-9C5D-1F86F7F69D48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B1E-491F-9C5D-1F86F7F69D48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B1E-491F-9C5D-1F86F7F69D48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B1E-491F-9C5D-1F86F7F69D48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B1E-491F-9C5D-1F86F7F69D48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B1E-491F-9C5D-1F86F7F69D48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B1E-491F-9C5D-1F86F7F69D48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B1E-491F-9C5D-1F86F7F69D48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B1E-491F-9C5D-1F86F7F69D48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B1E-491F-9C5D-1F86F7F69D48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B1E-491F-9C5D-1F86F7F69D48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B1E-491F-9C5D-1F86F7F69D48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B1E-491F-9C5D-1F86F7F69D48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B1E-491F-9C5D-1F86F7F69D48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B1E-491F-9C5D-1F86F7F69D48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B1E-491F-9C5D-1F86F7F69D48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B1E-491F-9C5D-1F86F7F69D48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B1E-491F-9C5D-1F86F7F69D48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B1E-491F-9C5D-1F86F7F69D48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B1E-491F-9C5D-1F86F7F69D48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B1E-491F-9C5D-1F86F7F69D48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B1E-491F-9C5D-1F86F7F69D48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B1E-491F-9C5D-1F86F7F69D48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B1E-491F-9C5D-1F86F7F69D4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-174.57772277227724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94-4276-8B41-9565859D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-136.5330198019802</c:v>
                      </c:pt>
                      <c:pt idx="1">
                        <c:v>-133.73970297029703</c:v>
                      </c:pt>
                      <c:pt idx="2">
                        <c:v>-131.11792079207922</c:v>
                      </c:pt>
                      <c:pt idx="3">
                        <c:v>-128.51841584158416</c:v>
                      </c:pt>
                      <c:pt idx="4" formatCode="General">
                        <c:v>-126.2530693069307</c:v>
                      </c:pt>
                      <c:pt idx="5" formatCode="General">
                        <c:v>-123.98772277227724</c:v>
                      </c:pt>
                      <c:pt idx="6" formatCode="General">
                        <c:v>-122.0140099009901</c:v>
                      </c:pt>
                      <c:pt idx="7" formatCode="General">
                        <c:v>-120.29123762376238</c:v>
                      </c:pt>
                      <c:pt idx="8" formatCode="General">
                        <c:v>-118.57642202970297</c:v>
                      </c:pt>
                      <c:pt idx="9" formatCode="General">
                        <c:v>-117.4901844059406</c:v>
                      </c:pt>
                      <c:pt idx="10" formatCode="General">
                        <c:v>-116.40394678217822</c:v>
                      </c:pt>
                      <c:pt idx="11" formatCode="General">
                        <c:v>-115.31770915841584</c:v>
                      </c:pt>
                      <c:pt idx="12" formatCode="General">
                        <c:v>-114.23147153465347</c:v>
                      </c:pt>
                      <c:pt idx="13" formatCode="General">
                        <c:v>-113.14523391089109</c:v>
                      </c:pt>
                      <c:pt idx="14" formatCode="General">
                        <c:v>-112.05899628712871</c:v>
                      </c:pt>
                      <c:pt idx="15" formatCode="General">
                        <c:v>-110.97275866336633</c:v>
                      </c:pt>
                      <c:pt idx="16" formatCode="General">
                        <c:v>-109.88652103960396</c:v>
                      </c:pt>
                      <c:pt idx="17" formatCode="General">
                        <c:v>-108.80028341584158</c:v>
                      </c:pt>
                      <c:pt idx="18" formatCode="General">
                        <c:v>-107.7140457920792</c:v>
                      </c:pt>
                      <c:pt idx="19" formatCode="General">
                        <c:v>-106.90128712871287</c:v>
                      </c:pt>
                      <c:pt idx="20" formatCode="General">
                        <c:v>-106.11475247524751</c:v>
                      </c:pt>
                      <c:pt idx="21" formatCode="General">
                        <c:v>-105.37026732673267</c:v>
                      </c:pt>
                      <c:pt idx="22" formatCode="General">
                        <c:v>-104.69224752475247</c:v>
                      </c:pt>
                      <c:pt idx="23" formatCode="General">
                        <c:v>-104.01422772277228</c:v>
                      </c:pt>
                      <c:pt idx="24" formatCode="General">
                        <c:v>-103.38753731343283</c:v>
                      </c:pt>
                      <c:pt idx="25" formatCode="General">
                        <c:v>-102.76902985074626</c:v>
                      </c:pt>
                      <c:pt idx="26" formatCode="General">
                        <c:v>-102.17820792079208</c:v>
                      </c:pt>
                      <c:pt idx="27" formatCode="General">
                        <c:v>-101.63880198019801</c:v>
                      </c:pt>
                      <c:pt idx="28" formatCode="General">
                        <c:v>-101.09939603960396</c:v>
                      </c:pt>
                      <c:pt idx="29" formatCode="General">
                        <c:v>-101.46405940594059</c:v>
                      </c:pt>
                      <c:pt idx="30" formatCode="General">
                        <c:v>-102.02049504950494</c:v>
                      </c:pt>
                      <c:pt idx="31" formatCode="General">
                        <c:v>-102.57039603960395</c:v>
                      </c:pt>
                      <c:pt idx="32" formatCode="General">
                        <c:v>-103.10504950495049</c:v>
                      </c:pt>
                      <c:pt idx="33" formatCode="General">
                        <c:v>-103.63970297029702</c:v>
                      </c:pt>
                      <c:pt idx="34" formatCode="General">
                        <c:v>-104.16115841584158</c:v>
                      </c:pt>
                      <c:pt idx="35" formatCode="General">
                        <c:v>-104.67878217821782</c:v>
                      </c:pt>
                      <c:pt idx="36" formatCode="General">
                        <c:v>-105.19670297029703</c:v>
                      </c:pt>
                      <c:pt idx="37" formatCode="General">
                        <c:v>-105.71551485148515</c:v>
                      </c:pt>
                      <c:pt idx="38" formatCode="General">
                        <c:v>-106.23432673267327</c:v>
                      </c:pt>
                      <c:pt idx="39" formatCode="General">
                        <c:v>-106.74739603960397</c:v>
                      </c:pt>
                      <c:pt idx="40" formatCode="General">
                        <c:v>-107.25828712871288</c:v>
                      </c:pt>
                      <c:pt idx="41" formatCode="General">
                        <c:v>-107.76917821782179</c:v>
                      </c:pt>
                      <c:pt idx="42" formatCode="General">
                        <c:v>-108.2800693069307</c:v>
                      </c:pt>
                      <c:pt idx="43" formatCode="General">
                        <c:v>-108.79096039603961</c:v>
                      </c:pt>
                      <c:pt idx="44" formatCode="General">
                        <c:v>-109.30185148514852</c:v>
                      </c:pt>
                      <c:pt idx="45" formatCode="General">
                        <c:v>-109.81274257425743</c:v>
                      </c:pt>
                      <c:pt idx="46" formatCode="General">
                        <c:v>-110.32363366336634</c:v>
                      </c:pt>
                      <c:pt idx="47" formatCode="General">
                        <c:v>-110.83452475247526</c:v>
                      </c:pt>
                      <c:pt idx="48" formatCode="General">
                        <c:v>-111.34541584158417</c:v>
                      </c:pt>
                      <c:pt idx="49" formatCode="General">
                        <c:v>-111.84375340768278</c:v>
                      </c:pt>
                      <c:pt idx="50" formatCode="General">
                        <c:v>-112.33455885997522</c:v>
                      </c:pt>
                      <c:pt idx="51" formatCode="General">
                        <c:v>-112.82536431226767</c:v>
                      </c:pt>
                      <c:pt idx="52" formatCode="General">
                        <c:v>-113.3161697645601</c:v>
                      </c:pt>
                      <c:pt idx="53" formatCode="General">
                        <c:v>-113.80697521685254</c:v>
                      </c:pt>
                      <c:pt idx="54" formatCode="General">
                        <c:v>-114.29778066914498</c:v>
                      </c:pt>
                      <c:pt idx="55" formatCode="General">
                        <c:v>-114.78858612143742</c:v>
                      </c:pt>
                      <c:pt idx="56" formatCode="General">
                        <c:v>-115.27939157372987</c:v>
                      </c:pt>
                      <c:pt idx="57" formatCode="General">
                        <c:v>-115.7701970260223</c:v>
                      </c:pt>
                      <c:pt idx="58" formatCode="General">
                        <c:v>-116.26100247831474</c:v>
                      </c:pt>
                      <c:pt idx="59" formatCode="General">
                        <c:v>-116.74200866336633</c:v>
                      </c:pt>
                      <c:pt idx="60" formatCode="General">
                        <c:v>-117.21458292079208</c:v>
                      </c:pt>
                      <c:pt idx="61" formatCode="General">
                        <c:v>-117.68715717821782</c:v>
                      </c:pt>
                      <c:pt idx="62" formatCode="General">
                        <c:v>-118.15973143564356</c:v>
                      </c:pt>
                      <c:pt idx="63" formatCode="General">
                        <c:v>-118.6323056930693</c:v>
                      </c:pt>
                      <c:pt idx="64" formatCode="General">
                        <c:v>-119.10487995049505</c:v>
                      </c:pt>
                      <c:pt idx="65" formatCode="General">
                        <c:v>-119.57745420792079</c:v>
                      </c:pt>
                      <c:pt idx="66" formatCode="General">
                        <c:v>-120.05002846534653</c:v>
                      </c:pt>
                      <c:pt idx="67" formatCode="General">
                        <c:v>-120.52260272277228</c:v>
                      </c:pt>
                      <c:pt idx="68" formatCode="General">
                        <c:v>-120.99517698019801</c:v>
                      </c:pt>
                      <c:pt idx="69" formatCode="General">
                        <c:v>-121.45842255266419</c:v>
                      </c:pt>
                      <c:pt idx="70" formatCode="General">
                        <c:v>-121.9096741016109</c:v>
                      </c:pt>
                      <c:pt idx="71" formatCode="General">
                        <c:v>-122.36092565055762</c:v>
                      </c:pt>
                      <c:pt idx="72" formatCode="General">
                        <c:v>-122.81217719950433</c:v>
                      </c:pt>
                      <c:pt idx="73" formatCode="General">
                        <c:v>-123.26342874845105</c:v>
                      </c:pt>
                      <c:pt idx="74" formatCode="General">
                        <c:v>-123.71468029739776</c:v>
                      </c:pt>
                      <c:pt idx="75" formatCode="General">
                        <c:v>-124.16593184634448</c:v>
                      </c:pt>
                      <c:pt idx="76" formatCode="General">
                        <c:v>-124.61718339529119</c:v>
                      </c:pt>
                      <c:pt idx="77" formatCode="General">
                        <c:v>-125.06843494423791</c:v>
                      </c:pt>
                      <c:pt idx="78" formatCode="General">
                        <c:v>-125.51968649318462</c:v>
                      </c:pt>
                      <c:pt idx="79" formatCode="General">
                        <c:v>-125.96596039603959</c:v>
                      </c:pt>
                      <c:pt idx="80" formatCode="General">
                        <c:v>-126.40299009900988</c:v>
                      </c:pt>
                      <c:pt idx="81" formatCode="General">
                        <c:v>-126.84001980198019</c:v>
                      </c:pt>
                      <c:pt idx="82" formatCode="General">
                        <c:v>-127.27704950495048</c:v>
                      </c:pt>
                      <c:pt idx="83" formatCode="General">
                        <c:v>-127.71407920792079</c:v>
                      </c:pt>
                      <c:pt idx="84" formatCode="General">
                        <c:v>-128.15110891089108</c:v>
                      </c:pt>
                      <c:pt idx="85" formatCode="General">
                        <c:v>-128.58813861386139</c:v>
                      </c:pt>
                      <c:pt idx="86" formatCode="General">
                        <c:v>-129.0251683168317</c:v>
                      </c:pt>
                      <c:pt idx="87" formatCode="General">
                        <c:v>-129.46219801980197</c:v>
                      </c:pt>
                      <c:pt idx="88" formatCode="General">
                        <c:v>-129.89922772277228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9494-4276-8B41-9565859D7096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-174.57772277227724</c:v>
                      </c:pt>
                      <c:pt idx="1">
                        <c:v>-171.01623762376238</c:v>
                      </c:pt>
                      <c:pt idx="2">
                        <c:v>-167.67366336633663</c:v>
                      </c:pt>
                      <c:pt idx="3">
                        <c:v>-164.35955445544553</c:v>
                      </c:pt>
                      <c:pt idx="4" formatCode="General">
                        <c:v>-161.47242574257425</c:v>
                      </c:pt>
                      <c:pt idx="5" formatCode="General">
                        <c:v>-158.58529702970296</c:v>
                      </c:pt>
                      <c:pt idx="6" formatCode="General">
                        <c:v>-156.03237623762377</c:v>
                      </c:pt>
                      <c:pt idx="7" formatCode="General">
                        <c:v>-153.76702970297029</c:v>
                      </c:pt>
                      <c:pt idx="8" formatCode="General">
                        <c:v>-151.51140099009902</c:v>
                      </c:pt>
                      <c:pt idx="9" formatCode="General">
                        <c:v>-150.0234801980198</c:v>
                      </c:pt>
                      <c:pt idx="10" formatCode="General">
                        <c:v>-148.5355594059406</c:v>
                      </c:pt>
                      <c:pt idx="11" formatCode="General">
                        <c:v>-147.04763861386138</c:v>
                      </c:pt>
                      <c:pt idx="12" formatCode="General">
                        <c:v>-145.55971782178219</c:v>
                      </c:pt>
                      <c:pt idx="13" formatCode="General">
                        <c:v>-144.07179702970296</c:v>
                      </c:pt>
                      <c:pt idx="14" formatCode="General">
                        <c:v>-142.58387623762377</c:v>
                      </c:pt>
                      <c:pt idx="15" formatCode="General">
                        <c:v>-141.09595544554455</c:v>
                      </c:pt>
                      <c:pt idx="16" formatCode="General">
                        <c:v>-139.60803465346535</c:v>
                      </c:pt>
                      <c:pt idx="17" formatCode="General">
                        <c:v>-138.12011386138616</c:v>
                      </c:pt>
                      <c:pt idx="18" formatCode="General">
                        <c:v>-136.63219306930694</c:v>
                      </c:pt>
                      <c:pt idx="19" formatCode="General">
                        <c:v>-135.5089108910891</c:v>
                      </c:pt>
                      <c:pt idx="20" formatCode="General">
                        <c:v>-134.42059405940594</c:v>
                      </c:pt>
                      <c:pt idx="21" formatCode="General">
                        <c:v>-133.38783168316832</c:v>
                      </c:pt>
                      <c:pt idx="22" formatCode="General">
                        <c:v>-132.4428811881188</c:v>
                      </c:pt>
                      <c:pt idx="23" formatCode="General">
                        <c:v>-131.49793069306929</c:v>
                      </c:pt>
                      <c:pt idx="24" formatCode="General">
                        <c:v>-130.62238805970148</c:v>
                      </c:pt>
                      <c:pt idx="25" formatCode="General">
                        <c:v>-129.75791044776119</c:v>
                      </c:pt>
                      <c:pt idx="26" formatCode="General">
                        <c:v>-128.93041584158416</c:v>
                      </c:pt>
                      <c:pt idx="27" formatCode="General">
                        <c:v>-128.17160396039603</c:v>
                      </c:pt>
                      <c:pt idx="28" formatCode="General">
                        <c:v>-127.41279207920792</c:v>
                      </c:pt>
                      <c:pt idx="29" formatCode="General">
                        <c:v>-127.85831683168317</c:v>
                      </c:pt>
                      <c:pt idx="30" formatCode="General">
                        <c:v>-128.55930693069305</c:v>
                      </c:pt>
                      <c:pt idx="31" formatCode="General">
                        <c:v>-129.25198019801979</c:v>
                      </c:pt>
                      <c:pt idx="32" formatCode="General">
                        <c:v>-129.92524752475248</c:v>
                      </c:pt>
                      <c:pt idx="33" formatCode="General">
                        <c:v>-130.59851485148516</c:v>
                      </c:pt>
                      <c:pt idx="34" formatCode="General">
                        <c:v>-131.25520792079209</c:v>
                      </c:pt>
                      <c:pt idx="35" formatCode="General">
                        <c:v>-131.9070891089109</c:v>
                      </c:pt>
                      <c:pt idx="36" formatCode="General">
                        <c:v>-132.55936633663364</c:v>
                      </c:pt>
                      <c:pt idx="37" formatCode="General">
                        <c:v>-133.21283168316833</c:v>
                      </c:pt>
                      <c:pt idx="38" formatCode="General">
                        <c:v>-133.86629702970299</c:v>
                      </c:pt>
                      <c:pt idx="39" formatCode="General">
                        <c:v>-134.51258415841585</c:v>
                      </c:pt>
                      <c:pt idx="40" formatCode="General">
                        <c:v>-135.15614851485151</c:v>
                      </c:pt>
                      <c:pt idx="41" formatCode="General">
                        <c:v>-135.79971287128714</c:v>
                      </c:pt>
                      <c:pt idx="42" formatCode="General">
                        <c:v>-136.4432772277228</c:v>
                      </c:pt>
                      <c:pt idx="43" formatCode="General">
                        <c:v>-137.08684158415844</c:v>
                      </c:pt>
                      <c:pt idx="44" formatCode="General">
                        <c:v>-137.73040594059407</c:v>
                      </c:pt>
                      <c:pt idx="45" formatCode="General">
                        <c:v>-138.37397029702973</c:v>
                      </c:pt>
                      <c:pt idx="46" formatCode="General">
                        <c:v>-139.01753465346536</c:v>
                      </c:pt>
                      <c:pt idx="47" formatCode="General">
                        <c:v>-139.66109900990102</c:v>
                      </c:pt>
                      <c:pt idx="48" formatCode="General">
                        <c:v>-140.30466336633665</c:v>
                      </c:pt>
                      <c:pt idx="49" formatCode="General">
                        <c:v>-140.93249318463447</c:v>
                      </c:pt>
                      <c:pt idx="50" formatCode="General">
                        <c:v>-141.55088228004959</c:v>
                      </c:pt>
                      <c:pt idx="51" formatCode="General">
                        <c:v>-142.16927137546469</c:v>
                      </c:pt>
                      <c:pt idx="52" formatCode="General">
                        <c:v>-142.78766047087981</c:v>
                      </c:pt>
                      <c:pt idx="53" formatCode="General">
                        <c:v>-143.40604956629494</c:v>
                      </c:pt>
                      <c:pt idx="54" formatCode="General">
                        <c:v>-144.02443866171004</c:v>
                      </c:pt>
                      <c:pt idx="55" formatCode="General">
                        <c:v>-144.64282775712516</c:v>
                      </c:pt>
                      <c:pt idx="56" formatCode="General">
                        <c:v>-145.26121685254026</c:v>
                      </c:pt>
                      <c:pt idx="57" formatCode="General">
                        <c:v>-145.87960594795538</c:v>
                      </c:pt>
                      <c:pt idx="58" formatCode="General">
                        <c:v>-146.49799504337051</c:v>
                      </c:pt>
                      <c:pt idx="59" formatCode="General">
                        <c:v>-147.10405198019802</c:v>
                      </c:pt>
                      <c:pt idx="60" formatCode="General">
                        <c:v>-147.69949752475247</c:v>
                      </c:pt>
                      <c:pt idx="61" formatCode="General">
                        <c:v>-148.29494306930692</c:v>
                      </c:pt>
                      <c:pt idx="62" formatCode="General">
                        <c:v>-148.89038861386138</c:v>
                      </c:pt>
                      <c:pt idx="63" formatCode="General">
                        <c:v>-149.48583415841583</c:v>
                      </c:pt>
                      <c:pt idx="64" formatCode="General">
                        <c:v>-150.08127970297031</c:v>
                      </c:pt>
                      <c:pt idx="65" formatCode="General">
                        <c:v>-150.67672524752476</c:v>
                      </c:pt>
                      <c:pt idx="66" formatCode="General">
                        <c:v>-151.27217079207921</c:v>
                      </c:pt>
                      <c:pt idx="67" formatCode="General">
                        <c:v>-151.86761633663366</c:v>
                      </c:pt>
                      <c:pt idx="68" formatCode="General">
                        <c:v>-152.46306188118811</c:v>
                      </c:pt>
                      <c:pt idx="69" formatCode="General">
                        <c:v>-153.04677323420074</c:v>
                      </c:pt>
                      <c:pt idx="70" formatCode="General">
                        <c:v>-153.61539776951673</c:v>
                      </c:pt>
                      <c:pt idx="71" formatCode="General">
                        <c:v>-154.18402230483272</c:v>
                      </c:pt>
                      <c:pt idx="72" formatCode="General">
                        <c:v>-154.75264684014869</c:v>
                      </c:pt>
                      <c:pt idx="73" formatCode="General">
                        <c:v>-155.32127137546468</c:v>
                      </c:pt>
                      <c:pt idx="74" formatCode="General">
                        <c:v>-155.88989591078067</c:v>
                      </c:pt>
                      <c:pt idx="75" formatCode="General">
                        <c:v>-156.45852044609666</c:v>
                      </c:pt>
                      <c:pt idx="76" formatCode="General">
                        <c:v>-157.02714498141262</c:v>
                      </c:pt>
                      <c:pt idx="77" formatCode="General">
                        <c:v>-157.59576951672861</c:v>
                      </c:pt>
                      <c:pt idx="78" formatCode="General">
                        <c:v>-158.1643940520446</c:v>
                      </c:pt>
                      <c:pt idx="79" formatCode="General">
                        <c:v>-158.72674257425743</c:v>
                      </c:pt>
                      <c:pt idx="80" formatCode="General">
                        <c:v>-159.27743564356436</c:v>
                      </c:pt>
                      <c:pt idx="81" formatCode="General">
                        <c:v>-159.82812871287129</c:v>
                      </c:pt>
                      <c:pt idx="82" formatCode="General">
                        <c:v>-160.37882178217822</c:v>
                      </c:pt>
                      <c:pt idx="83" formatCode="General">
                        <c:v>-160.92951485148515</c:v>
                      </c:pt>
                      <c:pt idx="84" formatCode="General">
                        <c:v>-161.48020792079208</c:v>
                      </c:pt>
                      <c:pt idx="85" formatCode="General">
                        <c:v>-162.03090099009901</c:v>
                      </c:pt>
                      <c:pt idx="86" formatCode="General">
                        <c:v>-162.58159405940594</c:v>
                      </c:pt>
                      <c:pt idx="87" formatCode="General">
                        <c:v>-163.13228712871287</c:v>
                      </c:pt>
                      <c:pt idx="88" formatCode="General">
                        <c:v>-163.68298019801981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494-4276-8B41-9565859D7096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9494-4276-8B41-9565859D709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494-4276-8B41-9565859D7096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494-4276-8B41-9565859D7096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-48.673792079207914</c:v>
                      </c:pt>
                      <c:pt idx="27" formatCode="General">
                        <c:v>-48.573198019801978</c:v>
                      </c:pt>
                      <c:pt idx="28" formatCode="General">
                        <c:v>-48.472603960396036</c:v>
                      </c:pt>
                      <c:pt idx="29" formatCode="General">
                        <c:v>-48.675544554455442</c:v>
                      </c:pt>
                      <c:pt idx="30" formatCode="General">
                        <c:v>-48.94287128712871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-53.666273853779437</c:v>
                      </c:pt>
                      <c:pt idx="50" formatCode="General">
                        <c:v>-53.901912019826526</c:v>
                      </c:pt>
                      <c:pt idx="51" formatCode="General">
                        <c:v>-54.137550185873607</c:v>
                      </c:pt>
                      <c:pt idx="52" formatCode="General">
                        <c:v>-54.373188351920696</c:v>
                      </c:pt>
                      <c:pt idx="53" formatCode="General">
                        <c:v>-54.608826517967785</c:v>
                      </c:pt>
                      <c:pt idx="54" formatCode="General">
                        <c:v>-54.844464684014874</c:v>
                      </c:pt>
                      <c:pt idx="55" formatCode="General">
                        <c:v>-55.080102850061962</c:v>
                      </c:pt>
                      <c:pt idx="56" formatCode="General">
                        <c:v>-55.315741016109044</c:v>
                      </c:pt>
                      <c:pt idx="57" formatCode="General">
                        <c:v>-55.551379182156133</c:v>
                      </c:pt>
                      <c:pt idx="58" formatCode="General">
                        <c:v>-55.787017348203221</c:v>
                      </c:pt>
                      <c:pt idx="59" formatCode="General">
                        <c:v>-56.017922029702973</c:v>
                      </c:pt>
                      <c:pt idx="60" formatCode="General">
                        <c:v>-56.244753712871287</c:v>
                      </c:pt>
                      <c:pt idx="61" formatCode="General">
                        <c:v>-56.4715853960396</c:v>
                      </c:pt>
                      <c:pt idx="62" formatCode="General">
                        <c:v>-56.698417079207921</c:v>
                      </c:pt>
                      <c:pt idx="63" formatCode="General">
                        <c:v>-56.925248762376235</c:v>
                      </c:pt>
                      <c:pt idx="64" formatCode="General">
                        <c:v>-57.152080445544556</c:v>
                      </c:pt>
                      <c:pt idx="65" formatCode="General">
                        <c:v>-57.378912128712869</c:v>
                      </c:pt>
                      <c:pt idx="66" formatCode="General">
                        <c:v>-57.605743811881183</c:v>
                      </c:pt>
                      <c:pt idx="67" formatCode="General">
                        <c:v>-57.832575495049504</c:v>
                      </c:pt>
                      <c:pt idx="68" formatCode="General">
                        <c:v>-58.059407178217818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-60.444396039603951</c:v>
                      </c:pt>
                      <c:pt idx="80" formatCode="General">
                        <c:v>-60.654099009900989</c:v>
                      </c:pt>
                      <c:pt idx="81" formatCode="General">
                        <c:v>-60.863801980198019</c:v>
                      </c:pt>
                      <c:pt idx="82" formatCode="General">
                        <c:v>-61.07350495049505</c:v>
                      </c:pt>
                      <c:pt idx="83" formatCode="General">
                        <c:v>-61.28320792079208</c:v>
                      </c:pt>
                      <c:pt idx="84" formatCode="General">
                        <c:v>-61.49291089108911</c:v>
                      </c:pt>
                      <c:pt idx="85" formatCode="General">
                        <c:v>-61.702613861386141</c:v>
                      </c:pt>
                      <c:pt idx="86" formatCode="General">
                        <c:v>-61.912316831683171</c:v>
                      </c:pt>
                      <c:pt idx="87" formatCode="General">
                        <c:v>-62.122019801980201</c:v>
                      </c:pt>
                      <c:pt idx="88" formatCode="General">
                        <c:v>-62.331722772277232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494-4276-8B41-9565859D7096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494-4276-8B41-9565859D7096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494-4276-8B41-9565859D7096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-26.752207920792078</c:v>
                      </c:pt>
                      <c:pt idx="27" formatCode="General">
                        <c:v>-26.53280198019802</c:v>
                      </c:pt>
                      <c:pt idx="28" formatCode="General">
                        <c:v>-26.313396039603958</c:v>
                      </c:pt>
                      <c:pt idx="29" formatCode="General">
                        <c:v>-26.394257425742573</c:v>
                      </c:pt>
                      <c:pt idx="30" formatCode="General">
                        <c:v>-26.538811881188117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-29.088739776951673</c:v>
                      </c:pt>
                      <c:pt idx="50" formatCode="General">
                        <c:v>-29.21632342007435</c:v>
                      </c:pt>
                      <c:pt idx="51" formatCode="General">
                        <c:v>-29.343907063197026</c:v>
                      </c:pt>
                      <c:pt idx="52" formatCode="General">
                        <c:v>-29.471490706319702</c:v>
                      </c:pt>
                      <c:pt idx="53" formatCode="General">
                        <c:v>-29.599074349442379</c:v>
                      </c:pt>
                      <c:pt idx="54" formatCode="General">
                        <c:v>-29.726657992565055</c:v>
                      </c:pt>
                      <c:pt idx="55" formatCode="General">
                        <c:v>-29.854241635687732</c:v>
                      </c:pt>
                      <c:pt idx="56" formatCode="General">
                        <c:v>-29.981825278810408</c:v>
                      </c:pt>
                      <c:pt idx="57" formatCode="General">
                        <c:v>-30.109408921933085</c:v>
                      </c:pt>
                      <c:pt idx="58" formatCode="General">
                        <c:v>-30.236992565055761</c:v>
                      </c:pt>
                      <c:pt idx="59" formatCode="General">
                        <c:v>-30.362043316831681</c:v>
                      </c:pt>
                      <c:pt idx="60" formatCode="General">
                        <c:v>-30.484914603960394</c:v>
                      </c:pt>
                      <c:pt idx="61" formatCode="General">
                        <c:v>-30.607785891089108</c:v>
                      </c:pt>
                      <c:pt idx="62" formatCode="General">
                        <c:v>-30.730657178217822</c:v>
                      </c:pt>
                      <c:pt idx="63" formatCode="General">
                        <c:v>-30.853528465346532</c:v>
                      </c:pt>
                      <c:pt idx="64" formatCode="General">
                        <c:v>-30.976399752475245</c:v>
                      </c:pt>
                      <c:pt idx="65" formatCode="General">
                        <c:v>-31.099271039603959</c:v>
                      </c:pt>
                      <c:pt idx="66" formatCode="General">
                        <c:v>-31.222142326732673</c:v>
                      </c:pt>
                      <c:pt idx="67" formatCode="General">
                        <c:v>-31.345013613861386</c:v>
                      </c:pt>
                      <c:pt idx="68" formatCode="General">
                        <c:v>-31.467884900990096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-32.760782178217816</c:v>
                      </c:pt>
                      <c:pt idx="80" formatCode="General">
                        <c:v>-32.874445544554455</c:v>
                      </c:pt>
                      <c:pt idx="81" formatCode="General">
                        <c:v>-32.988108910891086</c:v>
                      </c:pt>
                      <c:pt idx="82" formatCode="General">
                        <c:v>-33.101772277227717</c:v>
                      </c:pt>
                      <c:pt idx="83" formatCode="General">
                        <c:v>-33.215435643564355</c:v>
                      </c:pt>
                      <c:pt idx="84" formatCode="General">
                        <c:v>-33.329099009900986</c:v>
                      </c:pt>
                      <c:pt idx="85" formatCode="General">
                        <c:v>-33.442762376237624</c:v>
                      </c:pt>
                      <c:pt idx="86" formatCode="General">
                        <c:v>-33.556425742574255</c:v>
                      </c:pt>
                      <c:pt idx="87" formatCode="General">
                        <c:v>-33.670089108910894</c:v>
                      </c:pt>
                      <c:pt idx="88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494-4276-8B41-9565859D7096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-31.291584158415841</c:v>
                      </c:pt>
                      <c:pt idx="1">
                        <c:v>-30.732871287128713</c:v>
                      </c:pt>
                      <c:pt idx="2">
                        <c:v>-30.21009900990099</c:v>
                      </c:pt>
                      <c:pt idx="3">
                        <c:v>-29.692277227722773</c:v>
                      </c:pt>
                      <c:pt idx="4" formatCode="General">
                        <c:v>-29.248712871287129</c:v>
                      </c:pt>
                      <c:pt idx="5" formatCode="General">
                        <c:v>-28.805148514851485</c:v>
                      </c:pt>
                      <c:pt idx="6" formatCode="General">
                        <c:v>-28.118910891089108</c:v>
                      </c:pt>
                      <c:pt idx="7" formatCode="General">
                        <c:v>-27.223861386138612</c:v>
                      </c:pt>
                      <c:pt idx="8" formatCode="General">
                        <c:v>-26.326987623762374</c:v>
                      </c:pt>
                      <c:pt idx="9" formatCode="General">
                        <c:v>-25.285997524752471</c:v>
                      </c:pt>
                      <c:pt idx="10" formatCode="General">
                        <c:v>-24.245007425742571</c:v>
                      </c:pt>
                      <c:pt idx="11" formatCode="General">
                        <c:v>-23.204017326732671</c:v>
                      </c:pt>
                      <c:pt idx="12" formatCode="General">
                        <c:v>-22.163027227722772</c:v>
                      </c:pt>
                      <c:pt idx="13" formatCode="General">
                        <c:v>-21.122037128712869</c:v>
                      </c:pt>
                      <c:pt idx="14" formatCode="General">
                        <c:v>-20.081047029702969</c:v>
                      </c:pt>
                      <c:pt idx="15" formatCode="General">
                        <c:v>-19.040056930693069</c:v>
                      </c:pt>
                      <c:pt idx="16" formatCode="General">
                        <c:v>-17.999066831683166</c:v>
                      </c:pt>
                      <c:pt idx="17" formatCode="General">
                        <c:v>-16.958076732673266</c:v>
                      </c:pt>
                      <c:pt idx="18" formatCode="General">
                        <c:v>-15.917086633663365</c:v>
                      </c:pt>
                      <c:pt idx="19" formatCode="General">
                        <c:v>-15.058415841584157</c:v>
                      </c:pt>
                      <c:pt idx="20" formatCode="General">
                        <c:v>-14.217227722772275</c:v>
                      </c:pt>
                      <c:pt idx="21" formatCode="General">
                        <c:v>-13.399980198019801</c:v>
                      </c:pt>
                      <c:pt idx="22" formatCode="General">
                        <c:v>-12.620574257425742</c:v>
                      </c:pt>
                      <c:pt idx="23" formatCode="General">
                        <c:v>-11.841168316831684</c:v>
                      </c:pt>
                      <c:pt idx="24" formatCode="General">
                        <c:v>-11.103731343283583</c:v>
                      </c:pt>
                      <c:pt idx="25" formatCode="General">
                        <c:v>-10.372985074626865</c:v>
                      </c:pt>
                      <c:pt idx="26" formatCode="General">
                        <c:v>-9.6612475247524738</c:v>
                      </c:pt>
                      <c:pt idx="27" formatCode="General">
                        <c:v>-8.9848118811881168</c:v>
                      </c:pt>
                      <c:pt idx="28" formatCode="General">
                        <c:v>-8.3083762376237598</c:v>
                      </c:pt>
                      <c:pt idx="29" formatCode="General">
                        <c:v>-8.2259405940594057</c:v>
                      </c:pt>
                      <c:pt idx="30" formatCode="General">
                        <c:v>-8.2695049504950493</c:v>
                      </c:pt>
                      <c:pt idx="31" formatCode="General">
                        <c:v>-8.3118811881188126</c:v>
                      </c:pt>
                      <c:pt idx="32" formatCode="General">
                        <c:v>-8.3514851485148522</c:v>
                      </c:pt>
                      <c:pt idx="33" formatCode="General">
                        <c:v>-8.3910891089108919</c:v>
                      </c:pt>
                      <c:pt idx="34" formatCode="General">
                        <c:v>-8.4300792079207927</c:v>
                      </c:pt>
                      <c:pt idx="35" formatCode="General">
                        <c:v>-8.4688910891089098</c:v>
                      </c:pt>
                      <c:pt idx="36" formatCode="General">
                        <c:v>-8.5079009900990101</c:v>
                      </c:pt>
                      <c:pt idx="37" formatCode="General">
                        <c:v>-8.5475049504950498</c:v>
                      </c:pt>
                      <c:pt idx="38" formatCode="General">
                        <c:v>-8.5871089108910894</c:v>
                      </c:pt>
                      <c:pt idx="39" formatCode="General">
                        <c:v>-8.626712871287129</c:v>
                      </c:pt>
                      <c:pt idx="40" formatCode="General">
                        <c:v>-8.6663168316831687</c:v>
                      </c:pt>
                      <c:pt idx="41" formatCode="General">
                        <c:v>-8.7059207920792083</c:v>
                      </c:pt>
                      <c:pt idx="42" formatCode="General">
                        <c:v>-8.745524752475248</c:v>
                      </c:pt>
                      <c:pt idx="43" formatCode="General">
                        <c:v>-8.7851287128712876</c:v>
                      </c:pt>
                      <c:pt idx="44" formatCode="General">
                        <c:v>-8.8247326732673272</c:v>
                      </c:pt>
                      <c:pt idx="45" formatCode="General">
                        <c:v>-8.8643366336633669</c:v>
                      </c:pt>
                      <c:pt idx="46" formatCode="General">
                        <c:v>-8.9039405940594047</c:v>
                      </c:pt>
                      <c:pt idx="47" formatCode="General">
                        <c:v>-8.9435445544554444</c:v>
                      </c:pt>
                      <c:pt idx="48" formatCode="General">
                        <c:v>-8.983148514851484</c:v>
                      </c:pt>
                      <c:pt idx="49" formatCode="General">
                        <c:v>-9.0224114002478313</c:v>
                      </c:pt>
                      <c:pt idx="50" formatCode="General">
                        <c:v>-9.0614696406443613</c:v>
                      </c:pt>
                      <c:pt idx="51" formatCode="General">
                        <c:v>-9.1005278810408914</c:v>
                      </c:pt>
                      <c:pt idx="52" formatCode="General">
                        <c:v>-9.1395861214374214</c:v>
                      </c:pt>
                      <c:pt idx="53" formatCode="General">
                        <c:v>-9.1786443618339515</c:v>
                      </c:pt>
                      <c:pt idx="54" formatCode="General">
                        <c:v>-9.2177026022304833</c:v>
                      </c:pt>
                      <c:pt idx="55" formatCode="General">
                        <c:v>-9.2567608426270134</c:v>
                      </c:pt>
                      <c:pt idx="56" formatCode="General">
                        <c:v>-9.2958190830235434</c:v>
                      </c:pt>
                      <c:pt idx="57" formatCode="General">
                        <c:v>-9.3348773234200735</c:v>
                      </c:pt>
                      <c:pt idx="58" formatCode="General">
                        <c:v>-9.3739355638166035</c:v>
                      </c:pt>
                      <c:pt idx="59" formatCode="General">
                        <c:v>-9.4123292079207914</c:v>
                      </c:pt>
                      <c:pt idx="60" formatCode="General">
                        <c:v>-9.4501509900990097</c:v>
                      </c:pt>
                      <c:pt idx="61" formatCode="General">
                        <c:v>-9.4879727722772262</c:v>
                      </c:pt>
                      <c:pt idx="62" formatCode="General">
                        <c:v>-9.5257945544554445</c:v>
                      </c:pt>
                      <c:pt idx="63" formatCode="General">
                        <c:v>-9.5636163366336628</c:v>
                      </c:pt>
                      <c:pt idx="64" formatCode="General">
                        <c:v>-9.6014381188118811</c:v>
                      </c:pt>
                      <c:pt idx="65" formatCode="General">
                        <c:v>-9.6392599009900977</c:v>
                      </c:pt>
                      <c:pt idx="66" formatCode="General">
                        <c:v>-9.677081683168316</c:v>
                      </c:pt>
                      <c:pt idx="67" formatCode="General">
                        <c:v>-9.7149034653465343</c:v>
                      </c:pt>
                      <c:pt idx="68" formatCode="General">
                        <c:v>-9.7527252475247508</c:v>
                      </c:pt>
                      <c:pt idx="69" formatCode="General">
                        <c:v>-9.7899603469640635</c:v>
                      </c:pt>
                      <c:pt idx="70" formatCode="General">
                        <c:v>-9.826441140024782</c:v>
                      </c:pt>
                      <c:pt idx="71" formatCode="General">
                        <c:v>-9.8629219330855005</c:v>
                      </c:pt>
                      <c:pt idx="72" formatCode="General">
                        <c:v>-9.899402726146219</c:v>
                      </c:pt>
                      <c:pt idx="73" formatCode="General">
                        <c:v>-9.9358835192069392</c:v>
                      </c:pt>
                      <c:pt idx="74" formatCode="General">
                        <c:v>-9.9723643122676577</c:v>
                      </c:pt>
                      <c:pt idx="75" formatCode="General">
                        <c:v>-10.008845105328376</c:v>
                      </c:pt>
                      <c:pt idx="76" formatCode="General">
                        <c:v>-10.045325898389095</c:v>
                      </c:pt>
                      <c:pt idx="77" formatCode="General">
                        <c:v>-10.081806691449813</c:v>
                      </c:pt>
                      <c:pt idx="78" formatCode="General">
                        <c:v>-10.118287484510532</c:v>
                      </c:pt>
                      <c:pt idx="79" formatCode="General">
                        <c:v>-10.154336633663366</c:v>
                      </c:pt>
                      <c:pt idx="80" formatCode="General">
                        <c:v>-10.18958415841584</c:v>
                      </c:pt>
                      <c:pt idx="81" formatCode="General">
                        <c:v>-10.224831683168317</c:v>
                      </c:pt>
                      <c:pt idx="82" formatCode="General">
                        <c:v>-10.260079207920791</c:v>
                      </c:pt>
                      <c:pt idx="83" formatCode="General">
                        <c:v>-10.295326732673267</c:v>
                      </c:pt>
                      <c:pt idx="84" formatCode="General">
                        <c:v>-10.330574257425742</c:v>
                      </c:pt>
                      <c:pt idx="85" formatCode="General">
                        <c:v>-10.365821782178218</c:v>
                      </c:pt>
                      <c:pt idx="86" formatCode="General">
                        <c:v>-10.401069306930692</c:v>
                      </c:pt>
                      <c:pt idx="87" formatCode="General">
                        <c:v>-10.436316831683168</c:v>
                      </c:pt>
                      <c:pt idx="88" formatCode="General">
                        <c:v>-10.471564356435643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494-4276-8B41-9565859D7096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494-4276-8B41-9565859D7096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-26.752207920792078</c:v>
                      </c:pt>
                      <c:pt idx="27" formatCode="General">
                        <c:v>-26.53280198019802</c:v>
                      </c:pt>
                      <c:pt idx="28" formatCode="General">
                        <c:v>-26.313396039603958</c:v>
                      </c:pt>
                      <c:pt idx="29" formatCode="General">
                        <c:v>-26.394257425742573</c:v>
                      </c:pt>
                      <c:pt idx="30" formatCode="General">
                        <c:v>-26.538811881188117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-29.088739776951673</c:v>
                      </c:pt>
                      <c:pt idx="50" formatCode="General">
                        <c:v>-29.21632342007435</c:v>
                      </c:pt>
                      <c:pt idx="51" formatCode="General">
                        <c:v>-29.343907063197026</c:v>
                      </c:pt>
                      <c:pt idx="52" formatCode="General">
                        <c:v>-29.471490706319702</c:v>
                      </c:pt>
                      <c:pt idx="53" formatCode="General">
                        <c:v>-29.599074349442379</c:v>
                      </c:pt>
                      <c:pt idx="54" formatCode="General">
                        <c:v>-29.726657992565055</c:v>
                      </c:pt>
                      <c:pt idx="55" formatCode="General">
                        <c:v>-29.854241635687732</c:v>
                      </c:pt>
                      <c:pt idx="56" formatCode="General">
                        <c:v>-29.981825278810408</c:v>
                      </c:pt>
                      <c:pt idx="57" formatCode="General">
                        <c:v>-30.109408921933085</c:v>
                      </c:pt>
                      <c:pt idx="58" formatCode="General">
                        <c:v>-30.236992565055761</c:v>
                      </c:pt>
                      <c:pt idx="59" formatCode="General">
                        <c:v>-30.362043316831681</c:v>
                      </c:pt>
                      <c:pt idx="60" formatCode="General">
                        <c:v>-30.484914603960394</c:v>
                      </c:pt>
                      <c:pt idx="61" formatCode="General">
                        <c:v>-30.607785891089108</c:v>
                      </c:pt>
                      <c:pt idx="62" formatCode="General">
                        <c:v>-30.730657178217822</c:v>
                      </c:pt>
                      <c:pt idx="63" formatCode="General">
                        <c:v>-30.853528465346532</c:v>
                      </c:pt>
                      <c:pt idx="64" formatCode="General">
                        <c:v>-30.976399752475245</c:v>
                      </c:pt>
                      <c:pt idx="65" formatCode="General">
                        <c:v>-31.099271039603959</c:v>
                      </c:pt>
                      <c:pt idx="66" formatCode="General">
                        <c:v>-31.222142326732673</c:v>
                      </c:pt>
                      <c:pt idx="67" formatCode="General">
                        <c:v>-31.345013613861386</c:v>
                      </c:pt>
                      <c:pt idx="68" formatCode="General">
                        <c:v>-31.467884900990096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-32.760782178217816</c:v>
                      </c:pt>
                      <c:pt idx="80" formatCode="General">
                        <c:v>-32.874445544554455</c:v>
                      </c:pt>
                      <c:pt idx="81" formatCode="General">
                        <c:v>-32.988108910891086</c:v>
                      </c:pt>
                      <c:pt idx="82" formatCode="General">
                        <c:v>-33.101772277227717</c:v>
                      </c:pt>
                      <c:pt idx="83" formatCode="General">
                        <c:v>-33.215435643564355</c:v>
                      </c:pt>
                      <c:pt idx="84" formatCode="General">
                        <c:v>-33.329099009900986</c:v>
                      </c:pt>
                      <c:pt idx="85" formatCode="General">
                        <c:v>-33.442762376237624</c:v>
                      </c:pt>
                      <c:pt idx="86" formatCode="General">
                        <c:v>-33.556425742574255</c:v>
                      </c:pt>
                      <c:pt idx="87" formatCode="General">
                        <c:v>-33.670089108910894</c:v>
                      </c:pt>
                      <c:pt idx="88" formatCode="General">
                        <c:v>-33.783752475247525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494-4276-8B41-9565859D7096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-44.797821782178218</c:v>
                      </c:pt>
                      <c:pt idx="1">
                        <c:v>-43.820198019801978</c:v>
                      </c:pt>
                      <c:pt idx="2">
                        <c:v>-42.901386138613859</c:v>
                      </c:pt>
                      <c:pt idx="3">
                        <c:v>-41.99</c:v>
                      </c:pt>
                      <c:pt idx="4" formatCode="General">
                        <c:v>-41.19</c:v>
                      </c:pt>
                      <c:pt idx="5" formatCode="General">
                        <c:v>-40.39</c:v>
                      </c:pt>
                      <c:pt idx="6" formatCode="General">
                        <c:v>-39.917821782178223</c:v>
                      </c:pt>
                      <c:pt idx="7" formatCode="General">
                        <c:v>-39.727722772277225</c:v>
                      </c:pt>
                      <c:pt idx="8" formatCode="General">
                        <c:v>-39.542970297029704</c:v>
                      </c:pt>
                      <c:pt idx="9" formatCode="General">
                        <c:v>-39.780594059405942</c:v>
                      </c:pt>
                      <c:pt idx="10" formatCode="General">
                        <c:v>-40.01821782178218</c:v>
                      </c:pt>
                      <c:pt idx="11" formatCode="General">
                        <c:v>-40.255841584158418</c:v>
                      </c:pt>
                      <c:pt idx="12" formatCode="General">
                        <c:v>-40.493465346534656</c:v>
                      </c:pt>
                      <c:pt idx="13" formatCode="General">
                        <c:v>-40.731089108910894</c:v>
                      </c:pt>
                      <c:pt idx="14" formatCode="General">
                        <c:v>-40.968712871287124</c:v>
                      </c:pt>
                      <c:pt idx="15" formatCode="General">
                        <c:v>-41.206336633663362</c:v>
                      </c:pt>
                      <c:pt idx="16" formatCode="General">
                        <c:v>-41.4439603960396</c:v>
                      </c:pt>
                      <c:pt idx="17" formatCode="General">
                        <c:v>-41.681584158415838</c:v>
                      </c:pt>
                      <c:pt idx="18" formatCode="General">
                        <c:v>-41.919207920792076</c:v>
                      </c:pt>
                      <c:pt idx="19" formatCode="General">
                        <c:v>-42.156831683168313</c:v>
                      </c:pt>
                      <c:pt idx="20" formatCode="General">
                        <c:v>-42.394455445544551</c:v>
                      </c:pt>
                      <c:pt idx="21" formatCode="General">
                        <c:v>-42.635148514851487</c:v>
                      </c:pt>
                      <c:pt idx="22" formatCode="General">
                        <c:v>-42.880693069306929</c:v>
                      </c:pt>
                      <c:pt idx="23" formatCode="General">
                        <c:v>-43.126237623762371</c:v>
                      </c:pt>
                      <c:pt idx="24" formatCode="General">
                        <c:v>-43.365970149253727</c:v>
                      </c:pt>
                      <c:pt idx="25" formatCode="General">
                        <c:v>-43.604776119402985</c:v>
                      </c:pt>
                      <c:pt idx="26" formatCode="General">
                        <c:v>-43.843168316831679</c:v>
                      </c:pt>
                      <c:pt idx="27" formatCode="General">
                        <c:v>-44.080792079207917</c:v>
                      </c:pt>
                      <c:pt idx="28" formatCode="General">
                        <c:v>-44.318415841584155</c:v>
                      </c:pt>
                      <c:pt idx="29" formatCode="General">
                        <c:v>-44.562574257425744</c:v>
                      </c:pt>
                      <c:pt idx="30" formatCode="General">
                        <c:v>-44.808118811881187</c:v>
                      </c:pt>
                      <c:pt idx="31" formatCode="General">
                        <c:v>-45.051287128712865</c:v>
                      </c:pt>
                      <c:pt idx="32" formatCode="General">
                        <c:v>-45.28891089108911</c:v>
                      </c:pt>
                      <c:pt idx="33" formatCode="General">
                        <c:v>-45.526534653465347</c:v>
                      </c:pt>
                      <c:pt idx="34" formatCode="General">
                        <c:v>-45.758019801980197</c:v>
                      </c:pt>
                      <c:pt idx="35" formatCode="General">
                        <c:v>-45.987722772277223</c:v>
                      </c:pt>
                      <c:pt idx="36" formatCode="General">
                        <c:v>-46.217425742574257</c:v>
                      </c:pt>
                      <c:pt idx="37" formatCode="General">
                        <c:v>-46.447128712871283</c:v>
                      </c:pt>
                      <c:pt idx="38" formatCode="General">
                        <c:v>-46.676831683168317</c:v>
                      </c:pt>
                      <c:pt idx="39" formatCode="General">
                        <c:v>-46.903663366336637</c:v>
                      </c:pt>
                      <c:pt idx="40" formatCode="General">
                        <c:v>-47.129405940594062</c:v>
                      </c:pt>
                      <c:pt idx="41" formatCode="General">
                        <c:v>-47.355148514851486</c:v>
                      </c:pt>
                      <c:pt idx="42" formatCode="General">
                        <c:v>-47.58089108910891</c:v>
                      </c:pt>
                      <c:pt idx="43" formatCode="General">
                        <c:v>-47.806633663366341</c:v>
                      </c:pt>
                      <c:pt idx="44" formatCode="General">
                        <c:v>-48.032376237623765</c:v>
                      </c:pt>
                      <c:pt idx="45" formatCode="General">
                        <c:v>-48.258118811881189</c:v>
                      </c:pt>
                      <c:pt idx="46" formatCode="General">
                        <c:v>-48.483861386138614</c:v>
                      </c:pt>
                      <c:pt idx="47" formatCode="General">
                        <c:v>-48.709603960396045</c:v>
                      </c:pt>
                      <c:pt idx="48" formatCode="General">
                        <c:v>-48.935346534653469</c:v>
                      </c:pt>
                      <c:pt idx="49" formatCode="General">
                        <c:v>-49.15506815365552</c:v>
                      </c:pt>
                      <c:pt idx="50" formatCode="General">
                        <c:v>-49.371177199504338</c:v>
                      </c:pt>
                      <c:pt idx="51" formatCode="General">
                        <c:v>-49.587286245353162</c:v>
                      </c:pt>
                      <c:pt idx="52" formatCode="General">
                        <c:v>-49.803395291201987</c:v>
                      </c:pt>
                      <c:pt idx="53" formatCode="General">
                        <c:v>-50.019504337050805</c:v>
                      </c:pt>
                      <c:pt idx="54" formatCode="General">
                        <c:v>-50.235613382899629</c:v>
                      </c:pt>
                      <c:pt idx="55" formatCode="General">
                        <c:v>-50.451722428748454</c:v>
                      </c:pt>
                      <c:pt idx="56" formatCode="General">
                        <c:v>-50.667831474597278</c:v>
                      </c:pt>
                      <c:pt idx="57" formatCode="General">
                        <c:v>-50.883940520446096</c:v>
                      </c:pt>
                      <c:pt idx="58" formatCode="General">
                        <c:v>-51.100049566294921</c:v>
                      </c:pt>
                      <c:pt idx="59" formatCode="General">
                        <c:v>-51.311757425742577</c:v>
                      </c:pt>
                      <c:pt idx="60" formatCode="General">
                        <c:v>-51.519678217821784</c:v>
                      </c:pt>
                      <c:pt idx="61" formatCode="General">
                        <c:v>-51.727599009900992</c:v>
                      </c:pt>
                      <c:pt idx="62" formatCode="General">
                        <c:v>-51.935519801980199</c:v>
                      </c:pt>
                      <c:pt idx="63" formatCode="General">
                        <c:v>-52.143440594059406</c:v>
                      </c:pt>
                      <c:pt idx="64" formatCode="General">
                        <c:v>-52.351361386138613</c:v>
                      </c:pt>
                      <c:pt idx="65" formatCode="General">
                        <c:v>-52.559282178217821</c:v>
                      </c:pt>
                      <c:pt idx="66" formatCode="General">
                        <c:v>-52.767202970297028</c:v>
                      </c:pt>
                      <c:pt idx="67" formatCode="General">
                        <c:v>-52.975123762376235</c:v>
                      </c:pt>
                      <c:pt idx="68" formatCode="General">
                        <c:v>-53.183044554455442</c:v>
                      </c:pt>
                      <c:pt idx="69" formatCode="General">
                        <c:v>-53.386741016109042</c:v>
                      </c:pt>
                      <c:pt idx="70" formatCode="General">
                        <c:v>-53.58500619578686</c:v>
                      </c:pt>
                      <c:pt idx="71" formatCode="General">
                        <c:v>-53.783271375464679</c:v>
                      </c:pt>
                      <c:pt idx="72" formatCode="General">
                        <c:v>-53.981536555142497</c:v>
                      </c:pt>
                      <c:pt idx="73" formatCode="General">
                        <c:v>-54.179801734820316</c:v>
                      </c:pt>
                      <c:pt idx="74" formatCode="General">
                        <c:v>-54.378066914498135</c:v>
                      </c:pt>
                      <c:pt idx="75" formatCode="General">
                        <c:v>-54.57633209417596</c:v>
                      </c:pt>
                      <c:pt idx="76" formatCode="General">
                        <c:v>-54.774597273853779</c:v>
                      </c:pt>
                      <c:pt idx="77" formatCode="General">
                        <c:v>-54.972862453531597</c:v>
                      </c:pt>
                      <c:pt idx="78" formatCode="General">
                        <c:v>-55.171127633209416</c:v>
                      </c:pt>
                      <c:pt idx="79" formatCode="General">
                        <c:v>-55.36722772277227</c:v>
                      </c:pt>
                      <c:pt idx="80" formatCode="General">
                        <c:v>-55.559306930693069</c:v>
                      </c:pt>
                      <c:pt idx="81" formatCode="General">
                        <c:v>-55.75138613861386</c:v>
                      </c:pt>
                      <c:pt idx="82" formatCode="General">
                        <c:v>-55.943465346534651</c:v>
                      </c:pt>
                      <c:pt idx="83" formatCode="General">
                        <c:v>-56.135544554455443</c:v>
                      </c:pt>
                      <c:pt idx="84" formatCode="General">
                        <c:v>-56.327623762376234</c:v>
                      </c:pt>
                      <c:pt idx="85" formatCode="General">
                        <c:v>-56.519702970297033</c:v>
                      </c:pt>
                      <c:pt idx="86" formatCode="General">
                        <c:v>-56.711782178217824</c:v>
                      </c:pt>
                      <c:pt idx="87" formatCode="General">
                        <c:v>-56.903861386138615</c:v>
                      </c:pt>
                      <c:pt idx="88" formatCode="General">
                        <c:v>-57.095940594059407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494-4276-8B41-9565859D709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494-4276-8B41-9565859D709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494-4276-8B41-9565859D709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494-4276-8B41-9565859D709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494-4276-8B41-9565859D709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494-4276-8B41-9565859D709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-4.8306237623762369</c:v>
                      </c:pt>
                      <c:pt idx="27" formatCode="General">
                        <c:v>-4.4924059405940584</c:v>
                      </c:pt>
                      <c:pt idx="28" formatCode="General">
                        <c:v>-4.1541881188118799</c:v>
                      </c:pt>
                      <c:pt idx="29" formatCode="General">
                        <c:v>-4.1129702970297028</c:v>
                      </c:pt>
                      <c:pt idx="30" formatCode="General">
                        <c:v>-4.1347524752475247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494-4276-8B41-9565859D709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-21.92158415841584</c:v>
                      </c:pt>
                      <c:pt idx="27" formatCode="General">
                        <c:v>-22.040396039603959</c:v>
                      </c:pt>
                      <c:pt idx="28" formatCode="General">
                        <c:v>-22.159207920792078</c:v>
                      </c:pt>
                      <c:pt idx="29" formatCode="General">
                        <c:v>-22.281287128712872</c:v>
                      </c:pt>
                      <c:pt idx="30" formatCode="General">
                        <c:v>-22.404059405940593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-24.57753407682776</c:v>
                      </c:pt>
                      <c:pt idx="50" formatCode="General">
                        <c:v>-24.685588599752169</c:v>
                      </c:pt>
                      <c:pt idx="51" formatCode="General">
                        <c:v>-24.793643122676581</c:v>
                      </c:pt>
                      <c:pt idx="52" formatCode="General">
                        <c:v>-24.901697645600994</c:v>
                      </c:pt>
                      <c:pt idx="53" formatCode="General">
                        <c:v>-25.009752168525402</c:v>
                      </c:pt>
                      <c:pt idx="54" formatCode="General">
                        <c:v>-25.117806691449815</c:v>
                      </c:pt>
                      <c:pt idx="55" formatCode="General">
                        <c:v>-25.225861214374227</c:v>
                      </c:pt>
                      <c:pt idx="56" formatCode="General">
                        <c:v>-25.333915737298639</c:v>
                      </c:pt>
                      <c:pt idx="57" formatCode="General">
                        <c:v>-25.441970260223048</c:v>
                      </c:pt>
                      <c:pt idx="58" formatCode="General">
                        <c:v>-25.55002478314746</c:v>
                      </c:pt>
                      <c:pt idx="59" formatCode="General">
                        <c:v>-25.655878712871289</c:v>
                      </c:pt>
                      <c:pt idx="60" formatCode="General">
                        <c:v>-25.759839108910892</c:v>
                      </c:pt>
                      <c:pt idx="61" formatCode="General">
                        <c:v>-25.863799504950496</c:v>
                      </c:pt>
                      <c:pt idx="62" formatCode="General">
                        <c:v>-25.967759900990099</c:v>
                      </c:pt>
                      <c:pt idx="63" formatCode="General">
                        <c:v>-26.071720297029703</c:v>
                      </c:pt>
                      <c:pt idx="64" formatCode="General">
                        <c:v>-26.175680693069307</c:v>
                      </c:pt>
                      <c:pt idx="65" formatCode="General">
                        <c:v>-26.27964108910891</c:v>
                      </c:pt>
                      <c:pt idx="66" formatCode="General">
                        <c:v>-26.383601485148514</c:v>
                      </c:pt>
                      <c:pt idx="67" formatCode="General">
                        <c:v>-26.487561881188117</c:v>
                      </c:pt>
                      <c:pt idx="68" formatCode="General">
                        <c:v>-26.591522277227721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-27.683613861386135</c:v>
                      </c:pt>
                      <c:pt idx="80" formatCode="General">
                        <c:v>-27.779653465346534</c:v>
                      </c:pt>
                      <c:pt idx="81" formatCode="General">
                        <c:v>-27.87569306930693</c:v>
                      </c:pt>
                      <c:pt idx="82" formatCode="General">
                        <c:v>-27.971732673267326</c:v>
                      </c:pt>
                      <c:pt idx="83" formatCode="General">
                        <c:v>-28.067772277227721</c:v>
                      </c:pt>
                      <c:pt idx="84" formatCode="General">
                        <c:v>-28.163811881188117</c:v>
                      </c:pt>
                      <c:pt idx="85" formatCode="General">
                        <c:v>-28.259851485148516</c:v>
                      </c:pt>
                      <c:pt idx="86" formatCode="General">
                        <c:v>-28.355891089108912</c:v>
                      </c:pt>
                      <c:pt idx="87" formatCode="General">
                        <c:v>-28.451930693069308</c:v>
                      </c:pt>
                      <c:pt idx="88" formatCode="General">
                        <c:v>-28.547970297029703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494-4276-8B41-9565859D709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494-4276-8B41-9565859D709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494-4276-8B41-9565859D709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494-4276-8B41-9565859D709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494-4276-8B41-9565859D709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494-4276-8B41-9565859D709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494-4276-8B41-9565859D709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494-4276-8B41-9565859D709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494-4276-8B41-9565859D709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494-4276-8B41-9565859D709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494-4276-8B41-9565859D709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494-4276-8B41-9565859D709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494-4276-8B41-9565859D709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494-4276-8B41-9565859D709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494-4276-8B41-9565859D709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494-4276-8B41-9565859D709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494-4276-8B41-9565859D709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-61.223811881188126</c:v>
                      </c:pt>
                      <c:pt idx="1">
                        <c:v>-60.041782178217822</c:v>
                      </c:pt>
                      <c:pt idx="2">
                        <c:v>-58.972475247524756</c:v>
                      </c:pt>
                      <c:pt idx="3">
                        <c:v>-57.919257425742572</c:v>
                      </c:pt>
                      <c:pt idx="4" formatCode="General">
                        <c:v>-57.107376237623761</c:v>
                      </c:pt>
                      <c:pt idx="5" formatCode="General">
                        <c:v>-56.29549504950495</c:v>
                      </c:pt>
                      <c:pt idx="6" formatCode="General">
                        <c:v>-55.60920792079208</c:v>
                      </c:pt>
                      <c:pt idx="7" formatCode="General">
                        <c:v>-55.030990099009898</c:v>
                      </c:pt>
                      <c:pt idx="8" formatCode="General">
                        <c:v>-54.456210396039602</c:v>
                      </c:pt>
                      <c:pt idx="9" formatCode="General">
                        <c:v>-54.153042079207921</c:v>
                      </c:pt>
                      <c:pt idx="10" formatCode="General">
                        <c:v>-53.849873762376241</c:v>
                      </c:pt>
                      <c:pt idx="11" formatCode="General">
                        <c:v>-53.546705445544553</c:v>
                      </c:pt>
                      <c:pt idx="12" formatCode="General">
                        <c:v>-53.243537128712873</c:v>
                      </c:pt>
                      <c:pt idx="13" formatCode="General">
                        <c:v>-52.940368811881193</c:v>
                      </c:pt>
                      <c:pt idx="14" formatCode="General">
                        <c:v>-52.637200495049505</c:v>
                      </c:pt>
                      <c:pt idx="15" formatCode="General">
                        <c:v>-52.334032178217825</c:v>
                      </c:pt>
                      <c:pt idx="16" formatCode="General">
                        <c:v>-52.030863861386138</c:v>
                      </c:pt>
                      <c:pt idx="17" formatCode="General">
                        <c:v>-51.727695544554457</c:v>
                      </c:pt>
                      <c:pt idx="18" formatCode="General">
                        <c:v>-51.424527227722777</c:v>
                      </c:pt>
                      <c:pt idx="19" formatCode="General">
                        <c:v>-51.271153465346536</c:v>
                      </c:pt>
                      <c:pt idx="20" formatCode="General">
                        <c:v>-51.132143564356433</c:v>
                      </c:pt>
                      <c:pt idx="21" formatCode="General">
                        <c:v>-51.028123762376232</c:v>
                      </c:pt>
                      <c:pt idx="22" formatCode="General">
                        <c:v>-50.97941089108911</c:v>
                      </c:pt>
                      <c:pt idx="23" formatCode="General">
                        <c:v>-50.93069801980198</c:v>
                      </c:pt>
                      <c:pt idx="24" formatCode="General">
                        <c:v>-50.967253731343284</c:v>
                      </c:pt>
                      <c:pt idx="25" formatCode="General">
                        <c:v>-51.017402985074632</c:v>
                      </c:pt>
                      <c:pt idx="26" formatCode="General">
                        <c:v>-51.096574257425743</c:v>
                      </c:pt>
                      <c:pt idx="27" formatCode="General">
                        <c:v>-51.229643564356437</c:v>
                      </c:pt>
                      <c:pt idx="28" formatCode="General">
                        <c:v>-51.36271287128713</c:v>
                      </c:pt>
                      <c:pt idx="29" formatCode="General">
                        <c:v>-51.551000000000002</c:v>
                      </c:pt>
                      <c:pt idx="30" formatCode="General">
                        <c:v>-51.751000000000005</c:v>
                      </c:pt>
                      <c:pt idx="31" formatCode="General">
                        <c:v>-51.958841584158421</c:v>
                      </c:pt>
                      <c:pt idx="32" formatCode="General">
                        <c:v>-52.184980198019801</c:v>
                      </c:pt>
                      <c:pt idx="33" formatCode="General">
                        <c:v>-52.411118811881188</c:v>
                      </c:pt>
                      <c:pt idx="34" formatCode="General">
                        <c:v>-52.649841584158416</c:v>
                      </c:pt>
                      <c:pt idx="35" formatCode="General">
                        <c:v>-52.892217821782182</c:v>
                      </c:pt>
                      <c:pt idx="36" formatCode="General">
                        <c:v>-53.135584158415845</c:v>
                      </c:pt>
                      <c:pt idx="37" formatCode="General">
                        <c:v>-53.381920792079207</c:v>
                      </c:pt>
                      <c:pt idx="38" formatCode="General">
                        <c:v>-53.628257425742575</c:v>
                      </c:pt>
                      <c:pt idx="39" formatCode="General">
                        <c:v>-53.870287128712867</c:v>
                      </c:pt>
                      <c:pt idx="40" formatCode="General">
                        <c:v>-54.110683168316832</c:v>
                      </c:pt>
                      <c:pt idx="41" formatCode="General">
                        <c:v>-54.352742574257434</c:v>
                      </c:pt>
                      <c:pt idx="42" formatCode="General">
                        <c:v>-54.601455445544559</c:v>
                      </c:pt>
                      <c:pt idx="43" formatCode="General">
                        <c:v>-54.850168316831684</c:v>
                      </c:pt>
                      <c:pt idx="44" formatCode="General">
                        <c:v>-55.093801980198023</c:v>
                      </c:pt>
                      <c:pt idx="45" formatCode="General">
                        <c:v>-55.3349900990099</c:v>
                      </c:pt>
                      <c:pt idx="46" formatCode="General">
                        <c:v>-55.576178217821784</c:v>
                      </c:pt>
                      <c:pt idx="47" formatCode="General">
                        <c:v>-55.817366336633661</c:v>
                      </c:pt>
                      <c:pt idx="48" formatCode="General">
                        <c:v>-56.058554455445545</c:v>
                      </c:pt>
                      <c:pt idx="49" formatCode="General">
                        <c:v>-56.29621189591078</c:v>
                      </c:pt>
                      <c:pt idx="50" formatCode="General">
                        <c:v>-56.53175092936803</c:v>
                      </c:pt>
                      <c:pt idx="51" formatCode="General">
                        <c:v>-56.767289962825281</c:v>
                      </c:pt>
                      <c:pt idx="52" formatCode="General">
                        <c:v>-57.002828996282524</c:v>
                      </c:pt>
                      <c:pt idx="53" formatCode="General">
                        <c:v>-57.238368029739775</c:v>
                      </c:pt>
                      <c:pt idx="54" formatCode="General">
                        <c:v>-57.473907063197025</c:v>
                      </c:pt>
                      <c:pt idx="55" formatCode="General">
                        <c:v>-57.709446096654275</c:v>
                      </c:pt>
                      <c:pt idx="56" formatCode="General">
                        <c:v>-57.944985130111519</c:v>
                      </c:pt>
                      <c:pt idx="57" formatCode="General">
                        <c:v>-58.180524163568769</c:v>
                      </c:pt>
                      <c:pt idx="58" formatCode="General">
                        <c:v>-58.41606319702602</c:v>
                      </c:pt>
                      <c:pt idx="59" formatCode="General">
                        <c:v>-58.646922029702971</c:v>
                      </c:pt>
                      <c:pt idx="60" formatCode="General">
                        <c:v>-58.873753712871284</c:v>
                      </c:pt>
                      <c:pt idx="61" formatCode="General">
                        <c:v>-59.100585396039605</c:v>
                      </c:pt>
                      <c:pt idx="62" formatCode="General">
                        <c:v>-59.327417079207919</c:v>
                      </c:pt>
                      <c:pt idx="63" formatCode="General">
                        <c:v>-59.55424876237624</c:v>
                      </c:pt>
                      <c:pt idx="64" formatCode="General">
                        <c:v>-59.781080445544553</c:v>
                      </c:pt>
                      <c:pt idx="65" formatCode="General">
                        <c:v>-60.007912128712874</c:v>
                      </c:pt>
                      <c:pt idx="66" formatCode="General">
                        <c:v>-60.234743811881188</c:v>
                      </c:pt>
                      <c:pt idx="67" formatCode="General">
                        <c:v>-60.461575495049509</c:v>
                      </c:pt>
                      <c:pt idx="68" formatCode="General">
                        <c:v>-60.688407178217822</c:v>
                      </c:pt>
                      <c:pt idx="69" formatCode="General">
                        <c:v>-60.910764560099132</c:v>
                      </c:pt>
                      <c:pt idx="70" formatCode="General">
                        <c:v>-61.127369268897155</c:v>
                      </c:pt>
                      <c:pt idx="71" formatCode="General">
                        <c:v>-61.343973977695171</c:v>
                      </c:pt>
                      <c:pt idx="72" formatCode="General">
                        <c:v>-61.560578686493187</c:v>
                      </c:pt>
                      <c:pt idx="73" formatCode="General">
                        <c:v>-61.777183395291203</c:v>
                      </c:pt>
                      <c:pt idx="74" formatCode="General">
                        <c:v>-61.993788104089219</c:v>
                      </c:pt>
                      <c:pt idx="75" formatCode="General">
                        <c:v>-62.210392812887235</c:v>
                      </c:pt>
                      <c:pt idx="76" formatCode="General">
                        <c:v>-62.426997521685252</c:v>
                      </c:pt>
                      <c:pt idx="77" formatCode="General">
                        <c:v>-62.643602230483268</c:v>
                      </c:pt>
                      <c:pt idx="78" formatCode="General">
                        <c:v>-62.860206939281284</c:v>
                      </c:pt>
                      <c:pt idx="79" formatCode="General">
                        <c:v>-63.074361386138612</c:v>
                      </c:pt>
                      <c:pt idx="80" formatCode="General">
                        <c:v>-63.28396534653465</c:v>
                      </c:pt>
                      <c:pt idx="81" formatCode="General">
                        <c:v>-63.493569306930688</c:v>
                      </c:pt>
                      <c:pt idx="82" formatCode="General">
                        <c:v>-63.703173267326726</c:v>
                      </c:pt>
                      <c:pt idx="83" formatCode="General">
                        <c:v>-63.912777227722771</c:v>
                      </c:pt>
                      <c:pt idx="84" formatCode="General">
                        <c:v>-64.122381188118808</c:v>
                      </c:pt>
                      <c:pt idx="85" formatCode="General">
                        <c:v>-64.331985148514846</c:v>
                      </c:pt>
                      <c:pt idx="86" formatCode="General">
                        <c:v>-64.541589108910884</c:v>
                      </c:pt>
                      <c:pt idx="87" formatCode="General">
                        <c:v>-64.751193069306922</c:v>
                      </c:pt>
                      <c:pt idx="88" formatCode="General">
                        <c:v>-64.96079702970296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494-4276-8B41-9565859D709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-38.701237623762381</c:v>
                      </c:pt>
                      <c:pt idx="1">
                        <c:v>-37.914900990099014</c:v>
                      </c:pt>
                      <c:pt idx="2">
                        <c:v>-37.174306930693071</c:v>
                      </c:pt>
                      <c:pt idx="3">
                        <c:v>-36.438910891089108</c:v>
                      </c:pt>
                      <c:pt idx="4" formatCode="General">
                        <c:v>-35.781485148514847</c:v>
                      </c:pt>
                      <c:pt idx="5" formatCode="General">
                        <c:v>-35.124059405940592</c:v>
                      </c:pt>
                      <c:pt idx="6" formatCode="General">
                        <c:v>-34.515594059405942</c:v>
                      </c:pt>
                      <c:pt idx="7" formatCode="General">
                        <c:v>-33.949257425742573</c:v>
                      </c:pt>
                      <c:pt idx="8" formatCode="General">
                        <c:v>-33.385108910891091</c:v>
                      </c:pt>
                      <c:pt idx="9" formatCode="General">
                        <c:v>-32.993821782178216</c:v>
                      </c:pt>
                      <c:pt idx="10" formatCode="General">
                        <c:v>-32.602534653465348</c:v>
                      </c:pt>
                      <c:pt idx="11" formatCode="General">
                        <c:v>-32.211247524752473</c:v>
                      </c:pt>
                      <c:pt idx="12" formatCode="General">
                        <c:v>-31.819960396039605</c:v>
                      </c:pt>
                      <c:pt idx="13" formatCode="General">
                        <c:v>-31.428673267326733</c:v>
                      </c:pt>
                      <c:pt idx="14" formatCode="General">
                        <c:v>-31.037386138613861</c:v>
                      </c:pt>
                      <c:pt idx="15" formatCode="General">
                        <c:v>-30.64609900990099</c:v>
                      </c:pt>
                      <c:pt idx="16" formatCode="General">
                        <c:v>-30.254811881188118</c:v>
                      </c:pt>
                      <c:pt idx="17" formatCode="General">
                        <c:v>-29.86352475247525</c:v>
                      </c:pt>
                      <c:pt idx="18" formatCode="General">
                        <c:v>-29.472237623762378</c:v>
                      </c:pt>
                      <c:pt idx="19" formatCode="General">
                        <c:v>-29.242490099009903</c:v>
                      </c:pt>
                      <c:pt idx="20" formatCode="General">
                        <c:v>-29.028232673267325</c:v>
                      </c:pt>
                      <c:pt idx="21" formatCode="General">
                        <c:v>-28.850499999999997</c:v>
                      </c:pt>
                      <c:pt idx="22" formatCode="General">
                        <c:v>-28.730499999999999</c:v>
                      </c:pt>
                      <c:pt idx="23" formatCode="General">
                        <c:v>-28.610499999999998</c:v>
                      </c:pt>
                      <c:pt idx="24" formatCode="General">
                        <c:v>-28.568597014925373</c:v>
                      </c:pt>
                      <c:pt idx="25" formatCode="General">
                        <c:v>-28.539144278606965</c:v>
                      </c:pt>
                      <c:pt idx="26" formatCode="General">
                        <c:v>-28.534693069306933</c:v>
                      </c:pt>
                      <c:pt idx="27" formatCode="General">
                        <c:v>-28.576673267326736</c:v>
                      </c:pt>
                      <c:pt idx="28" formatCode="General">
                        <c:v>-28.618653465346537</c:v>
                      </c:pt>
                      <c:pt idx="29" formatCode="General">
                        <c:v>-28.702782178217824</c:v>
                      </c:pt>
                      <c:pt idx="30" formatCode="General">
                        <c:v>-28.795851485148514</c:v>
                      </c:pt>
                      <c:pt idx="31" formatCode="General">
                        <c:v>-28.895574257425743</c:v>
                      </c:pt>
                      <c:pt idx="32" formatCode="General">
                        <c:v>-29.010821782178215</c:v>
                      </c:pt>
                      <c:pt idx="33" formatCode="General">
                        <c:v>-29.126069306930692</c:v>
                      </c:pt>
                      <c:pt idx="34" formatCode="General">
                        <c:v>-29.250831683168315</c:v>
                      </c:pt>
                      <c:pt idx="35" formatCode="General">
                        <c:v>-29.378356435643564</c:v>
                      </c:pt>
                      <c:pt idx="36" formatCode="General">
                        <c:v>-29.506871287128714</c:v>
                      </c:pt>
                      <c:pt idx="37" formatCode="General">
                        <c:v>-29.638356435643566</c:v>
                      </c:pt>
                      <c:pt idx="38" formatCode="General">
                        <c:v>-29.769841584158417</c:v>
                      </c:pt>
                      <c:pt idx="39" formatCode="General">
                        <c:v>-29.899891089108912</c:v>
                      </c:pt>
                      <c:pt idx="40" formatCode="General">
                        <c:v>-30.029396039603963</c:v>
                      </c:pt>
                      <c:pt idx="41" formatCode="General">
                        <c:v>-30.159772277227727</c:v>
                      </c:pt>
                      <c:pt idx="42" formatCode="General">
                        <c:v>-30.293633663366339</c:v>
                      </c:pt>
                      <c:pt idx="43" formatCode="General">
                        <c:v>-30.427495049504952</c:v>
                      </c:pt>
                      <c:pt idx="44" formatCode="General">
                        <c:v>-30.558950495049505</c:v>
                      </c:pt>
                      <c:pt idx="45" formatCode="General">
                        <c:v>-30.689247524752474</c:v>
                      </c:pt>
                      <c:pt idx="46" formatCode="General">
                        <c:v>-30.819544554455444</c:v>
                      </c:pt>
                      <c:pt idx="47" formatCode="General">
                        <c:v>-30.949841584158413</c:v>
                      </c:pt>
                      <c:pt idx="48" formatCode="General">
                        <c:v>-31.080138613861383</c:v>
                      </c:pt>
                      <c:pt idx="49" formatCode="General">
                        <c:v>-31.208677819083022</c:v>
                      </c:pt>
                      <c:pt idx="50" formatCode="General">
                        <c:v>-31.33616232961586</c:v>
                      </c:pt>
                      <c:pt idx="51" formatCode="General">
                        <c:v>-31.463646840148698</c:v>
                      </c:pt>
                      <c:pt idx="52" formatCode="General">
                        <c:v>-31.591131350681536</c:v>
                      </c:pt>
                      <c:pt idx="53" formatCode="General">
                        <c:v>-31.718615861214371</c:v>
                      </c:pt>
                      <c:pt idx="54" formatCode="General">
                        <c:v>-31.846100371747209</c:v>
                      </c:pt>
                      <c:pt idx="55" formatCode="General">
                        <c:v>-31.973584882280047</c:v>
                      </c:pt>
                      <c:pt idx="56" formatCode="General">
                        <c:v>-32.101069392812889</c:v>
                      </c:pt>
                      <c:pt idx="57" formatCode="General">
                        <c:v>-32.228553903345727</c:v>
                      </c:pt>
                      <c:pt idx="58" formatCode="General">
                        <c:v>-32.356038413878558</c:v>
                      </c:pt>
                      <c:pt idx="59" formatCode="General">
                        <c:v>-32.481043316831681</c:v>
                      </c:pt>
                      <c:pt idx="60" formatCode="General">
                        <c:v>-32.603914603960398</c:v>
                      </c:pt>
                      <c:pt idx="61" formatCode="General">
                        <c:v>-32.726785891089108</c:v>
                      </c:pt>
                      <c:pt idx="62" formatCode="General">
                        <c:v>-32.849657178217818</c:v>
                      </c:pt>
                      <c:pt idx="63" formatCode="General">
                        <c:v>-32.972528465346535</c:v>
                      </c:pt>
                      <c:pt idx="64" formatCode="General">
                        <c:v>-33.095399752475245</c:v>
                      </c:pt>
                      <c:pt idx="65" formatCode="General">
                        <c:v>-33.218271039603962</c:v>
                      </c:pt>
                      <c:pt idx="66" formatCode="General">
                        <c:v>-33.341142326732673</c:v>
                      </c:pt>
                      <c:pt idx="67" formatCode="General">
                        <c:v>-33.464013613861383</c:v>
                      </c:pt>
                      <c:pt idx="68" formatCode="General">
                        <c:v>-33.5868849009901</c:v>
                      </c:pt>
                      <c:pt idx="69" formatCode="General">
                        <c:v>-33.707394052044606</c:v>
                      </c:pt>
                      <c:pt idx="70" formatCode="General">
                        <c:v>-33.82486617100372</c:v>
                      </c:pt>
                      <c:pt idx="71" formatCode="General">
                        <c:v>-33.942338289962827</c:v>
                      </c:pt>
                      <c:pt idx="72" formatCode="General">
                        <c:v>-34.059810408921933</c:v>
                      </c:pt>
                      <c:pt idx="73" formatCode="General">
                        <c:v>-34.17728252788104</c:v>
                      </c:pt>
                      <c:pt idx="74" formatCode="General">
                        <c:v>-34.294754646840147</c:v>
                      </c:pt>
                      <c:pt idx="75" formatCode="General">
                        <c:v>-34.412226765799254</c:v>
                      </c:pt>
                      <c:pt idx="76" formatCode="General">
                        <c:v>-34.529698884758368</c:v>
                      </c:pt>
                      <c:pt idx="77" formatCode="General">
                        <c:v>-34.647171003717474</c:v>
                      </c:pt>
                      <c:pt idx="78" formatCode="General">
                        <c:v>-34.764643122676581</c:v>
                      </c:pt>
                      <c:pt idx="79" formatCode="General">
                        <c:v>-34.880747524752479</c:v>
                      </c:pt>
                      <c:pt idx="80" formatCode="General">
                        <c:v>-34.994311881188118</c:v>
                      </c:pt>
                      <c:pt idx="81" formatCode="General">
                        <c:v>-35.107876237623763</c:v>
                      </c:pt>
                      <c:pt idx="82" formatCode="General">
                        <c:v>-35.221440594059409</c:v>
                      </c:pt>
                      <c:pt idx="83" formatCode="General">
                        <c:v>-35.335004950495048</c:v>
                      </c:pt>
                      <c:pt idx="84" formatCode="General">
                        <c:v>-35.448569306930693</c:v>
                      </c:pt>
                      <c:pt idx="85" formatCode="General">
                        <c:v>-35.562133663366339</c:v>
                      </c:pt>
                      <c:pt idx="86" formatCode="General">
                        <c:v>-35.675698019801978</c:v>
                      </c:pt>
                      <c:pt idx="87" formatCode="General">
                        <c:v>-35.789262376237623</c:v>
                      </c:pt>
                      <c:pt idx="88" formatCode="General">
                        <c:v>-35.902826732673269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494-4276-8B41-9565859D7096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494-4276-8B41-9565859D709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494-4276-8B41-9565859D709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494-4276-8B41-9565859D709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494-4276-8B41-9565859D709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494-4276-8B41-9565859D709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494-4276-8B41-9565859D709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-18.611633663366337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-18.610495049504951</c:v>
                      </c:pt>
                      <c:pt idx="4" formatCode="General">
                        <c:v>-18.618415841584159</c:v>
                      </c:pt>
                      <c:pt idx="5" formatCode="General">
                        <c:v>-18.626336633663364</c:v>
                      </c:pt>
                      <c:pt idx="6" formatCode="General">
                        <c:v>-18.634257425742572</c:v>
                      </c:pt>
                      <c:pt idx="7" formatCode="General">
                        <c:v>-18.64217821782178</c:v>
                      </c:pt>
                      <c:pt idx="8" formatCode="General">
                        <c:v>-18.650148514851484</c:v>
                      </c:pt>
                      <c:pt idx="9" formatCode="General">
                        <c:v>-18.662029702970298</c:v>
                      </c:pt>
                      <c:pt idx="10" formatCode="General">
                        <c:v>-18.673910891089108</c:v>
                      </c:pt>
                      <c:pt idx="11" formatCode="General">
                        <c:v>-18.685792079207921</c:v>
                      </c:pt>
                      <c:pt idx="12" formatCode="General">
                        <c:v>-18.697673267326731</c:v>
                      </c:pt>
                      <c:pt idx="13" formatCode="General">
                        <c:v>-18.709554455445545</c:v>
                      </c:pt>
                      <c:pt idx="14" formatCode="General">
                        <c:v>-18.721435643564355</c:v>
                      </c:pt>
                      <c:pt idx="15" formatCode="General">
                        <c:v>-18.733316831683169</c:v>
                      </c:pt>
                      <c:pt idx="16" formatCode="General">
                        <c:v>-18.745198019801979</c:v>
                      </c:pt>
                      <c:pt idx="17" formatCode="General">
                        <c:v>-18.757079207920793</c:v>
                      </c:pt>
                      <c:pt idx="18" formatCode="General">
                        <c:v>-18.768960396039603</c:v>
                      </c:pt>
                      <c:pt idx="19" formatCode="General">
                        <c:v>-18.784455445544555</c:v>
                      </c:pt>
                      <c:pt idx="20" formatCode="General">
                        <c:v>-18.800297029702968</c:v>
                      </c:pt>
                      <c:pt idx="21" formatCode="General">
                        <c:v>-18.814603960396038</c:v>
                      </c:pt>
                      <c:pt idx="22" formatCode="General">
                        <c:v>-18.826485148514852</c:v>
                      </c:pt>
                      <c:pt idx="23" formatCode="General">
                        <c:v>-18.838366336633662</c:v>
                      </c:pt>
                      <c:pt idx="24" formatCode="General">
                        <c:v>-18.853731343283581</c:v>
                      </c:pt>
                      <c:pt idx="25" formatCode="General">
                        <c:v>-18.869651741293531</c:v>
                      </c:pt>
                      <c:pt idx="26" formatCode="General">
                        <c:v>-18.886930693069306</c:v>
                      </c:pt>
                      <c:pt idx="27" formatCode="General">
                        <c:v>-18.906732673267324</c:v>
                      </c:pt>
                      <c:pt idx="28" formatCode="General">
                        <c:v>-18.926534653465346</c:v>
                      </c:pt>
                      <c:pt idx="29" formatCode="General">
                        <c:v>-18.943069306930692</c:v>
                      </c:pt>
                      <c:pt idx="30" formatCode="General">
                        <c:v>-18.958910891089108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494-4276-8B41-9565859D709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-16.178663366336636</c:v>
                      </c:pt>
                      <c:pt idx="1">
                        <c:v>-15.7880198019802</c:v>
                      </c:pt>
                      <c:pt idx="2">
                        <c:v>-15.376138613861388</c:v>
                      </c:pt>
                      <c:pt idx="3">
                        <c:v>-14.958564356435645</c:v>
                      </c:pt>
                      <c:pt idx="4" formatCode="General">
                        <c:v>-14.455594059405941</c:v>
                      </c:pt>
                      <c:pt idx="5" formatCode="General">
                        <c:v>-13.952623762376238</c:v>
                      </c:pt>
                      <c:pt idx="6" formatCode="General">
                        <c:v>-13.421980198019801</c:v>
                      </c:pt>
                      <c:pt idx="7" formatCode="General">
                        <c:v>-12.867524752475246</c:v>
                      </c:pt>
                      <c:pt idx="8" formatCode="General">
                        <c:v>-12.314007425742574</c:v>
                      </c:pt>
                      <c:pt idx="9" formatCode="General">
                        <c:v>-11.834601485148514</c:v>
                      </c:pt>
                      <c:pt idx="10" formatCode="General">
                        <c:v>-11.355195544554455</c:v>
                      </c:pt>
                      <c:pt idx="11" formatCode="General">
                        <c:v>-10.875789603960396</c:v>
                      </c:pt>
                      <c:pt idx="12" formatCode="General">
                        <c:v>-10.396383663366336</c:v>
                      </c:pt>
                      <c:pt idx="13" formatCode="General">
                        <c:v>-9.9169777227722768</c:v>
                      </c:pt>
                      <c:pt idx="14" formatCode="General">
                        <c:v>-9.4375717821782175</c:v>
                      </c:pt>
                      <c:pt idx="15" formatCode="General">
                        <c:v>-8.9581658415841581</c:v>
                      </c:pt>
                      <c:pt idx="16" formatCode="General">
                        <c:v>-8.4787599009900987</c:v>
                      </c:pt>
                      <c:pt idx="17" formatCode="General">
                        <c:v>-7.9993539603960384</c:v>
                      </c:pt>
                      <c:pt idx="18" formatCode="General">
                        <c:v>-7.519948019801979</c:v>
                      </c:pt>
                      <c:pt idx="19" formatCode="General">
                        <c:v>-7.213826732673267</c:v>
                      </c:pt>
                      <c:pt idx="20" formatCode="General">
                        <c:v>-6.9243217821782173</c:v>
                      </c:pt>
                      <c:pt idx="21" formatCode="General">
                        <c:v>-6.672876237623762</c:v>
                      </c:pt>
                      <c:pt idx="22" formatCode="General">
                        <c:v>-6.4815891089108915</c:v>
                      </c:pt>
                      <c:pt idx="23" formatCode="General">
                        <c:v>-6.2903019801980209</c:v>
                      </c:pt>
                      <c:pt idx="24" formatCode="General">
                        <c:v>-6.1699402985074627</c:v>
                      </c:pt>
                      <c:pt idx="25" formatCode="General">
                        <c:v>-6.0608855721393038</c:v>
                      </c:pt>
                      <c:pt idx="26" formatCode="General">
                        <c:v>-5.972811881188119</c:v>
                      </c:pt>
                      <c:pt idx="27" formatCode="General">
                        <c:v>-5.9237029702970299</c:v>
                      </c:pt>
                      <c:pt idx="28" formatCode="General">
                        <c:v>-5.8745940594059398</c:v>
                      </c:pt>
                      <c:pt idx="29" formatCode="General">
                        <c:v>-5.8545643564356435</c:v>
                      </c:pt>
                      <c:pt idx="30" formatCode="General">
                        <c:v>-5.8407029702970297</c:v>
                      </c:pt>
                      <c:pt idx="31" formatCode="General">
                        <c:v>-5.8323069306930693</c:v>
                      </c:pt>
                      <c:pt idx="32" formatCode="General">
                        <c:v>-5.8366633663366336</c:v>
                      </c:pt>
                      <c:pt idx="33" formatCode="General">
                        <c:v>-5.841019801980198</c:v>
                      </c:pt>
                      <c:pt idx="34" formatCode="General">
                        <c:v>-5.8518217821782175</c:v>
                      </c:pt>
                      <c:pt idx="35" formatCode="General">
                        <c:v>-5.8644950495049502</c:v>
                      </c:pt>
                      <c:pt idx="36" formatCode="General">
                        <c:v>-5.8781584158415843</c:v>
                      </c:pt>
                      <c:pt idx="37" formatCode="General">
                        <c:v>-5.8947920792079209</c:v>
                      </c:pt>
                      <c:pt idx="38" formatCode="General">
                        <c:v>-5.9114257425742576</c:v>
                      </c:pt>
                      <c:pt idx="39" formatCode="General">
                        <c:v>-5.9294950495049505</c:v>
                      </c:pt>
                      <c:pt idx="40" formatCode="General">
                        <c:v>-5.9481089108910892</c:v>
                      </c:pt>
                      <c:pt idx="41" formatCode="General">
                        <c:v>-5.9668019801980199</c:v>
                      </c:pt>
                      <c:pt idx="42" formatCode="General">
                        <c:v>-5.9858118811881189</c:v>
                      </c:pt>
                      <c:pt idx="43" formatCode="General">
                        <c:v>-6.0048217821782179</c:v>
                      </c:pt>
                      <c:pt idx="44" formatCode="General">
                        <c:v>-6.0240990099009899</c:v>
                      </c:pt>
                      <c:pt idx="45" formatCode="General">
                        <c:v>-6.0435049504950493</c:v>
                      </c:pt>
                      <c:pt idx="46" formatCode="General">
                        <c:v>-6.0629108910891087</c:v>
                      </c:pt>
                      <c:pt idx="47" formatCode="General">
                        <c:v>-6.0823168316831682</c:v>
                      </c:pt>
                      <c:pt idx="48" formatCode="General">
                        <c:v>-6.1017227722772276</c:v>
                      </c:pt>
                      <c:pt idx="49" formatCode="General">
                        <c:v>-6.1211437422552661</c:v>
                      </c:pt>
                      <c:pt idx="50" formatCode="General">
                        <c:v>-6.1405737298636929</c:v>
                      </c:pt>
                      <c:pt idx="51" formatCode="General">
                        <c:v>-6.1600037174721187</c:v>
                      </c:pt>
                      <c:pt idx="52" formatCode="General">
                        <c:v>-6.1794337050805455</c:v>
                      </c:pt>
                      <c:pt idx="53" formatCode="General">
                        <c:v>-6.1988636926889713</c:v>
                      </c:pt>
                      <c:pt idx="54" formatCode="General">
                        <c:v>-6.2182936802973972</c:v>
                      </c:pt>
                      <c:pt idx="55" formatCode="General">
                        <c:v>-6.2377236679058239</c:v>
                      </c:pt>
                      <c:pt idx="56" formatCode="General">
                        <c:v>-6.2571536555142497</c:v>
                      </c:pt>
                      <c:pt idx="57" formatCode="General">
                        <c:v>-6.2765836431226765</c:v>
                      </c:pt>
                      <c:pt idx="58" formatCode="General">
                        <c:v>-6.2960136307311023</c:v>
                      </c:pt>
                      <c:pt idx="59" formatCode="General">
                        <c:v>-6.3151646039603957</c:v>
                      </c:pt>
                      <c:pt idx="60" formatCode="General">
                        <c:v>-6.3340754950495048</c:v>
                      </c:pt>
                      <c:pt idx="61" formatCode="General">
                        <c:v>-6.352986386138614</c:v>
                      </c:pt>
                      <c:pt idx="62" formatCode="General">
                        <c:v>-6.3718972772277223</c:v>
                      </c:pt>
                      <c:pt idx="63" formatCode="General">
                        <c:v>-6.3908081683168314</c:v>
                      </c:pt>
                      <c:pt idx="64" formatCode="General">
                        <c:v>-6.4097190594059406</c:v>
                      </c:pt>
                      <c:pt idx="65" formatCode="General">
                        <c:v>-6.4286299504950497</c:v>
                      </c:pt>
                      <c:pt idx="66" formatCode="General">
                        <c:v>-6.4475408415841589</c:v>
                      </c:pt>
                      <c:pt idx="67" formatCode="General">
                        <c:v>-6.466451732673268</c:v>
                      </c:pt>
                      <c:pt idx="68" formatCode="General">
                        <c:v>-6.4853626237623763</c:v>
                      </c:pt>
                      <c:pt idx="69" formatCode="General">
                        <c:v>-6.5040235439900869</c:v>
                      </c:pt>
                      <c:pt idx="70" formatCode="General">
                        <c:v>-6.5223630731102853</c:v>
                      </c:pt>
                      <c:pt idx="71" formatCode="General">
                        <c:v>-6.5407026022304837</c:v>
                      </c:pt>
                      <c:pt idx="72" formatCode="General">
                        <c:v>-6.5590421313506821</c:v>
                      </c:pt>
                      <c:pt idx="73" formatCode="General">
                        <c:v>-6.5773816604708797</c:v>
                      </c:pt>
                      <c:pt idx="74" formatCode="General">
                        <c:v>-6.5957211895910781</c:v>
                      </c:pt>
                      <c:pt idx="75" formatCode="General">
                        <c:v>-6.6140607187112765</c:v>
                      </c:pt>
                      <c:pt idx="76" formatCode="General">
                        <c:v>-6.632400247831475</c:v>
                      </c:pt>
                      <c:pt idx="77" formatCode="General">
                        <c:v>-6.6507397769516725</c:v>
                      </c:pt>
                      <c:pt idx="78" formatCode="General">
                        <c:v>-6.6690793060718709</c:v>
                      </c:pt>
                      <c:pt idx="79" formatCode="General">
                        <c:v>-6.6871336633663363</c:v>
                      </c:pt>
                      <c:pt idx="80" formatCode="General">
                        <c:v>-6.7046584158415845</c:v>
                      </c:pt>
                      <c:pt idx="81" formatCode="General">
                        <c:v>-6.7221831683168318</c:v>
                      </c:pt>
                      <c:pt idx="82" formatCode="General">
                        <c:v>-6.7397079207920791</c:v>
                      </c:pt>
                      <c:pt idx="83" formatCode="General">
                        <c:v>-6.7572326732673265</c:v>
                      </c:pt>
                      <c:pt idx="84" formatCode="General">
                        <c:v>-6.7747574257425738</c:v>
                      </c:pt>
                      <c:pt idx="85" formatCode="General">
                        <c:v>-6.7922821782178211</c:v>
                      </c:pt>
                      <c:pt idx="86" formatCode="General">
                        <c:v>-6.8098069306930693</c:v>
                      </c:pt>
                      <c:pt idx="87" formatCode="General">
                        <c:v>-6.8273316831683166</c:v>
                      </c:pt>
                      <c:pt idx="88" formatCode="General">
                        <c:v>-6.8448564356435639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494-4276-8B41-9565859D709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-22.522574257425745</c:v>
                      </c:pt>
                      <c:pt idx="1">
                        <c:v>-22.126881188118812</c:v>
                      </c:pt>
                      <c:pt idx="2">
                        <c:v>-21.798168316831681</c:v>
                      </c:pt>
                      <c:pt idx="3">
                        <c:v>-21.480346534653464</c:v>
                      </c:pt>
                      <c:pt idx="4" formatCode="General">
                        <c:v>-21.325891089108911</c:v>
                      </c:pt>
                      <c:pt idx="5" formatCode="General">
                        <c:v>-21.171435643564358</c:v>
                      </c:pt>
                      <c:pt idx="6" formatCode="General">
                        <c:v>-21.093613861386139</c:v>
                      </c:pt>
                      <c:pt idx="7" formatCode="General">
                        <c:v>-21.081732673267329</c:v>
                      </c:pt>
                      <c:pt idx="8" formatCode="General">
                        <c:v>-21.071101485148514</c:v>
                      </c:pt>
                      <c:pt idx="9" formatCode="General">
                        <c:v>-21.159220297029705</c:v>
                      </c:pt>
                      <c:pt idx="10" formatCode="General">
                        <c:v>-21.247339108910893</c:v>
                      </c:pt>
                      <c:pt idx="11" formatCode="General">
                        <c:v>-21.335457920792081</c:v>
                      </c:pt>
                      <c:pt idx="12" formatCode="General">
                        <c:v>-21.423576732673268</c:v>
                      </c:pt>
                      <c:pt idx="13" formatCode="General">
                        <c:v>-21.511695544554456</c:v>
                      </c:pt>
                      <c:pt idx="14" formatCode="General">
                        <c:v>-21.599814356435644</c:v>
                      </c:pt>
                      <c:pt idx="15" formatCode="General">
                        <c:v>-21.687933168316832</c:v>
                      </c:pt>
                      <c:pt idx="16" formatCode="General">
                        <c:v>-21.776051980198019</c:v>
                      </c:pt>
                      <c:pt idx="17" formatCode="General">
                        <c:v>-21.864170792079207</c:v>
                      </c:pt>
                      <c:pt idx="18" formatCode="General">
                        <c:v>-21.952289603960399</c:v>
                      </c:pt>
                      <c:pt idx="19" formatCode="General">
                        <c:v>-22.028663366336634</c:v>
                      </c:pt>
                      <c:pt idx="20" formatCode="General">
                        <c:v>-22.103910891089107</c:v>
                      </c:pt>
                      <c:pt idx="21" formatCode="General">
                        <c:v>-22.177623762376236</c:v>
                      </c:pt>
                      <c:pt idx="22" formatCode="General">
                        <c:v>-22.248910891089107</c:v>
                      </c:pt>
                      <c:pt idx="23" formatCode="General">
                        <c:v>-22.320198019801978</c:v>
                      </c:pt>
                      <c:pt idx="24" formatCode="General">
                        <c:v>-22.398656716417911</c:v>
                      </c:pt>
                      <c:pt idx="25" formatCode="General">
                        <c:v>-22.478258706467663</c:v>
                      </c:pt>
                      <c:pt idx="26" formatCode="General">
                        <c:v>-22.561881188118814</c:v>
                      </c:pt>
                      <c:pt idx="27" formatCode="General">
                        <c:v>-22.652970297029704</c:v>
                      </c:pt>
                      <c:pt idx="28" formatCode="General">
                        <c:v>-22.744059405940597</c:v>
                      </c:pt>
                      <c:pt idx="29" formatCode="General">
                        <c:v>-22.848217821782178</c:v>
                      </c:pt>
                      <c:pt idx="30" formatCode="General">
                        <c:v>-22.955148514851487</c:v>
                      </c:pt>
                      <c:pt idx="31" formatCode="General">
                        <c:v>-23.063267326732674</c:v>
                      </c:pt>
                      <c:pt idx="32" formatCode="General">
                        <c:v>-23.174158415841585</c:v>
                      </c:pt>
                      <c:pt idx="33" formatCode="General">
                        <c:v>-23.285049504950493</c:v>
                      </c:pt>
                      <c:pt idx="34" formatCode="General">
                        <c:v>-23.399009900990098</c:v>
                      </c:pt>
                      <c:pt idx="35" formatCode="General">
                        <c:v>-23.513861386138615</c:v>
                      </c:pt>
                      <c:pt idx="36" formatCode="General">
                        <c:v>-23.628712871287131</c:v>
                      </c:pt>
                      <c:pt idx="37" formatCode="General">
                        <c:v>-23.743564356435645</c:v>
                      </c:pt>
                      <c:pt idx="38" formatCode="General">
                        <c:v>-23.858415841584158</c:v>
                      </c:pt>
                      <c:pt idx="39" formatCode="General">
                        <c:v>-23.970396039603962</c:v>
                      </c:pt>
                      <c:pt idx="40" formatCode="General">
                        <c:v>-24.081287128712873</c:v>
                      </c:pt>
                      <c:pt idx="41" formatCode="General">
                        <c:v>-24.192970297029706</c:v>
                      </c:pt>
                      <c:pt idx="42" formatCode="General">
                        <c:v>-24.30782178217822</c:v>
                      </c:pt>
                      <c:pt idx="43" formatCode="General">
                        <c:v>-24.422673267326733</c:v>
                      </c:pt>
                      <c:pt idx="44" formatCode="General">
                        <c:v>-24.534851485148515</c:v>
                      </c:pt>
                      <c:pt idx="45" formatCode="General">
                        <c:v>-24.645742574257426</c:v>
                      </c:pt>
                      <c:pt idx="46" formatCode="General">
                        <c:v>-24.756633663366337</c:v>
                      </c:pt>
                      <c:pt idx="47" formatCode="General">
                        <c:v>-24.867524752475248</c:v>
                      </c:pt>
                      <c:pt idx="48" formatCode="General">
                        <c:v>-24.978415841584159</c:v>
                      </c:pt>
                      <c:pt idx="49" formatCode="General">
                        <c:v>-25.087534076827758</c:v>
                      </c:pt>
                      <c:pt idx="50" formatCode="General">
                        <c:v>-25.195588599752167</c:v>
                      </c:pt>
                      <c:pt idx="51" formatCode="General">
                        <c:v>-25.303643122676579</c:v>
                      </c:pt>
                      <c:pt idx="52" formatCode="General">
                        <c:v>-25.411697645600992</c:v>
                      </c:pt>
                      <c:pt idx="53" formatCode="General">
                        <c:v>-25.5197521685254</c:v>
                      </c:pt>
                      <c:pt idx="54" formatCode="General">
                        <c:v>-25.627806691449813</c:v>
                      </c:pt>
                      <c:pt idx="55" formatCode="General">
                        <c:v>-25.735861214374225</c:v>
                      </c:pt>
                      <c:pt idx="56" formatCode="General">
                        <c:v>-25.843915737298637</c:v>
                      </c:pt>
                      <c:pt idx="57" formatCode="General">
                        <c:v>-25.951970260223046</c:v>
                      </c:pt>
                      <c:pt idx="58" formatCode="General">
                        <c:v>-26.060024783147458</c:v>
                      </c:pt>
                      <c:pt idx="59" formatCode="General">
                        <c:v>-26.165878712871287</c:v>
                      </c:pt>
                      <c:pt idx="60" formatCode="General">
                        <c:v>-26.26983910891089</c:v>
                      </c:pt>
                      <c:pt idx="61" formatCode="General">
                        <c:v>-26.373799504950494</c:v>
                      </c:pt>
                      <c:pt idx="62" formatCode="General">
                        <c:v>-26.477759900990097</c:v>
                      </c:pt>
                      <c:pt idx="63" formatCode="General">
                        <c:v>-26.581720297029701</c:v>
                      </c:pt>
                      <c:pt idx="64" formatCode="General">
                        <c:v>-26.685680693069308</c:v>
                      </c:pt>
                      <c:pt idx="65" formatCode="General">
                        <c:v>-26.789641089108912</c:v>
                      </c:pt>
                      <c:pt idx="66" formatCode="General">
                        <c:v>-26.893601485148515</c:v>
                      </c:pt>
                      <c:pt idx="67" formatCode="General">
                        <c:v>-26.997561881188119</c:v>
                      </c:pt>
                      <c:pt idx="68" formatCode="General">
                        <c:v>-27.101522277227723</c:v>
                      </c:pt>
                      <c:pt idx="69" formatCode="General">
                        <c:v>-27.203370508054523</c:v>
                      </c:pt>
                      <c:pt idx="70" formatCode="General">
                        <c:v>-27.302503097893432</c:v>
                      </c:pt>
                      <c:pt idx="71" formatCode="General">
                        <c:v>-27.401635687732341</c:v>
                      </c:pt>
                      <c:pt idx="72" formatCode="General">
                        <c:v>-27.50076827757125</c:v>
                      </c:pt>
                      <c:pt idx="73" formatCode="General">
                        <c:v>-27.59990086741016</c:v>
                      </c:pt>
                      <c:pt idx="74" formatCode="General">
                        <c:v>-27.699033457249069</c:v>
                      </c:pt>
                      <c:pt idx="75" formatCode="General">
                        <c:v>-27.798166047087982</c:v>
                      </c:pt>
                      <c:pt idx="76" formatCode="General">
                        <c:v>-27.897298636926891</c:v>
                      </c:pt>
                      <c:pt idx="77" formatCode="General">
                        <c:v>-27.9964312267658</c:v>
                      </c:pt>
                      <c:pt idx="78" formatCode="General">
                        <c:v>-28.095563816604709</c:v>
                      </c:pt>
                      <c:pt idx="79" formatCode="General">
                        <c:v>-28.193613861386137</c:v>
                      </c:pt>
                      <c:pt idx="80" formatCode="General">
                        <c:v>-28.289653465346536</c:v>
                      </c:pt>
                      <c:pt idx="81" formatCode="General">
                        <c:v>-28.385693069306932</c:v>
                      </c:pt>
                      <c:pt idx="82" formatCode="General">
                        <c:v>-28.481732673267327</c:v>
                      </c:pt>
                      <c:pt idx="83" formatCode="General">
                        <c:v>-28.577772277227723</c:v>
                      </c:pt>
                      <c:pt idx="84" formatCode="General">
                        <c:v>-28.673811881188119</c:v>
                      </c:pt>
                      <c:pt idx="85" formatCode="General">
                        <c:v>-28.769851485148514</c:v>
                      </c:pt>
                      <c:pt idx="86" formatCode="General">
                        <c:v>-28.86589108910891</c:v>
                      </c:pt>
                      <c:pt idx="87" formatCode="General">
                        <c:v>-28.961930693069306</c:v>
                      </c:pt>
                      <c:pt idx="88" formatCode="General">
                        <c:v>-29.057970297029701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494-4276-8B41-9565859D709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 formatCode="General">
                        <c:v>-18.875838323353292</c:v>
                      </c:pt>
                      <c:pt idx="5" formatCode="General">
                        <c:v>-18.883023952095808</c:v>
                      </c:pt>
                      <c:pt idx="6" formatCode="General">
                        <c:v>-18.890209580838324</c:v>
                      </c:pt>
                      <c:pt idx="7" formatCode="General">
                        <c:v>-18.897395209580836</c:v>
                      </c:pt>
                      <c:pt idx="8" formatCode="General">
                        <c:v>-18.906107784431136</c:v>
                      </c:pt>
                      <c:pt idx="9" formatCode="General">
                        <c:v>-18.915688622754491</c:v>
                      </c:pt>
                      <c:pt idx="10" formatCode="General">
                        <c:v>-18.925269461077846</c:v>
                      </c:pt>
                      <c:pt idx="11" formatCode="General">
                        <c:v>-18.934850299401198</c:v>
                      </c:pt>
                      <c:pt idx="12" formatCode="General">
                        <c:v>-18.945538922155688</c:v>
                      </c:pt>
                      <c:pt idx="13" formatCode="General">
                        <c:v>-18.957514970059879</c:v>
                      </c:pt>
                      <c:pt idx="14" formatCode="General">
                        <c:v>-18.969491017964071</c:v>
                      </c:pt>
                      <c:pt idx="15" formatCode="General">
                        <c:v>-18.981467065868262</c:v>
                      </c:pt>
                      <c:pt idx="16" formatCode="General">
                        <c:v>-18.993443113772454</c:v>
                      </c:pt>
                      <c:pt idx="17" formatCode="General">
                        <c:v>-19.005419161676645</c:v>
                      </c:pt>
                      <c:pt idx="18" formatCode="General">
                        <c:v>-19.017395209580837</c:v>
                      </c:pt>
                      <c:pt idx="19" formatCode="General">
                        <c:v>-19.029371257485028</c:v>
                      </c:pt>
                      <c:pt idx="20" formatCode="General">
                        <c:v>-19.040808383233532</c:v>
                      </c:pt>
                      <c:pt idx="21" formatCode="General">
                        <c:v>-19.047994011976048</c:v>
                      </c:pt>
                      <c:pt idx="22" formatCode="General">
                        <c:v>-19.055179640718563</c:v>
                      </c:pt>
                      <c:pt idx="23" formatCode="General">
                        <c:v>-19.062365269461079</c:v>
                      </c:pt>
                      <c:pt idx="24" formatCode="General">
                        <c:v>-19.069550898203595</c:v>
                      </c:pt>
                      <c:pt idx="25" formatCode="General">
                        <c:v>-19.045225225225227</c:v>
                      </c:pt>
                      <c:pt idx="26" formatCode="General">
                        <c:v>-19.018798798798798</c:v>
                      </c:pt>
                      <c:pt idx="27" formatCode="General">
                        <c:v>-18.992372372372373</c:v>
                      </c:pt>
                      <c:pt idx="28" formatCode="General">
                        <c:v>-18.965945945945947</c:v>
                      </c:pt>
                      <c:pt idx="29" formatCode="General">
                        <c:v>-18.972994011976049</c:v>
                      </c:pt>
                      <c:pt idx="30" formatCode="General">
                        <c:v>-18.989760479041916</c:v>
                      </c:pt>
                      <c:pt idx="31" formatCode="General">
                        <c:v>-19.006526946107787</c:v>
                      </c:pt>
                      <c:pt idx="32" formatCode="General">
                        <c:v>-19.023293413173654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494-4276-8B41-9565859D709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 formatCode="General">
                        <c:v>-52.494700598802396</c:v>
                      </c:pt>
                      <c:pt idx="5" formatCode="General">
                        <c:v>-50.863562874251492</c:v>
                      </c:pt>
                      <c:pt idx="6" formatCode="General">
                        <c:v>-49.232425149700596</c:v>
                      </c:pt>
                      <c:pt idx="7" formatCode="General">
                        <c:v>-47.601287425149692</c:v>
                      </c:pt>
                      <c:pt idx="8" formatCode="General">
                        <c:v>-46.077035928143708</c:v>
                      </c:pt>
                      <c:pt idx="9" formatCode="General">
                        <c:v>-44.613562874251492</c:v>
                      </c:pt>
                      <c:pt idx="10" formatCode="General">
                        <c:v>-43.150089820359277</c:v>
                      </c:pt>
                      <c:pt idx="11" formatCode="General">
                        <c:v>-41.686616766467068</c:v>
                      </c:pt>
                      <c:pt idx="12" formatCode="General">
                        <c:v>-40.325059880239522</c:v>
                      </c:pt>
                      <c:pt idx="13" formatCode="General">
                        <c:v>-39.081946107784432</c:v>
                      </c:pt>
                      <c:pt idx="14" formatCode="General">
                        <c:v>-37.838832335329343</c:v>
                      </c:pt>
                      <c:pt idx="15" formatCode="General">
                        <c:v>-36.595718562874254</c:v>
                      </c:pt>
                      <c:pt idx="16" formatCode="General">
                        <c:v>-35.412514970059881</c:v>
                      </c:pt>
                      <c:pt idx="17" formatCode="General">
                        <c:v>-34.377784431137727</c:v>
                      </c:pt>
                      <c:pt idx="18" formatCode="General">
                        <c:v>-33.343053892215572</c:v>
                      </c:pt>
                      <c:pt idx="19" formatCode="General">
                        <c:v>-32.308323353293417</c:v>
                      </c:pt>
                      <c:pt idx="20" formatCode="General">
                        <c:v>-31.289491017964075</c:v>
                      </c:pt>
                      <c:pt idx="21" formatCode="General">
                        <c:v>-30.396077844311378</c:v>
                      </c:pt>
                      <c:pt idx="22" formatCode="General">
                        <c:v>-29.502664670658685</c:v>
                      </c:pt>
                      <c:pt idx="23" formatCode="General">
                        <c:v>-28.609251497005989</c:v>
                      </c:pt>
                      <c:pt idx="24" formatCode="General">
                        <c:v>-27.715838323353292</c:v>
                      </c:pt>
                      <c:pt idx="25" formatCode="General">
                        <c:v>-27.464054054054053</c:v>
                      </c:pt>
                      <c:pt idx="26" formatCode="General">
                        <c:v>-27.255045045045044</c:v>
                      </c:pt>
                      <c:pt idx="27" formatCode="General">
                        <c:v>-27.046036036036035</c:v>
                      </c:pt>
                      <c:pt idx="28" formatCode="General">
                        <c:v>-26.837027027027027</c:v>
                      </c:pt>
                      <c:pt idx="29" formatCode="General">
                        <c:v>-27.03502994011976</c:v>
                      </c:pt>
                      <c:pt idx="30" formatCode="General">
                        <c:v>-27.351197604790418</c:v>
                      </c:pt>
                      <c:pt idx="31" formatCode="General">
                        <c:v>-27.667365269461076</c:v>
                      </c:pt>
                      <c:pt idx="32" formatCode="General">
                        <c:v>-27.983532934131734</c:v>
                      </c:pt>
                      <c:pt idx="33" formatCode="General">
                        <c:v>-28.296826347305387</c:v>
                      </c:pt>
                      <c:pt idx="34" formatCode="General">
                        <c:v>-28.60820359281437</c:v>
                      </c:pt>
                      <c:pt idx="35" formatCode="General">
                        <c:v>-28.919580838323352</c:v>
                      </c:pt>
                      <c:pt idx="36" formatCode="General">
                        <c:v>-29.230958083832334</c:v>
                      </c:pt>
                      <c:pt idx="37" formatCode="General">
                        <c:v>-29.540299401197604</c:v>
                      </c:pt>
                      <c:pt idx="38" formatCode="General">
                        <c:v>-29.84688622754491</c:v>
                      </c:pt>
                      <c:pt idx="39" formatCode="General">
                        <c:v>-30.153473053892217</c:v>
                      </c:pt>
                      <c:pt idx="40" formatCode="General">
                        <c:v>-30.460059880239523</c:v>
                      </c:pt>
                      <c:pt idx="41" formatCode="General">
                        <c:v>-30.7648502994012</c:v>
                      </c:pt>
                      <c:pt idx="42" formatCode="General">
                        <c:v>-31.064251497005991</c:v>
                      </c:pt>
                      <c:pt idx="43" formatCode="General">
                        <c:v>-31.363652694610781</c:v>
                      </c:pt>
                      <c:pt idx="44" formatCode="General">
                        <c:v>-31.663053892215572</c:v>
                      </c:pt>
                      <c:pt idx="45" formatCode="General">
                        <c:v>-31.961916167664672</c:v>
                      </c:pt>
                      <c:pt idx="46" formatCode="General">
                        <c:v>-32.254131736526951</c:v>
                      </c:pt>
                      <c:pt idx="47" formatCode="General">
                        <c:v>-32.546347305389219</c:v>
                      </c:pt>
                      <c:pt idx="48" formatCode="General">
                        <c:v>-32.838562874251494</c:v>
                      </c:pt>
                      <c:pt idx="49" formatCode="General">
                        <c:v>-33.130778443113769</c:v>
                      </c:pt>
                      <c:pt idx="50" formatCode="General">
                        <c:v>-33.403235955056175</c:v>
                      </c:pt>
                      <c:pt idx="51" formatCode="General">
                        <c:v>-33.673498127340821</c:v>
                      </c:pt>
                      <c:pt idx="52" formatCode="General">
                        <c:v>-33.943760299625467</c:v>
                      </c:pt>
                      <c:pt idx="53" formatCode="General">
                        <c:v>-34.214022471910113</c:v>
                      </c:pt>
                      <c:pt idx="54" formatCode="General">
                        <c:v>-34.484284644194759</c:v>
                      </c:pt>
                      <c:pt idx="55" formatCode="General">
                        <c:v>-34.754546816479397</c:v>
                      </c:pt>
                      <c:pt idx="56" formatCode="General">
                        <c:v>-35.024808988764043</c:v>
                      </c:pt>
                      <c:pt idx="57" formatCode="General">
                        <c:v>-35.295071161048689</c:v>
                      </c:pt>
                      <c:pt idx="58" formatCode="General">
                        <c:v>-35.565333333333335</c:v>
                      </c:pt>
                      <c:pt idx="59" formatCode="General">
                        <c:v>-35.835595505617981</c:v>
                      </c:pt>
                      <c:pt idx="60" formatCode="General">
                        <c:v>-36.10585767790262</c:v>
                      </c:pt>
                      <c:pt idx="61" formatCode="General">
                        <c:v>-36.376119850187266</c:v>
                      </c:pt>
                      <c:pt idx="62" formatCode="General">
                        <c:v>-36.646382022471911</c:v>
                      </c:pt>
                      <c:pt idx="63" formatCode="General">
                        <c:v>-36.916644194756557</c:v>
                      </c:pt>
                      <c:pt idx="64" formatCode="General">
                        <c:v>-37.186906367041203</c:v>
                      </c:pt>
                      <c:pt idx="65" formatCode="General">
                        <c:v>-37.457168539325849</c:v>
                      </c:pt>
                      <c:pt idx="66" formatCode="General">
                        <c:v>-37.717880149812736</c:v>
                      </c:pt>
                      <c:pt idx="67" formatCode="General">
                        <c:v>-37.943198501872665</c:v>
                      </c:pt>
                      <c:pt idx="68" formatCode="General">
                        <c:v>-38.168516853932587</c:v>
                      </c:pt>
                      <c:pt idx="69" formatCode="General">
                        <c:v>-38.393835205992509</c:v>
                      </c:pt>
                      <c:pt idx="70" formatCode="General">
                        <c:v>-38.619153558052439</c:v>
                      </c:pt>
                      <c:pt idx="71" formatCode="General">
                        <c:v>-38.844471910112361</c:v>
                      </c:pt>
                      <c:pt idx="72" formatCode="General">
                        <c:v>-39.06979026217229</c:v>
                      </c:pt>
                      <c:pt idx="73" formatCode="General">
                        <c:v>-39.295108614232213</c:v>
                      </c:pt>
                      <c:pt idx="74" formatCode="General">
                        <c:v>-39.520426966292135</c:v>
                      </c:pt>
                      <c:pt idx="75" formatCode="General">
                        <c:v>-39.745745318352064</c:v>
                      </c:pt>
                      <c:pt idx="76" formatCode="General">
                        <c:v>-39.971063670411986</c:v>
                      </c:pt>
                      <c:pt idx="77" formatCode="General">
                        <c:v>-40.196382022471909</c:v>
                      </c:pt>
                      <c:pt idx="78" formatCode="General">
                        <c:v>-40.421700374531838</c:v>
                      </c:pt>
                      <c:pt idx="79" formatCode="General">
                        <c:v>-40.64701872659176</c:v>
                      </c:pt>
                      <c:pt idx="80" formatCode="General">
                        <c:v>-40.87233707865169</c:v>
                      </c:pt>
                      <c:pt idx="81" formatCode="General">
                        <c:v>-41.097655430711612</c:v>
                      </c:pt>
                      <c:pt idx="82" formatCode="General">
                        <c:v>-41.322973782771534</c:v>
                      </c:pt>
                      <c:pt idx="83" formatCode="General">
                        <c:v>-41.521441441441439</c:v>
                      </c:pt>
                      <c:pt idx="84" formatCode="General">
                        <c:v>-41.695615615615615</c:v>
                      </c:pt>
                      <c:pt idx="85" formatCode="General">
                        <c:v>-41.869789789789792</c:v>
                      </c:pt>
                      <c:pt idx="86" formatCode="General">
                        <c:v>-42.043963963963961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494-4276-8B41-9565859D709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 formatCode="General">
                        <c:v>-13.456826347305389</c:v>
                      </c:pt>
                      <c:pt idx="5" formatCode="General">
                        <c:v>-12.886766467065867</c:v>
                      </c:pt>
                      <c:pt idx="6" formatCode="General">
                        <c:v>-12.316706586826346</c:v>
                      </c:pt>
                      <c:pt idx="7" formatCode="General">
                        <c:v>-11.746646706586823</c:v>
                      </c:pt>
                      <c:pt idx="8" formatCode="General">
                        <c:v>-11.204988023952094</c:v>
                      </c:pt>
                      <c:pt idx="9" formatCode="General">
                        <c:v>-10.679479041916167</c:v>
                      </c:pt>
                      <c:pt idx="10" formatCode="General">
                        <c:v>-10.153970059880239</c:v>
                      </c:pt>
                      <c:pt idx="11" formatCode="General">
                        <c:v>-9.628461077844312</c:v>
                      </c:pt>
                      <c:pt idx="12" formatCode="General">
                        <c:v>-9.1539101796407198</c:v>
                      </c:pt>
                      <c:pt idx="13" formatCode="General">
                        <c:v>-8.7385808383233528</c:v>
                      </c:pt>
                      <c:pt idx="14" formatCode="General">
                        <c:v>-8.3232514970059874</c:v>
                      </c:pt>
                      <c:pt idx="15" formatCode="General">
                        <c:v>-7.9079221556886221</c:v>
                      </c:pt>
                      <c:pt idx="16" formatCode="General">
                        <c:v>-7.5390748502994009</c:v>
                      </c:pt>
                      <c:pt idx="17" formatCode="General">
                        <c:v>-7.2854221556886225</c:v>
                      </c:pt>
                      <c:pt idx="18" formatCode="General">
                        <c:v>-7.031769461077845</c:v>
                      </c:pt>
                      <c:pt idx="19" formatCode="General">
                        <c:v>-6.7781167664670665</c:v>
                      </c:pt>
                      <c:pt idx="20" formatCode="General">
                        <c:v>-6.5428413173652693</c:v>
                      </c:pt>
                      <c:pt idx="21" formatCode="General">
                        <c:v>-6.4525419161676645</c:v>
                      </c:pt>
                      <c:pt idx="22" formatCode="General">
                        <c:v>-6.3622425149700597</c:v>
                      </c:pt>
                      <c:pt idx="23" formatCode="General">
                        <c:v>-6.2719431137724548</c:v>
                      </c:pt>
                      <c:pt idx="24" formatCode="General">
                        <c:v>-6.18164371257485</c:v>
                      </c:pt>
                      <c:pt idx="25" formatCode="General">
                        <c:v>-6.3239729729729737</c:v>
                      </c:pt>
                      <c:pt idx="26" formatCode="General">
                        <c:v>-6.4818108108108117</c:v>
                      </c:pt>
                      <c:pt idx="27" formatCode="General">
                        <c:v>-6.6396486486486497</c:v>
                      </c:pt>
                      <c:pt idx="28" formatCode="General">
                        <c:v>-6.7974864864864877</c:v>
                      </c:pt>
                      <c:pt idx="29" formatCode="General">
                        <c:v>-6.8348562874251497</c:v>
                      </c:pt>
                      <c:pt idx="30" formatCode="General">
                        <c:v>-6.8372514970059886</c:v>
                      </c:pt>
                      <c:pt idx="31" formatCode="General">
                        <c:v>-6.8396467065868265</c:v>
                      </c:pt>
                      <c:pt idx="32" formatCode="General">
                        <c:v>-6.8420419161676644</c:v>
                      </c:pt>
                      <c:pt idx="33" formatCode="General">
                        <c:v>-6.8517664670658682</c:v>
                      </c:pt>
                      <c:pt idx="34" formatCode="General">
                        <c:v>-6.866377245508982</c:v>
                      </c:pt>
                      <c:pt idx="35" formatCode="General">
                        <c:v>-6.8809880239520957</c:v>
                      </c:pt>
                      <c:pt idx="36" formatCode="General">
                        <c:v>-6.8955988023952095</c:v>
                      </c:pt>
                      <c:pt idx="37" formatCode="General">
                        <c:v>-6.911838323353293</c:v>
                      </c:pt>
                      <c:pt idx="38" formatCode="General">
                        <c:v>-6.930281437125748</c:v>
                      </c:pt>
                      <c:pt idx="39" formatCode="General">
                        <c:v>-6.9487245508982038</c:v>
                      </c:pt>
                      <c:pt idx="40" formatCode="General">
                        <c:v>-6.9671676646706588</c:v>
                      </c:pt>
                      <c:pt idx="41" formatCode="General">
                        <c:v>-6.9858502994011973</c:v>
                      </c:pt>
                      <c:pt idx="42" formatCode="General">
                        <c:v>-7.0052514970059878</c:v>
                      </c:pt>
                      <c:pt idx="43" formatCode="General">
                        <c:v>-7.0246526946107783</c:v>
                      </c:pt>
                      <c:pt idx="44" formatCode="General">
                        <c:v>-7.0440538922155689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494-4276-8B41-9565859D709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 formatCode="General">
                        <c:v>-21.317514970059882</c:v>
                      </c:pt>
                      <c:pt idx="5" formatCode="General">
                        <c:v>-21.339071856287426</c:v>
                      </c:pt>
                      <c:pt idx="6" formatCode="General">
                        <c:v>-21.360628742514972</c:v>
                      </c:pt>
                      <c:pt idx="7" formatCode="General">
                        <c:v>-21.382185628742516</c:v>
                      </c:pt>
                      <c:pt idx="8" formatCode="General">
                        <c:v>-21.452604790419162</c:v>
                      </c:pt>
                      <c:pt idx="9" formatCode="General">
                        <c:v>-21.550808383233534</c:v>
                      </c:pt>
                      <c:pt idx="10" formatCode="General">
                        <c:v>-21.649011976047905</c:v>
                      </c:pt>
                      <c:pt idx="11" formatCode="General">
                        <c:v>-21.747215568862277</c:v>
                      </c:pt>
                      <c:pt idx="12" formatCode="General">
                        <c:v>-21.843203592814373</c:v>
                      </c:pt>
                      <c:pt idx="13" formatCode="General">
                        <c:v>-21.936616766467068</c:v>
                      </c:pt>
                      <c:pt idx="14" formatCode="General">
                        <c:v>-22.030029940119761</c:v>
                      </c:pt>
                      <c:pt idx="15" formatCode="General">
                        <c:v>-22.123443113772456</c:v>
                      </c:pt>
                      <c:pt idx="16" formatCode="General">
                        <c:v>-22.209970059880241</c:v>
                      </c:pt>
                      <c:pt idx="17" formatCode="General">
                        <c:v>-22.279431137724551</c:v>
                      </c:pt>
                      <c:pt idx="18" formatCode="General">
                        <c:v>-22.348892215568863</c:v>
                      </c:pt>
                      <c:pt idx="19" formatCode="General">
                        <c:v>-22.418353293413173</c:v>
                      </c:pt>
                      <c:pt idx="20" formatCode="General">
                        <c:v>-22.488353293413173</c:v>
                      </c:pt>
                      <c:pt idx="21" formatCode="General">
                        <c:v>-22.562604790419162</c:v>
                      </c:pt>
                      <c:pt idx="22" formatCode="General">
                        <c:v>-22.63685628742515</c:v>
                      </c:pt>
                      <c:pt idx="23" formatCode="General">
                        <c:v>-22.711107784431139</c:v>
                      </c:pt>
                      <c:pt idx="24" formatCode="General">
                        <c:v>-22.785359281437124</c:v>
                      </c:pt>
                      <c:pt idx="25" formatCode="General">
                        <c:v>-22.846306306306307</c:v>
                      </c:pt>
                      <c:pt idx="26" formatCode="General">
                        <c:v>-22.906366366366367</c:v>
                      </c:pt>
                      <c:pt idx="27" formatCode="General">
                        <c:v>-22.966426426426427</c:v>
                      </c:pt>
                      <c:pt idx="28" formatCode="General">
                        <c:v>-23.026486486486487</c:v>
                      </c:pt>
                      <c:pt idx="29" formatCode="General">
                        <c:v>-23.130958083832336</c:v>
                      </c:pt>
                      <c:pt idx="30" formatCode="General">
                        <c:v>-23.248323353293415</c:v>
                      </c:pt>
                      <c:pt idx="31" formatCode="General">
                        <c:v>-23.36568862275449</c:v>
                      </c:pt>
                      <c:pt idx="32" formatCode="General">
                        <c:v>-23.483053892215569</c:v>
                      </c:pt>
                      <c:pt idx="33" formatCode="General">
                        <c:v>-23.60185628742515</c:v>
                      </c:pt>
                      <c:pt idx="34" formatCode="General">
                        <c:v>-23.721616766467065</c:v>
                      </c:pt>
                      <c:pt idx="35" formatCode="General">
                        <c:v>-23.841377245508983</c:v>
                      </c:pt>
                      <c:pt idx="36" formatCode="General">
                        <c:v>-23.961137724550898</c:v>
                      </c:pt>
                      <c:pt idx="37" formatCode="General">
                        <c:v>-24.078862275449104</c:v>
                      </c:pt>
                      <c:pt idx="38" formatCode="General">
                        <c:v>-24.193832335329343</c:v>
                      </c:pt>
                      <c:pt idx="39" formatCode="General">
                        <c:v>-24.308802395209582</c:v>
                      </c:pt>
                      <c:pt idx="40" formatCode="General">
                        <c:v>-24.423772455089821</c:v>
                      </c:pt>
                      <c:pt idx="41" formatCode="General">
                        <c:v>-24.53874251497006</c:v>
                      </c:pt>
                      <c:pt idx="42" formatCode="General">
                        <c:v>-24.653712574850299</c:v>
                      </c:pt>
                      <c:pt idx="43" formatCode="General">
                        <c:v>-24.768682634730538</c:v>
                      </c:pt>
                      <c:pt idx="44" formatCode="General">
                        <c:v>-24.883652694610777</c:v>
                      </c:pt>
                      <c:pt idx="45" formatCode="General">
                        <c:v>-24.998622754491016</c:v>
                      </c:pt>
                      <c:pt idx="46" formatCode="General">
                        <c:v>-25.113592814371255</c:v>
                      </c:pt>
                      <c:pt idx="47" formatCode="General">
                        <c:v>-25.228562874251494</c:v>
                      </c:pt>
                      <c:pt idx="48" formatCode="General">
                        <c:v>-25.343532934131737</c:v>
                      </c:pt>
                      <c:pt idx="49" formatCode="General">
                        <c:v>-25.458502994011976</c:v>
                      </c:pt>
                      <c:pt idx="50" formatCode="General">
                        <c:v>-25.567617977528091</c:v>
                      </c:pt>
                      <c:pt idx="51" formatCode="General">
                        <c:v>-25.676082397003746</c:v>
                      </c:pt>
                      <c:pt idx="52" formatCode="General">
                        <c:v>-25.784546816479402</c:v>
                      </c:pt>
                      <c:pt idx="53" formatCode="General">
                        <c:v>-25.893011235955058</c:v>
                      </c:pt>
                      <c:pt idx="54" formatCode="General">
                        <c:v>-26.001475655430713</c:v>
                      </c:pt>
                      <c:pt idx="55" formatCode="General">
                        <c:v>-26.109940074906369</c:v>
                      </c:pt>
                      <c:pt idx="56" formatCode="General">
                        <c:v>-26.218404494382021</c:v>
                      </c:pt>
                      <c:pt idx="57" formatCode="General">
                        <c:v>-26.326868913857677</c:v>
                      </c:pt>
                      <c:pt idx="58" formatCode="General">
                        <c:v>-26.435333333333332</c:v>
                      </c:pt>
                      <c:pt idx="59" formatCode="General">
                        <c:v>-26.543797752808988</c:v>
                      </c:pt>
                      <c:pt idx="60" formatCode="General">
                        <c:v>-26.652262172284644</c:v>
                      </c:pt>
                      <c:pt idx="61" formatCode="General">
                        <c:v>-26.760726591760299</c:v>
                      </c:pt>
                      <c:pt idx="62" formatCode="General">
                        <c:v>-26.869191011235955</c:v>
                      </c:pt>
                      <c:pt idx="63" formatCode="General">
                        <c:v>-26.977655430711611</c:v>
                      </c:pt>
                      <c:pt idx="64" formatCode="General">
                        <c:v>-27.086119850187266</c:v>
                      </c:pt>
                      <c:pt idx="65" formatCode="General">
                        <c:v>-27.194584269662922</c:v>
                      </c:pt>
                      <c:pt idx="66" formatCode="General">
                        <c:v>-27.301902621722849</c:v>
                      </c:pt>
                      <c:pt idx="67" formatCode="General">
                        <c:v>-27.404973782771538</c:v>
                      </c:pt>
                      <c:pt idx="68" formatCode="General">
                        <c:v>-27.508044943820227</c:v>
                      </c:pt>
                      <c:pt idx="69" formatCode="General">
                        <c:v>-27.611116104868916</c:v>
                      </c:pt>
                      <c:pt idx="70" formatCode="General">
                        <c:v>-27.714187265917605</c:v>
                      </c:pt>
                      <c:pt idx="71" formatCode="General">
                        <c:v>-27.817258426966294</c:v>
                      </c:pt>
                      <c:pt idx="72" formatCode="General">
                        <c:v>-27.920329588014983</c:v>
                      </c:pt>
                      <c:pt idx="73" formatCode="General">
                        <c:v>-28.023400749063672</c:v>
                      </c:pt>
                      <c:pt idx="74" formatCode="General">
                        <c:v>-28.126471910112361</c:v>
                      </c:pt>
                      <c:pt idx="75" formatCode="General">
                        <c:v>-28.22954307116105</c:v>
                      </c:pt>
                      <c:pt idx="76" formatCode="General">
                        <c:v>-28.332614232209739</c:v>
                      </c:pt>
                      <c:pt idx="77" formatCode="General">
                        <c:v>-28.435685393258428</c:v>
                      </c:pt>
                      <c:pt idx="78" formatCode="General">
                        <c:v>-28.538756554307117</c:v>
                      </c:pt>
                      <c:pt idx="79" formatCode="General">
                        <c:v>-28.641827715355806</c:v>
                      </c:pt>
                      <c:pt idx="80" formatCode="General">
                        <c:v>-28.744898876404495</c:v>
                      </c:pt>
                      <c:pt idx="81" formatCode="General">
                        <c:v>-28.847970037453184</c:v>
                      </c:pt>
                      <c:pt idx="82" formatCode="General">
                        <c:v>-28.951041198501873</c:v>
                      </c:pt>
                      <c:pt idx="83" formatCode="General">
                        <c:v>-29.051396396396395</c:v>
                      </c:pt>
                      <c:pt idx="84" formatCode="General">
                        <c:v>-29.149294294294293</c:v>
                      </c:pt>
                      <c:pt idx="85" formatCode="General">
                        <c:v>-29.247192192192191</c:v>
                      </c:pt>
                      <c:pt idx="86" formatCode="General">
                        <c:v>-29.345090090090089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494-4276-8B41-9565859D709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494-4276-8B41-9565859D709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494-4276-8B41-9565859D709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494-4276-8B41-9565859D709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494-4276-8B41-9565859D709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95</xdr:col>
          <xdr:colOff>676275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95</xdr:col>
      <xdr:colOff>0</xdr:colOff>
      <xdr:row>99</xdr:row>
      <xdr:rowOff>0</xdr:rowOff>
    </xdr:from>
    <xdr:to>
      <xdr:col>98</xdr:col>
      <xdr:colOff>843353</xdr:colOff>
      <xdr:row>111</xdr:row>
      <xdr:rowOff>215824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0</xdr:colOff>
      <xdr:row>99</xdr:row>
      <xdr:rowOff>0</xdr:rowOff>
    </xdr:from>
    <xdr:to>
      <xdr:col>102</xdr:col>
      <xdr:colOff>843353</xdr:colOff>
      <xdr:row>111</xdr:row>
      <xdr:rowOff>215823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103</xdr:col>
      <xdr:colOff>0</xdr:colOff>
      <xdr:row>99</xdr:row>
      <xdr:rowOff>0</xdr:rowOff>
    </xdr:from>
    <xdr:to>
      <xdr:col>106</xdr:col>
      <xdr:colOff>843353</xdr:colOff>
      <xdr:row>111</xdr:row>
      <xdr:rowOff>215824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95</xdr:col>
      <xdr:colOff>0</xdr:colOff>
      <xdr:row>131</xdr:row>
      <xdr:rowOff>0</xdr:rowOff>
    </xdr:from>
    <xdr:to>
      <xdr:col>98</xdr:col>
      <xdr:colOff>843353</xdr:colOff>
      <xdr:row>143</xdr:row>
      <xdr:rowOff>238236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0</xdr:colOff>
      <xdr:row>131</xdr:row>
      <xdr:rowOff>0</xdr:rowOff>
    </xdr:from>
    <xdr:to>
      <xdr:col>102</xdr:col>
      <xdr:colOff>843353</xdr:colOff>
      <xdr:row>143</xdr:row>
      <xdr:rowOff>238236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103</xdr:col>
      <xdr:colOff>0</xdr:colOff>
      <xdr:row>131</xdr:row>
      <xdr:rowOff>0</xdr:rowOff>
    </xdr:from>
    <xdr:to>
      <xdr:col>106</xdr:col>
      <xdr:colOff>843353</xdr:colOff>
      <xdr:row>143</xdr:row>
      <xdr:rowOff>238236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95</xdr:col>
      <xdr:colOff>-1</xdr:colOff>
      <xdr:row>144</xdr:row>
      <xdr:rowOff>0</xdr:rowOff>
    </xdr:from>
    <xdr:to>
      <xdr:col>98</xdr:col>
      <xdr:colOff>843352</xdr:colOff>
      <xdr:row>156</xdr:row>
      <xdr:rowOff>238235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3;&#1088;&#1072;&#1092;&#1080;&#1082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рафики"/>
      <sheetName val="Данные"/>
    </sheetNames>
    <sheetDataSet>
      <sheetData sheetId="0"/>
      <sheetData sheetId="1">
        <row r="1">
          <cell r="B1">
            <v>700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G9" sqref="G9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27</v>
      </c>
      <c r="B1" s="40">
        <f>B2</f>
        <v>700</v>
      </c>
      <c r="D1" s="138" t="s">
        <v>59</v>
      </c>
      <c r="E1" s="139"/>
      <c r="F1" s="139"/>
      <c r="G1" s="139"/>
    </row>
    <row r="2" spans="1:7" ht="21.75" thickTop="1" x14ac:dyDescent="0.35">
      <c r="A2" s="11" t="s">
        <v>58</v>
      </c>
      <c r="B2" s="11">
        <f>[1]Данные!$B$1</f>
        <v>700</v>
      </c>
      <c r="D2" s="7" t="s">
        <v>1</v>
      </c>
      <c r="E2" s="73" t="s">
        <v>3</v>
      </c>
      <c r="F2" s="7" t="s">
        <v>4</v>
      </c>
      <c r="G2" s="7" t="s">
        <v>2</v>
      </c>
    </row>
    <row r="3" spans="1:7" ht="27.75" customHeight="1" x14ac:dyDescent="0.35">
      <c r="D3" s="40">
        <v>25</v>
      </c>
      <c r="E3" s="40">
        <v>40</v>
      </c>
      <c r="F3" s="40">
        <v>0</v>
      </c>
      <c r="G3" s="40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36"/>
  <sheetViews>
    <sheetView topLeftCell="B39" zoomScale="85" zoomScaleNormal="85" zoomScaleSheetLayoutView="25" workbookViewId="0">
      <selection activeCell="AY120" sqref="AY120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hidden="1" customWidth="1"/>
    <col min="38" max="38" width="3" customWidth="1"/>
  </cols>
  <sheetData>
    <row r="1" spans="1:54" ht="29.25" customHeight="1" thickBot="1" x14ac:dyDescent="0.4">
      <c r="A1" s="142" t="s">
        <v>25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2"/>
      <c r="BA1" s="142"/>
      <c r="BB1" s="142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20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4" t="s">
        <v>68</v>
      </c>
      <c r="F3" s="3">
        <v>273.10000000000002</v>
      </c>
      <c r="G3" s="3">
        <v>293.3</v>
      </c>
      <c r="H3" s="3">
        <v>313.5</v>
      </c>
      <c r="I3" s="3">
        <v>333.7</v>
      </c>
      <c r="J3" s="3">
        <v>353.9</v>
      </c>
      <c r="K3" s="3">
        <v>434.7</v>
      </c>
      <c r="L3" s="3">
        <v>454.9</v>
      </c>
      <c r="M3" s="3">
        <v>475.1</v>
      </c>
      <c r="N3" s="3">
        <v>495.2</v>
      </c>
      <c r="O3" s="3">
        <v>515.4</v>
      </c>
      <c r="P3" s="3">
        <v>535.6</v>
      </c>
      <c r="Q3" s="3">
        <v>555.79999999999995</v>
      </c>
      <c r="R3" s="3">
        <v>576</v>
      </c>
      <c r="S3" s="3">
        <v>596.20000000000005</v>
      </c>
      <c r="T3" s="60">
        <v>616.4</v>
      </c>
      <c r="U3" s="63">
        <v>636.6</v>
      </c>
      <c r="V3" s="64">
        <v>656.8</v>
      </c>
      <c r="W3" s="1">
        <v>677</v>
      </c>
      <c r="X3" s="61">
        <v>757.7</v>
      </c>
      <c r="Y3" s="3">
        <v>838.5</v>
      </c>
      <c r="Z3" s="3">
        <v>919.2</v>
      </c>
      <c r="AA3" s="3">
        <v>1000</v>
      </c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1</v>
      </c>
      <c r="C4" s="44">
        <f t="shared" si="0"/>
        <v>0</v>
      </c>
      <c r="D4" s="44">
        <f t="shared" si="0"/>
        <v>0</v>
      </c>
      <c r="E4" s="48" t="s">
        <v>37</v>
      </c>
      <c r="F4" s="49">
        <v>0</v>
      </c>
      <c r="G4" s="49">
        <v>2.8227000000000001E-35</v>
      </c>
      <c r="H4" s="49">
        <v>2.6125000000000001E-26</v>
      </c>
      <c r="I4" s="49">
        <v>6.3016000000000003E-22</v>
      </c>
      <c r="J4" s="49">
        <v>4.6219999999999997E-20</v>
      </c>
      <c r="K4" s="49">
        <v>1.0271E-13</v>
      </c>
      <c r="L4" s="49">
        <v>4.2760999999999998E-10</v>
      </c>
      <c r="M4" s="49">
        <v>6.7368999999999998E-9</v>
      </c>
      <c r="N4" s="49">
        <v>1.3224E-8</v>
      </c>
      <c r="O4" s="49">
        <v>1.4313000000000001E-8</v>
      </c>
      <c r="P4" s="49">
        <v>1.6196000000000002E-8</v>
      </c>
      <c r="Q4" s="49">
        <v>1.8801999999999999E-8</v>
      </c>
      <c r="R4" s="49">
        <v>2.7488999999999999E-8</v>
      </c>
      <c r="S4" s="49">
        <v>1.9198999999999999E-8</v>
      </c>
      <c r="T4" s="49">
        <v>1.9329999999999998E-8</v>
      </c>
      <c r="U4" s="49">
        <v>3.0685E-8</v>
      </c>
      <c r="V4" s="49">
        <v>2.9145000000000001E-8</v>
      </c>
      <c r="W4" s="49">
        <v>2.9124E-8</v>
      </c>
      <c r="X4" s="49">
        <v>2.8829E-8</v>
      </c>
      <c r="Y4" s="49">
        <v>2.0467000000000001E-8</v>
      </c>
      <c r="Z4" s="49">
        <v>2.5906E-8</v>
      </c>
      <c r="AA4" s="49">
        <v>2.4614999999999999E-8</v>
      </c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2</v>
      </c>
      <c r="C5" s="44">
        <f t="shared" si="0"/>
        <v>1</v>
      </c>
      <c r="D5" s="44">
        <f t="shared" si="0"/>
        <v>0</v>
      </c>
      <c r="E5" s="48" t="s">
        <v>46</v>
      </c>
      <c r="F5" s="49">
        <v>3.6883999999999998E-9</v>
      </c>
      <c r="G5" s="49">
        <v>1.4574E-9</v>
      </c>
      <c r="H5" s="49">
        <v>2.4654999999999999E-13</v>
      </c>
      <c r="I5" s="49">
        <v>2.5759999999999999E-22</v>
      </c>
      <c r="J5" s="49">
        <v>1.1609000000000001E-36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v>0</v>
      </c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1</v>
      </c>
      <c r="C6" s="44">
        <f t="shared" si="0"/>
        <v>1</v>
      </c>
      <c r="D6" s="44">
        <f t="shared" si="0"/>
        <v>0</v>
      </c>
      <c r="E6" s="48" t="s">
        <v>39</v>
      </c>
      <c r="F6" s="49">
        <v>7.4734000000000003E-10</v>
      </c>
      <c r="G6" s="49">
        <v>6.9597999999999999E-9</v>
      </c>
      <c r="H6" s="49">
        <v>1.3611E-8</v>
      </c>
      <c r="I6" s="49">
        <v>2.2326000000000001E-8</v>
      </c>
      <c r="J6" s="49">
        <v>3.3273999999999997E-8</v>
      </c>
      <c r="K6" s="49">
        <v>1.7159000000000002E-8</v>
      </c>
      <c r="L6" s="49">
        <v>3.6573999999999998E-9</v>
      </c>
      <c r="M6" s="49">
        <v>5.8700000000000002E-13</v>
      </c>
      <c r="N6" s="49">
        <v>2.0051999999999999E-20</v>
      </c>
      <c r="O6" s="49">
        <v>8.5854999999999993E-31</v>
      </c>
      <c r="P6" s="49">
        <v>0</v>
      </c>
      <c r="Q6" s="49">
        <v>0</v>
      </c>
      <c r="R6" s="49">
        <v>0</v>
      </c>
      <c r="S6" s="49">
        <v>0</v>
      </c>
      <c r="T6" s="49">
        <v>0</v>
      </c>
      <c r="U6" s="49">
        <v>0</v>
      </c>
      <c r="V6" s="49">
        <v>0</v>
      </c>
      <c r="W6" s="49">
        <v>0</v>
      </c>
      <c r="X6" s="49">
        <v>0</v>
      </c>
      <c r="Y6" s="49">
        <v>0</v>
      </c>
      <c r="Z6" s="49">
        <v>0</v>
      </c>
      <c r="AA6" s="49">
        <v>0</v>
      </c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1</v>
      </c>
      <c r="B7" s="44">
        <f t="shared" si="0"/>
        <v>0</v>
      </c>
      <c r="C7" s="44">
        <f t="shared" si="0"/>
        <v>0</v>
      </c>
      <c r="D7" s="44">
        <f t="shared" si="0"/>
        <v>0</v>
      </c>
      <c r="E7" s="48" t="s">
        <v>1</v>
      </c>
      <c r="F7" s="49">
        <v>0.2</v>
      </c>
      <c r="G7" s="49">
        <v>0.2</v>
      </c>
      <c r="H7" s="49">
        <v>0.2</v>
      </c>
      <c r="I7" s="49">
        <v>0.2</v>
      </c>
      <c r="J7" s="49">
        <v>0.2</v>
      </c>
      <c r="K7" s="49">
        <v>0.2</v>
      </c>
      <c r="L7" s="49">
        <v>0.2</v>
      </c>
      <c r="M7" s="49">
        <v>0.2</v>
      </c>
      <c r="N7" s="49">
        <v>0.2</v>
      </c>
      <c r="O7" s="49">
        <v>0.2</v>
      </c>
      <c r="P7" s="49">
        <v>0.2</v>
      </c>
      <c r="Q7" s="49">
        <v>0.2</v>
      </c>
      <c r="R7" s="49">
        <v>0.2</v>
      </c>
      <c r="S7" s="49">
        <v>0.2</v>
      </c>
      <c r="T7" s="49">
        <v>0.2</v>
      </c>
      <c r="U7" s="49">
        <v>0.2</v>
      </c>
      <c r="V7" s="49">
        <v>0.2</v>
      </c>
      <c r="W7" s="49">
        <v>0.2</v>
      </c>
      <c r="X7" s="49">
        <v>0.2</v>
      </c>
      <c r="Y7" s="49">
        <v>0.2</v>
      </c>
      <c r="Z7" s="49">
        <v>0.2</v>
      </c>
      <c r="AA7" s="49">
        <v>0.2</v>
      </c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2</v>
      </c>
      <c r="C8" s="44">
        <f t="shared" si="0"/>
        <v>1</v>
      </c>
      <c r="D8" s="44">
        <f t="shared" si="0"/>
        <v>0</v>
      </c>
      <c r="E8" s="48" t="s">
        <v>55</v>
      </c>
      <c r="F8" s="49">
        <v>0.15739</v>
      </c>
      <c r="G8" s="49">
        <v>0.14849000000000001</v>
      </c>
      <c r="H8" s="49">
        <v>0.12328</v>
      </c>
      <c r="I8" s="49">
        <v>8.0623E-2</v>
      </c>
      <c r="J8" s="49">
        <v>4.0173E-2</v>
      </c>
      <c r="K8" s="49">
        <v>1.2006E-3</v>
      </c>
      <c r="L8" s="49">
        <v>5.2276999999999998E-4</v>
      </c>
      <c r="M8" s="49">
        <v>2.1332999999999999E-4</v>
      </c>
      <c r="N8" s="49">
        <v>7.5371999999999996E-5</v>
      </c>
      <c r="O8" s="49">
        <v>2.2756E-5</v>
      </c>
      <c r="P8" s="49">
        <v>6.2272999999999997E-6</v>
      </c>
      <c r="Q8" s="49">
        <v>1.6602E-6</v>
      </c>
      <c r="R8" s="49">
        <v>4.5165E-7</v>
      </c>
      <c r="S8" s="49">
        <v>1.2802999999999999E-7</v>
      </c>
      <c r="T8" s="49">
        <v>3.8083999999999999E-8</v>
      </c>
      <c r="U8" s="49">
        <v>1.1895E-8</v>
      </c>
      <c r="V8" s="49">
        <v>3.8935999999999999E-9</v>
      </c>
      <c r="W8" s="49">
        <v>1.3319999999999999E-9</v>
      </c>
      <c r="X8" s="49">
        <v>2.6763999999999999E-11</v>
      </c>
      <c r="Y8" s="49">
        <v>8.8239000000000004E-13</v>
      </c>
      <c r="Z8" s="49">
        <v>4.2381999999999998E-14</v>
      </c>
      <c r="AA8" s="49">
        <v>2.7263000000000001E-15</v>
      </c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1</v>
      </c>
      <c r="C9" s="44">
        <f t="shared" si="0"/>
        <v>1</v>
      </c>
      <c r="D9" s="44">
        <f t="shared" si="0"/>
        <v>0</v>
      </c>
      <c r="E9" s="48" t="s">
        <v>45</v>
      </c>
      <c r="F9" s="49">
        <v>0.16261</v>
      </c>
      <c r="G9" s="49">
        <v>0.17151</v>
      </c>
      <c r="H9" s="49">
        <v>0.19672000000000001</v>
      </c>
      <c r="I9" s="49">
        <v>0.23934</v>
      </c>
      <c r="J9" s="49">
        <v>0.27966000000000002</v>
      </c>
      <c r="K9" s="49">
        <v>0.28988999999999998</v>
      </c>
      <c r="L9" s="49">
        <v>0.25194</v>
      </c>
      <c r="M9" s="49">
        <v>0.19273999999999999</v>
      </c>
      <c r="N9" s="49">
        <v>0.12526999999999999</v>
      </c>
      <c r="O9" s="49">
        <v>6.9651000000000005E-2</v>
      </c>
      <c r="P9" s="49">
        <v>3.5006000000000002E-2</v>
      </c>
      <c r="Q9" s="49">
        <v>1.6919E-2</v>
      </c>
      <c r="R9" s="49">
        <v>8.1831000000000004E-3</v>
      </c>
      <c r="S9" s="49">
        <v>4.0353999999999998E-3</v>
      </c>
      <c r="T9" s="49">
        <v>2.0431999999999998E-3</v>
      </c>
      <c r="U9" s="49">
        <v>1.0639E-3</v>
      </c>
      <c r="V9" s="49">
        <v>5.6939000000000002E-4</v>
      </c>
      <c r="W9" s="49">
        <v>3.1274999999999999E-4</v>
      </c>
      <c r="X9" s="49">
        <v>3.5703E-5</v>
      </c>
      <c r="Y9" s="49">
        <v>5.4586999999999999E-6</v>
      </c>
      <c r="Z9" s="49">
        <v>1.0409000000000001E-6</v>
      </c>
      <c r="AA9" s="49">
        <v>2.3547E-7</v>
      </c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0</v>
      </c>
      <c r="C10" s="44">
        <f t="shared" si="0"/>
        <v>1</v>
      </c>
      <c r="D10" s="44">
        <f t="shared" si="0"/>
        <v>0</v>
      </c>
      <c r="E10" s="48" t="s">
        <v>44</v>
      </c>
      <c r="F10" s="49">
        <v>6.0284999999999998E-7</v>
      </c>
      <c r="G10" s="49">
        <v>1.5203000000000001E-6</v>
      </c>
      <c r="H10" s="49">
        <v>4.6573000000000003E-6</v>
      </c>
      <c r="I10" s="49">
        <v>1.8770000000000002E-5</v>
      </c>
      <c r="J10" s="49">
        <v>8.5548000000000002E-5</v>
      </c>
      <c r="K10" s="49">
        <v>1.4453000000000001E-2</v>
      </c>
      <c r="L10" s="49">
        <v>3.3766999999999998E-2</v>
      </c>
      <c r="M10" s="49">
        <v>6.3521999999999995E-2</v>
      </c>
      <c r="N10" s="49">
        <v>9.733E-2</v>
      </c>
      <c r="O10" s="49">
        <v>0.12515999999999999</v>
      </c>
      <c r="P10" s="49">
        <v>0.14249000000000001</v>
      </c>
      <c r="Q10" s="49">
        <v>0.15154000000000001</v>
      </c>
      <c r="R10" s="49">
        <v>0.15590999999999999</v>
      </c>
      <c r="S10" s="49">
        <v>0.15798000000000001</v>
      </c>
      <c r="T10" s="49">
        <v>0.15898000000000001</v>
      </c>
      <c r="U10" s="49">
        <v>0.15947</v>
      </c>
      <c r="V10" s="49">
        <v>0.15972</v>
      </c>
      <c r="W10" s="49">
        <v>0.15984000000000001</v>
      </c>
      <c r="X10" s="49">
        <v>0.15998000000000001</v>
      </c>
      <c r="Y10" s="49">
        <v>0.16</v>
      </c>
      <c r="Z10" s="49">
        <v>0.16</v>
      </c>
      <c r="AA10" s="49">
        <v>0.16</v>
      </c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1</v>
      </c>
      <c r="C11" s="44">
        <f t="shared" si="0"/>
        <v>0</v>
      </c>
      <c r="D11" s="44">
        <f t="shared" si="0"/>
        <v>0</v>
      </c>
      <c r="E11" s="48" t="s">
        <v>43</v>
      </c>
      <c r="F11" s="49">
        <v>3.1046999999999998E-9</v>
      </c>
      <c r="G11" s="49">
        <v>1.0810000000000001E-8</v>
      </c>
      <c r="H11" s="49">
        <v>2.6921E-8</v>
      </c>
      <c r="I11" s="49">
        <v>4.5091000000000003E-8</v>
      </c>
      <c r="J11" s="49">
        <v>5.2542000000000002E-8</v>
      </c>
      <c r="K11" s="49">
        <v>2.8801999999999999E-8</v>
      </c>
      <c r="L11" s="49">
        <v>2.6886E-8</v>
      </c>
      <c r="M11" s="49">
        <v>2.6286000000000001E-8</v>
      </c>
      <c r="N11" s="49">
        <v>2.5287E-8</v>
      </c>
      <c r="O11" s="49">
        <v>2.4167999999999998E-8</v>
      </c>
      <c r="P11" s="49">
        <v>2.1651E-8</v>
      </c>
      <c r="Q11" s="49">
        <v>1.8617000000000001E-8</v>
      </c>
      <c r="R11" s="49">
        <v>1.5682000000000001E-8</v>
      </c>
      <c r="S11" s="49">
        <v>1.3087999999999999E-8</v>
      </c>
      <c r="T11" s="49">
        <v>1.0881999999999999E-8</v>
      </c>
      <c r="U11" s="49">
        <v>9.0374000000000002E-9</v>
      </c>
      <c r="V11" s="49">
        <v>7.5054000000000002E-9</v>
      </c>
      <c r="W11" s="49">
        <v>6.2367000000000002E-9</v>
      </c>
      <c r="X11" s="49">
        <v>3.0026E-9</v>
      </c>
      <c r="Y11" s="49">
        <v>1.4716E-9</v>
      </c>
      <c r="Z11" s="49">
        <v>7.3396000000000002E-10</v>
      </c>
      <c r="AA11" s="49">
        <v>3.7203000000000001E-10</v>
      </c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1</v>
      </c>
      <c r="C12" s="44">
        <f t="shared" si="0"/>
        <v>0</v>
      </c>
      <c r="D12" s="44">
        <f t="shared" si="0"/>
        <v>0</v>
      </c>
      <c r="E12" s="48" t="s">
        <v>42</v>
      </c>
      <c r="F12" s="49">
        <v>7.1561999999999995E-10</v>
      </c>
      <c r="G12" s="49">
        <v>2.8980000000000001E-9</v>
      </c>
      <c r="H12" s="49">
        <v>8.2424000000000004E-9</v>
      </c>
      <c r="I12" s="49">
        <v>1.5529E-8</v>
      </c>
      <c r="J12" s="49">
        <v>2.0094999999999999E-8</v>
      </c>
      <c r="K12" s="49">
        <v>1.5249E-8</v>
      </c>
      <c r="L12" s="49">
        <v>1.5168999999999998E-8</v>
      </c>
      <c r="M12" s="49">
        <v>1.5720000000000001E-8</v>
      </c>
      <c r="N12" s="49">
        <v>1.5907000000000001E-8</v>
      </c>
      <c r="O12" s="49">
        <v>1.5048E-8</v>
      </c>
      <c r="P12" s="49">
        <v>1.3334E-8</v>
      </c>
      <c r="Q12" s="49">
        <v>1.1335E-8</v>
      </c>
      <c r="R12" s="49">
        <v>9.4348000000000005E-9</v>
      </c>
      <c r="S12" s="49">
        <v>7.7792999999999994E-9</v>
      </c>
      <c r="T12" s="49">
        <v>6.3892000000000002E-9</v>
      </c>
      <c r="U12" s="49">
        <v>5.2408000000000003E-9</v>
      </c>
      <c r="V12" s="49">
        <v>4.2986E-9</v>
      </c>
      <c r="W12" s="49">
        <v>3.5279000000000002E-9</v>
      </c>
      <c r="X12" s="49">
        <v>1.6170000000000001E-9</v>
      </c>
      <c r="Y12" s="49">
        <v>7.5574000000000002E-10</v>
      </c>
      <c r="Z12" s="49">
        <v>3.6006E-10</v>
      </c>
      <c r="AA12" s="49">
        <v>1.7457E-10</v>
      </c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1</v>
      </c>
      <c r="C13" s="44">
        <f t="shared" si="0"/>
        <v>0</v>
      </c>
      <c r="D13" s="44">
        <f t="shared" si="0"/>
        <v>0</v>
      </c>
      <c r="E13" s="48" t="s">
        <v>47</v>
      </c>
      <c r="F13" s="49">
        <v>2.6148E-3</v>
      </c>
      <c r="G13" s="49">
        <v>1.1518E-2</v>
      </c>
      <c r="H13" s="49">
        <v>3.6734000000000003E-2</v>
      </c>
      <c r="I13" s="49">
        <v>7.9414999999999999E-2</v>
      </c>
      <c r="J13" s="49">
        <v>0.12</v>
      </c>
      <c r="K13" s="49">
        <v>0.18770999999999999</v>
      </c>
      <c r="L13" s="49">
        <v>0.22700999999999999</v>
      </c>
      <c r="M13" s="49">
        <v>0.28682999999999997</v>
      </c>
      <c r="N13" s="49">
        <v>0.35458000000000001</v>
      </c>
      <c r="O13" s="49">
        <v>0.4103</v>
      </c>
      <c r="P13" s="49">
        <v>0.44497999999999999</v>
      </c>
      <c r="Q13" s="49">
        <v>0.46307999999999999</v>
      </c>
      <c r="R13" s="49">
        <v>0.47182000000000002</v>
      </c>
      <c r="S13" s="49">
        <v>0.47595999999999999</v>
      </c>
      <c r="T13" s="49">
        <v>0.47796</v>
      </c>
      <c r="U13" s="49">
        <v>0.47893999999999998</v>
      </c>
      <c r="V13" s="49">
        <v>0.47943000000000002</v>
      </c>
      <c r="W13" s="49">
        <v>0.47969000000000001</v>
      </c>
      <c r="X13" s="49">
        <v>0.47996</v>
      </c>
      <c r="Y13" s="49">
        <v>0.47999000000000003</v>
      </c>
      <c r="Z13" s="49">
        <v>0.48</v>
      </c>
      <c r="AA13" s="49">
        <v>0.48</v>
      </c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1</v>
      </c>
      <c r="C14" s="44">
        <f t="shared" si="0"/>
        <v>0</v>
      </c>
      <c r="D14" s="44">
        <f t="shared" si="0"/>
        <v>0</v>
      </c>
      <c r="E14" s="48" t="s">
        <v>41</v>
      </c>
      <c r="F14" s="49">
        <v>7.9389000000000004E-12</v>
      </c>
      <c r="G14" s="49">
        <v>4.5007000000000002E-11</v>
      </c>
      <c r="H14" s="49">
        <v>1.7283000000000001E-10</v>
      </c>
      <c r="I14" s="49">
        <v>4.2663999999999999E-10</v>
      </c>
      <c r="J14" s="49">
        <v>7.0533999999999997E-10</v>
      </c>
      <c r="K14" s="49">
        <v>1.1828000000000001E-9</v>
      </c>
      <c r="L14" s="49">
        <v>1.3850000000000001E-9</v>
      </c>
      <c r="M14" s="49">
        <v>1.6712E-9</v>
      </c>
      <c r="N14" s="49">
        <v>1.9502000000000002E-9</v>
      </c>
      <c r="O14" s="49">
        <v>2.1094999999999998E-9</v>
      </c>
      <c r="P14" s="49">
        <v>2.1206999999999999E-9</v>
      </c>
      <c r="Q14" s="49">
        <v>2.0312000000000002E-9</v>
      </c>
      <c r="R14" s="49">
        <v>1.8931E-9</v>
      </c>
      <c r="S14" s="49">
        <v>1.7376999999999999E-9</v>
      </c>
      <c r="T14" s="49">
        <v>1.5805000000000001E-9</v>
      </c>
      <c r="U14" s="49">
        <v>1.4288000000000001E-9</v>
      </c>
      <c r="V14" s="49">
        <v>1.2859999999999999E-9</v>
      </c>
      <c r="W14" s="49">
        <v>1.1534E-9</v>
      </c>
      <c r="X14" s="49">
        <v>7.2827000000000001E-10</v>
      </c>
      <c r="Y14" s="49">
        <v>4.4821E-10</v>
      </c>
      <c r="Z14" s="49">
        <v>2.7161999999999999E-10</v>
      </c>
      <c r="AA14" s="49">
        <v>1.6297999999999999E-10</v>
      </c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1</v>
      </c>
      <c r="D15" s="44">
        <f t="shared" si="0"/>
        <v>0</v>
      </c>
      <c r="E15" s="48" t="s">
        <v>54</v>
      </c>
      <c r="F15" s="49">
        <v>6.0284999999999998E-7</v>
      </c>
      <c r="G15" s="49">
        <v>1.5203000000000001E-6</v>
      </c>
      <c r="H15" s="49">
        <v>4.6573000000000003E-6</v>
      </c>
      <c r="I15" s="49">
        <v>1.8770000000000002E-5</v>
      </c>
      <c r="J15" s="49">
        <v>8.5548000000000002E-5</v>
      </c>
      <c r="K15" s="49">
        <v>1.4453000000000001E-2</v>
      </c>
      <c r="L15" s="49">
        <v>3.3766999999999998E-2</v>
      </c>
      <c r="M15" s="49">
        <v>6.3521999999999995E-2</v>
      </c>
      <c r="N15" s="49">
        <v>9.733E-2</v>
      </c>
      <c r="O15" s="49">
        <v>0.12515999999999999</v>
      </c>
      <c r="P15" s="49">
        <v>0.14249000000000001</v>
      </c>
      <c r="Q15" s="49">
        <v>0.15154000000000001</v>
      </c>
      <c r="R15" s="49">
        <v>0.15590999999999999</v>
      </c>
      <c r="S15" s="49">
        <v>0.15798000000000001</v>
      </c>
      <c r="T15" s="49">
        <v>0.15898000000000001</v>
      </c>
      <c r="U15" s="49">
        <v>0.15947</v>
      </c>
      <c r="V15" s="49">
        <v>0.15972</v>
      </c>
      <c r="W15" s="49">
        <v>0.15984000000000001</v>
      </c>
      <c r="X15" s="49">
        <v>0.15998000000000001</v>
      </c>
      <c r="Y15" s="49">
        <v>0.16</v>
      </c>
      <c r="Z15" s="49">
        <v>0.16</v>
      </c>
      <c r="AA15" s="49">
        <v>0.16</v>
      </c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1</v>
      </c>
      <c r="B16" s="44">
        <f t="shared" si="0"/>
        <v>0</v>
      </c>
      <c r="C16" s="44">
        <f t="shared" si="0"/>
        <v>0</v>
      </c>
      <c r="D16" s="44">
        <f t="shared" si="0"/>
        <v>0</v>
      </c>
      <c r="E16" s="48" t="s">
        <v>28</v>
      </c>
      <c r="F16" s="49">
        <v>-18.62</v>
      </c>
      <c r="G16" s="49">
        <v>-18.61</v>
      </c>
      <c r="H16" s="49">
        <v>-18.61</v>
      </c>
      <c r="I16" s="49">
        <v>-18.63</v>
      </c>
      <c r="J16" s="49">
        <v>-18.649999999999999</v>
      </c>
      <c r="K16" s="49">
        <v>-18.77</v>
      </c>
      <c r="L16" s="49">
        <v>-18.809999999999999</v>
      </c>
      <c r="M16" s="49">
        <v>-18.84</v>
      </c>
      <c r="N16" s="49">
        <v>-18.88</v>
      </c>
      <c r="O16" s="49">
        <v>-18.93</v>
      </c>
      <c r="P16" s="49">
        <v>-18.97</v>
      </c>
      <c r="Q16" s="49">
        <v>-19.010000000000002</v>
      </c>
      <c r="R16" s="49">
        <v>-19.05</v>
      </c>
      <c r="S16" s="49">
        <v>-19.09</v>
      </c>
      <c r="T16" s="49">
        <v>-19.14</v>
      </c>
      <c r="U16" s="49">
        <v>-19.18</v>
      </c>
      <c r="V16" s="49">
        <v>-19.22</v>
      </c>
      <c r="W16" s="49">
        <v>-19.260000000000002</v>
      </c>
      <c r="X16" s="49">
        <v>-19.43</v>
      </c>
      <c r="Y16" s="49">
        <v>-19.59</v>
      </c>
      <c r="Z16" s="49">
        <v>-19.739999999999998</v>
      </c>
      <c r="AA16" s="49">
        <v>-19.88</v>
      </c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1</v>
      </c>
      <c r="D17" s="44">
        <f t="shared" si="0"/>
        <v>0</v>
      </c>
      <c r="E17" s="48" t="s">
        <v>6</v>
      </c>
      <c r="F17" s="49">
        <v>-16.940000000000001</v>
      </c>
      <c r="G17" s="49">
        <v>-16.03</v>
      </c>
      <c r="H17" s="49">
        <v>-14.99</v>
      </c>
      <c r="I17" s="49">
        <v>-13.72</v>
      </c>
      <c r="J17" s="49">
        <v>-12.32</v>
      </c>
      <c r="K17" s="49">
        <v>-7.4779999999999998</v>
      </c>
      <c r="L17" s="49">
        <v>-6.7469999999999999</v>
      </c>
      <c r="M17" s="49">
        <v>-6.2640000000000002</v>
      </c>
      <c r="N17" s="49">
        <v>-5.99</v>
      </c>
      <c r="O17" s="49">
        <v>-5.8659999999999997</v>
      </c>
      <c r="P17" s="49">
        <v>-5.8310000000000004</v>
      </c>
      <c r="Q17" s="49">
        <v>-5.8419999999999996</v>
      </c>
      <c r="R17" s="49">
        <v>-5.8739999999999997</v>
      </c>
      <c r="S17" s="49">
        <v>-5.9160000000000004</v>
      </c>
      <c r="T17" s="49">
        <v>-5.9630000000000001</v>
      </c>
      <c r="U17" s="49">
        <v>-6.0110000000000001</v>
      </c>
      <c r="V17" s="49">
        <v>-6.06</v>
      </c>
      <c r="W17" s="49">
        <v>-6.109</v>
      </c>
      <c r="X17" s="49">
        <v>-6.3049999999999997</v>
      </c>
      <c r="Y17" s="49">
        <v>-6.4960000000000004</v>
      </c>
      <c r="Z17" s="49">
        <v>-6.681</v>
      </c>
      <c r="AA17" s="49">
        <v>-6.8579999999999997</v>
      </c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1</v>
      </c>
      <c r="C18" s="44">
        <f t="shared" si="0"/>
        <v>0</v>
      </c>
      <c r="D18" s="44">
        <f t="shared" si="0"/>
        <v>0</v>
      </c>
      <c r="E18" s="48" t="s">
        <v>7</v>
      </c>
      <c r="F18" s="49">
        <v>-23.56</v>
      </c>
      <c r="G18" s="49">
        <v>-22.32</v>
      </c>
      <c r="H18" s="49">
        <v>-21.49</v>
      </c>
      <c r="I18" s="49">
        <v>-21.1</v>
      </c>
      <c r="J18" s="49">
        <v>-21.07</v>
      </c>
      <c r="K18" s="49">
        <v>-21.96</v>
      </c>
      <c r="L18" s="49">
        <v>-22.15</v>
      </c>
      <c r="M18" s="49">
        <v>-22.33</v>
      </c>
      <c r="N18" s="49">
        <v>-22.53</v>
      </c>
      <c r="O18" s="49">
        <v>-22.76</v>
      </c>
      <c r="P18" s="49">
        <v>-23.03</v>
      </c>
      <c r="Q18" s="49">
        <v>-23.31</v>
      </c>
      <c r="R18" s="49">
        <v>-23.6</v>
      </c>
      <c r="S18" s="49">
        <v>-23.89</v>
      </c>
      <c r="T18" s="49">
        <v>-24.17</v>
      </c>
      <c r="U18" s="49">
        <v>-24.46</v>
      </c>
      <c r="V18" s="49">
        <v>-24.74</v>
      </c>
      <c r="W18" s="49">
        <v>-25.02</v>
      </c>
      <c r="X18" s="49">
        <v>-26.11</v>
      </c>
      <c r="Y18" s="49">
        <v>-27.16</v>
      </c>
      <c r="Z18" s="49">
        <v>-28.16</v>
      </c>
      <c r="AA18" s="49">
        <v>-29.13</v>
      </c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0</v>
      </c>
      <c r="D19" s="44">
        <f t="shared" si="0"/>
        <v>0</v>
      </c>
      <c r="E19" s="48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0</v>
      </c>
      <c r="D20" s="44">
        <f t="shared" si="1"/>
        <v>0</v>
      </c>
      <c r="E20" s="48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2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ref="A33:D33" si="3">IF( ISNUMBER( FIND(A$3,$E33,1)),   IF( ISNUMBER( VALUE(MID($E33,FIND(A$3,$E33,1)+2,1)) ), VALUE( MID($E33,FIND(A$3,$E33,1)+2,1) ),1),0)</f>
        <v>0</v>
      </c>
      <c r="B33" s="44">
        <f t="shared" si="3"/>
        <v>0</v>
      </c>
      <c r="C33" s="44">
        <f t="shared" si="3"/>
        <v>0</v>
      </c>
      <c r="D33" s="44">
        <f t="shared" si="3"/>
        <v>0</v>
      </c>
      <c r="E33" s="41">
        <v>1</v>
      </c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>MATCH(C34,$E$4:$E$33)</f>
        <v>13</v>
      </c>
      <c r="E34" s="11" t="str">
        <f ca="1">OFFSET($E$3:$AL$3,$D34,0)</f>
        <v>H (Ar)</v>
      </c>
      <c r="F34" s="14">
        <f t="shared" ref="F34:AL37" ca="1" si="4">OFFSET($E$3:$AL$3,$D34,0)</f>
        <v>-18.62</v>
      </c>
      <c r="G34" s="14">
        <f t="shared" ca="1" si="4"/>
        <v>-18.61</v>
      </c>
      <c r="H34" s="14">
        <f t="shared" ca="1" si="4"/>
        <v>-18.61</v>
      </c>
      <c r="I34" s="14">
        <f t="shared" ca="1" si="4"/>
        <v>-18.63</v>
      </c>
      <c r="J34" s="14">
        <f t="shared" ca="1" si="4"/>
        <v>-18.649999999999999</v>
      </c>
      <c r="K34" s="14">
        <f t="shared" ca="1" si="4"/>
        <v>-18.77</v>
      </c>
      <c r="L34" s="14">
        <f t="shared" ca="1" si="4"/>
        <v>-18.809999999999999</v>
      </c>
      <c r="M34" s="14">
        <f t="shared" ca="1" si="4"/>
        <v>-18.84</v>
      </c>
      <c r="N34" s="14">
        <f t="shared" ca="1" si="4"/>
        <v>-18.88</v>
      </c>
      <c r="O34" s="14">
        <f t="shared" ca="1" si="4"/>
        <v>-18.93</v>
      </c>
      <c r="P34" s="14">
        <f t="shared" ca="1" si="4"/>
        <v>-18.97</v>
      </c>
      <c r="Q34" s="14">
        <f t="shared" ca="1" si="4"/>
        <v>-19.010000000000002</v>
      </c>
      <c r="R34" s="14">
        <f t="shared" ca="1" si="4"/>
        <v>-19.05</v>
      </c>
      <c r="S34" s="14">
        <f t="shared" ca="1" si="4"/>
        <v>-19.09</v>
      </c>
      <c r="T34" s="14">
        <f t="shared" ca="1" si="4"/>
        <v>-19.14</v>
      </c>
      <c r="U34" s="14">
        <f t="shared" ca="1" si="4"/>
        <v>-19.18</v>
      </c>
      <c r="V34" s="14">
        <f t="shared" ca="1" si="4"/>
        <v>-19.22</v>
      </c>
      <c r="W34" s="14">
        <f t="shared" ca="1" si="4"/>
        <v>-19.260000000000002</v>
      </c>
      <c r="X34" s="14">
        <f t="shared" ca="1" si="4"/>
        <v>-19.43</v>
      </c>
      <c r="Y34" s="14">
        <f t="shared" ca="1" si="4"/>
        <v>-19.59</v>
      </c>
      <c r="Z34" s="14">
        <f t="shared" ca="1" si="4"/>
        <v>-19.739999999999998</v>
      </c>
      <c r="AA34" s="14">
        <f t="shared" ca="1" si="4"/>
        <v>-19.88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s="37" customFormat="1" ht="21" customHeight="1" outlineLevel="1" x14ac:dyDescent="0.35">
      <c r="C35" s="11" t="s">
        <v>5</v>
      </c>
      <c r="D35" s="47">
        <v>0</v>
      </c>
      <c r="E35" s="11" t="str">
        <f t="shared" ref="E35:E37" ca="1" si="5">OFFSET($E$3:$AL$3,$D35,0)</f>
        <v>Temperature,К</v>
      </c>
      <c r="F35" s="14">
        <f t="shared" ca="1" si="4"/>
        <v>273.10000000000002</v>
      </c>
      <c r="G35" s="14">
        <f t="shared" ca="1" si="4"/>
        <v>293.3</v>
      </c>
      <c r="H35" s="14">
        <f t="shared" ca="1" si="4"/>
        <v>313.5</v>
      </c>
      <c r="I35" s="14">
        <f t="shared" ca="1" si="4"/>
        <v>333.7</v>
      </c>
      <c r="J35" s="14">
        <f t="shared" ca="1" si="4"/>
        <v>353.9</v>
      </c>
      <c r="K35" s="14">
        <f t="shared" ca="1" si="4"/>
        <v>434.7</v>
      </c>
      <c r="L35" s="14">
        <f t="shared" ca="1" si="4"/>
        <v>454.9</v>
      </c>
      <c r="M35" s="14">
        <f t="shared" ca="1" si="4"/>
        <v>475.1</v>
      </c>
      <c r="N35" s="14">
        <f t="shared" ca="1" si="4"/>
        <v>495.2</v>
      </c>
      <c r="O35" s="14">
        <f t="shared" ca="1" si="4"/>
        <v>515.4</v>
      </c>
      <c r="P35" s="14">
        <f t="shared" ca="1" si="4"/>
        <v>535.6</v>
      </c>
      <c r="Q35" s="14">
        <f t="shared" ca="1" si="4"/>
        <v>555.79999999999995</v>
      </c>
      <c r="R35" s="14">
        <f t="shared" ca="1" si="4"/>
        <v>576</v>
      </c>
      <c r="S35" s="14">
        <f t="shared" ca="1" si="4"/>
        <v>596.20000000000005</v>
      </c>
      <c r="T35" s="14">
        <f t="shared" ca="1" si="4"/>
        <v>616.4</v>
      </c>
      <c r="U35" s="14">
        <f t="shared" ca="1" si="4"/>
        <v>636.6</v>
      </c>
      <c r="V35" s="14">
        <f t="shared" ca="1" si="4"/>
        <v>656.8</v>
      </c>
      <c r="W35" s="14">
        <f t="shared" ca="1" si="4"/>
        <v>677</v>
      </c>
      <c r="X35" s="14">
        <f t="shared" ca="1" si="4"/>
        <v>757.7</v>
      </c>
      <c r="Y35" s="14">
        <f t="shared" ca="1" si="4"/>
        <v>838.5</v>
      </c>
      <c r="Z35" s="14">
        <f t="shared" ca="1" si="4"/>
        <v>919.2</v>
      </c>
      <c r="AA35" s="14">
        <f t="shared" ca="1" si="4"/>
        <v>1000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s="37" customFormat="1" ht="21" customHeight="1" outlineLevel="1" x14ac:dyDescent="0.35">
      <c r="C36" s="11" t="s">
        <v>6</v>
      </c>
      <c r="D36" s="47">
        <f t="shared" ref="D36:D37" si="6">MATCH(C36,$E$4:$E$33)</f>
        <v>14</v>
      </c>
      <c r="E36" s="11" t="str">
        <f t="shared" ca="1" si="5"/>
        <v>H (Ge)</v>
      </c>
      <c r="F36" s="14">
        <f t="shared" ca="1" si="4"/>
        <v>-16.940000000000001</v>
      </c>
      <c r="G36" s="14">
        <f t="shared" ca="1" si="4"/>
        <v>-16.03</v>
      </c>
      <c r="H36" s="14">
        <f t="shared" ca="1" si="4"/>
        <v>-14.99</v>
      </c>
      <c r="I36" s="14">
        <f t="shared" ca="1" si="4"/>
        <v>-13.72</v>
      </c>
      <c r="J36" s="14">
        <f t="shared" ca="1" si="4"/>
        <v>-12.32</v>
      </c>
      <c r="K36" s="14">
        <f t="shared" ca="1" si="4"/>
        <v>-7.4779999999999998</v>
      </c>
      <c r="L36" s="14">
        <f t="shared" ca="1" si="4"/>
        <v>-6.7469999999999999</v>
      </c>
      <c r="M36" s="14">
        <f t="shared" ca="1" si="4"/>
        <v>-6.2640000000000002</v>
      </c>
      <c r="N36" s="14">
        <f t="shared" ca="1" si="4"/>
        <v>-5.99</v>
      </c>
      <c r="O36" s="14">
        <f t="shared" ca="1" si="4"/>
        <v>-5.8659999999999997</v>
      </c>
      <c r="P36" s="14">
        <f t="shared" ca="1" si="4"/>
        <v>-5.8310000000000004</v>
      </c>
      <c r="Q36" s="14">
        <f t="shared" ca="1" si="4"/>
        <v>-5.8419999999999996</v>
      </c>
      <c r="R36" s="14">
        <f t="shared" ca="1" si="4"/>
        <v>-5.8739999999999997</v>
      </c>
      <c r="S36" s="14">
        <f t="shared" ca="1" si="4"/>
        <v>-5.9160000000000004</v>
      </c>
      <c r="T36" s="14">
        <f t="shared" ca="1" si="4"/>
        <v>-5.9630000000000001</v>
      </c>
      <c r="U36" s="14">
        <f t="shared" ca="1" si="4"/>
        <v>-6.0110000000000001</v>
      </c>
      <c r="V36" s="14">
        <f t="shared" ca="1" si="4"/>
        <v>-6.06</v>
      </c>
      <c r="W36" s="14">
        <f t="shared" ca="1" si="4"/>
        <v>-6.109</v>
      </c>
      <c r="X36" s="14">
        <f t="shared" ca="1" si="4"/>
        <v>-6.3049999999999997</v>
      </c>
      <c r="Y36" s="14">
        <f t="shared" ca="1" si="4"/>
        <v>-6.4960000000000004</v>
      </c>
      <c r="Z36" s="14">
        <f t="shared" ca="1" si="4"/>
        <v>-6.681</v>
      </c>
      <c r="AA36" s="14">
        <f t="shared" ca="1" si="4"/>
        <v>-6.8579999999999997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6"/>
        <v>15</v>
      </c>
      <c r="E37" s="11" t="str">
        <f t="shared" ca="1" si="5"/>
        <v>H (Se)</v>
      </c>
      <c r="F37" s="14">
        <f t="shared" ca="1" si="4"/>
        <v>-23.56</v>
      </c>
      <c r="G37" s="14">
        <f t="shared" ca="1" si="4"/>
        <v>-22.32</v>
      </c>
      <c r="H37" s="14">
        <f t="shared" ca="1" si="4"/>
        <v>-21.49</v>
      </c>
      <c r="I37" s="14">
        <f t="shared" ca="1" si="4"/>
        <v>-21.1</v>
      </c>
      <c r="J37" s="14">
        <f t="shared" ca="1" si="4"/>
        <v>-21.07</v>
      </c>
      <c r="K37" s="14">
        <f t="shared" ca="1" si="4"/>
        <v>-21.96</v>
      </c>
      <c r="L37" s="14">
        <f t="shared" ca="1" si="4"/>
        <v>-22.15</v>
      </c>
      <c r="M37" s="14">
        <f t="shared" ca="1" si="4"/>
        <v>-22.33</v>
      </c>
      <c r="N37" s="14">
        <f t="shared" ca="1" si="4"/>
        <v>-22.53</v>
      </c>
      <c r="O37" s="14">
        <f t="shared" ca="1" si="4"/>
        <v>-22.76</v>
      </c>
      <c r="P37" s="14">
        <f t="shared" ca="1" si="4"/>
        <v>-23.03</v>
      </c>
      <c r="Q37" s="14">
        <f t="shared" ca="1" si="4"/>
        <v>-23.31</v>
      </c>
      <c r="R37" s="14">
        <f t="shared" ca="1" si="4"/>
        <v>-23.6</v>
      </c>
      <c r="S37" s="14">
        <f t="shared" ca="1" si="4"/>
        <v>-23.89</v>
      </c>
      <c r="T37" s="14">
        <f t="shared" ca="1" si="4"/>
        <v>-24.17</v>
      </c>
      <c r="U37" s="14">
        <f t="shared" ca="1" si="4"/>
        <v>-24.46</v>
      </c>
      <c r="V37" s="14">
        <f t="shared" ca="1" si="4"/>
        <v>-24.74</v>
      </c>
      <c r="W37" s="14">
        <f t="shared" ca="1" si="4"/>
        <v>-25.02</v>
      </c>
      <c r="X37" s="14">
        <f t="shared" ca="1" si="4"/>
        <v>-26.11</v>
      </c>
      <c r="Y37" s="14">
        <f t="shared" ca="1" si="4"/>
        <v>-27.16</v>
      </c>
      <c r="Z37" s="14">
        <f t="shared" ca="1" si="4"/>
        <v>-28.16</v>
      </c>
      <c r="AA37" s="14">
        <f t="shared" ca="1" si="4"/>
        <v>-29.13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ref="AH37:AL37" ca="1" si="7">OFFSET($E$3:$AL$3,$D37,0)</f>
        <v>0</v>
      </c>
      <c r="AI37" s="14">
        <f t="shared" ca="1" si="7"/>
        <v>0</v>
      </c>
      <c r="AJ37" s="14">
        <f t="shared" ca="1" si="7"/>
        <v>0</v>
      </c>
      <c r="AK37" s="14">
        <f t="shared" ca="1" si="7"/>
        <v>0</v>
      </c>
      <c r="AL37" s="14">
        <f t="shared" ca="1" si="7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s="37" customFormat="1" ht="21" customHeight="1" thickBot="1" x14ac:dyDescent="0.4"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21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8">G3</f>
        <v>293.3</v>
      </c>
      <c r="H40" s="8">
        <f t="shared" si="8"/>
        <v>313.5</v>
      </c>
      <c r="I40" s="8">
        <f t="shared" si="8"/>
        <v>333.7</v>
      </c>
      <c r="J40" s="8">
        <f t="shared" si="8"/>
        <v>353.9</v>
      </c>
      <c r="K40" s="8">
        <f t="shared" si="8"/>
        <v>434.7</v>
      </c>
      <c r="L40" s="8">
        <f t="shared" si="8"/>
        <v>454.9</v>
      </c>
      <c r="M40" s="8">
        <f t="shared" si="8"/>
        <v>475.1</v>
      </c>
      <c r="N40" s="8">
        <f t="shared" si="8"/>
        <v>495.2</v>
      </c>
      <c r="O40" s="8">
        <f t="shared" si="8"/>
        <v>515.4</v>
      </c>
      <c r="P40" s="8">
        <f t="shared" si="8"/>
        <v>535.6</v>
      </c>
      <c r="Q40" s="8">
        <f t="shared" si="8"/>
        <v>555.79999999999995</v>
      </c>
      <c r="R40" s="8">
        <f t="shared" si="8"/>
        <v>576</v>
      </c>
      <c r="S40" s="8">
        <f t="shared" si="8"/>
        <v>596.20000000000005</v>
      </c>
      <c r="T40" s="8">
        <f t="shared" si="8"/>
        <v>616.4</v>
      </c>
      <c r="U40" s="8">
        <f t="shared" si="8"/>
        <v>636.6</v>
      </c>
      <c r="V40" s="8">
        <f t="shared" si="8"/>
        <v>656.8</v>
      </c>
      <c r="W40" s="8">
        <f t="shared" si="8"/>
        <v>677</v>
      </c>
      <c r="X40" s="8">
        <f t="shared" si="8"/>
        <v>757.7</v>
      </c>
      <c r="Y40" s="8">
        <f t="shared" si="8"/>
        <v>838.5</v>
      </c>
      <c r="Z40" s="8">
        <f t="shared" si="8"/>
        <v>919.2</v>
      </c>
      <c r="AA40" s="8">
        <f t="shared" si="8"/>
        <v>1000</v>
      </c>
      <c r="AB40" s="8">
        <f t="shared" si="8"/>
        <v>0</v>
      </c>
      <c r="AC40" s="8">
        <f t="shared" si="8"/>
        <v>0</v>
      </c>
      <c r="AD40" s="8">
        <f t="shared" si="8"/>
        <v>0</v>
      </c>
      <c r="AE40" s="8">
        <f t="shared" si="8"/>
        <v>0</v>
      </c>
      <c r="AF40" s="8">
        <f t="shared" si="8"/>
        <v>0</v>
      </c>
      <c r="AG40" s="8">
        <f t="shared" si="8"/>
        <v>0</v>
      </c>
      <c r="AH40" s="8">
        <f t="shared" si="8"/>
        <v>0</v>
      </c>
      <c r="AI40" s="8">
        <f t="shared" si="8"/>
        <v>0</v>
      </c>
      <c r="AJ40" s="8">
        <f t="shared" si="8"/>
        <v>0</v>
      </c>
      <c r="AK40" s="8">
        <f t="shared" si="8"/>
        <v>0</v>
      </c>
      <c r="AL40" s="8">
        <f t="shared" si="8"/>
        <v>0</v>
      </c>
    </row>
    <row r="41" spans="1:54" ht="21" hidden="1" customHeight="1" outlineLevel="1" thickTop="1" x14ac:dyDescent="0.35">
      <c r="A41" s="9">
        <f t="array" ref="A41">Values!D3:G3/Values!$E$3</f>
        <v>0.625</v>
      </c>
      <c r="B41" s="9">
        <f t="array" ref="B41">Values!E3:H3/Values!$E$3</f>
        <v>1</v>
      </c>
      <c r="C41" s="9">
        <f t="array" ref="C41">Values!F3:I3/Values!$E$3</f>
        <v>0</v>
      </c>
      <c r="D41" s="9">
        <f t="array" ref="D41">Values!G3:J3/Values!$E$3</f>
        <v>1.5</v>
      </c>
      <c r="E41" s="9">
        <f>SUM(A41:D41)</f>
        <v>3.125</v>
      </c>
      <c r="F41" s="10">
        <f t="shared" ref="F41:AL41" ca="1" si="9">($B$41*H.Ge+$C$41*H.Ga+$D$41*H.Se)*F$40*$B$2/1000</f>
        <v>-118.71167058600003</v>
      </c>
      <c r="G41" s="10">
        <f t="shared" ca="1" si="9"/>
        <v>-120.73720750350002</v>
      </c>
      <c r="H41" s="10">
        <f t="shared" ca="1" si="9"/>
        <v>-123.09648429375001</v>
      </c>
      <c r="I41" s="10">
        <f t="shared" ca="1" si="9"/>
        <v>-125.88127225050002</v>
      </c>
      <c r="J41" s="10">
        <f t="shared" ca="1" si="9"/>
        <v>-129.24938058375</v>
      </c>
      <c r="K41" s="10">
        <f t="shared" ca="1" si="9"/>
        <v>-146.0833088967</v>
      </c>
      <c r="L41" s="10">
        <f t="shared" ca="1" si="9"/>
        <v>-151.18473855059997</v>
      </c>
      <c r="M41" s="10">
        <f t="shared" ca="1" si="9"/>
        <v>-157.05675523305004</v>
      </c>
      <c r="N41" s="10">
        <f t="shared" ca="1" si="9"/>
        <v>-163.80838781400004</v>
      </c>
      <c r="O41" s="10">
        <f t="shared" ca="1" si="9"/>
        <v>-171.4374437598</v>
      </c>
      <c r="P41" s="10">
        <f t="shared" ca="1" si="9"/>
        <v>-179.80426857120005</v>
      </c>
      <c r="Q41" s="10">
        <f t="shared" ca="1" si="9"/>
        <v>-188.57727167369995</v>
      </c>
      <c r="R41" s="10">
        <f t="shared" ca="1" si="9"/>
        <v>-197.66745964800003</v>
      </c>
      <c r="S41" s="10">
        <f t="shared" ca="1" si="9"/>
        <v>-206.96408667990008</v>
      </c>
      <c r="T41" s="10">
        <f t="shared" ca="1" si="9"/>
        <v>-216.36969020040004</v>
      </c>
      <c r="U41" s="10">
        <f t="shared" ca="1" si="9"/>
        <v>-226.01684990070004</v>
      </c>
      <c r="V41" s="10">
        <f t="shared" ca="1" si="9"/>
        <v>-235.74979861200001</v>
      </c>
      <c r="W41" s="10">
        <f t="shared" ca="1" si="9"/>
        <v>-245.64028714350005</v>
      </c>
      <c r="X41" s="10">
        <f t="shared" ca="1" si="9"/>
        <v>-286.45630067550002</v>
      </c>
      <c r="Y41" s="10">
        <f t="shared" ca="1" si="9"/>
        <v>-329.31561089700006</v>
      </c>
      <c r="Z41" s="10">
        <f t="shared" ca="1" si="9"/>
        <v>-373.88795921640008</v>
      </c>
      <c r="AA41" s="10">
        <f t="shared" ca="1" si="9"/>
        <v>-420.32291850000001</v>
      </c>
      <c r="AB41" s="10">
        <f t="shared" ca="1" si="9"/>
        <v>0</v>
      </c>
      <c r="AC41" s="10">
        <f t="shared" ca="1" si="9"/>
        <v>0</v>
      </c>
      <c r="AD41" s="10">
        <f t="shared" ca="1" si="9"/>
        <v>0</v>
      </c>
      <c r="AE41" s="10">
        <f t="shared" ca="1" si="9"/>
        <v>0</v>
      </c>
      <c r="AF41" s="10">
        <f t="shared" ca="1" si="9"/>
        <v>0</v>
      </c>
      <c r="AG41" s="10">
        <f t="shared" ca="1" si="9"/>
        <v>0</v>
      </c>
      <c r="AH41" s="10">
        <f t="shared" ca="1" si="9"/>
        <v>0</v>
      </c>
      <c r="AI41" s="10">
        <f t="shared" ca="1" si="9"/>
        <v>0</v>
      </c>
      <c r="AJ41" s="10">
        <f t="shared" ca="1" si="9"/>
        <v>0</v>
      </c>
      <c r="AK41" s="10">
        <f t="shared" ca="1" si="9"/>
        <v>0</v>
      </c>
      <c r="AL41" s="10">
        <f t="shared" ca="1" si="9"/>
        <v>0</v>
      </c>
    </row>
    <row r="42" spans="1:54" ht="176.25" hidden="1" customHeight="1" outlineLevel="1" x14ac:dyDescent="0.35"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</row>
    <row r="43" spans="1:54" ht="21" customHeight="1" collapsed="1" thickTop="1" x14ac:dyDescent="0.35"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</row>
    <row r="44" spans="1:54" ht="21" customHeight="1" x14ac:dyDescent="0.4">
      <c r="A44" s="75"/>
      <c r="B44" s="75"/>
      <c r="C44" s="75"/>
      <c r="D44" s="75"/>
      <c r="E44" s="74" t="s">
        <v>22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10">E3</f>
        <v>Temperature,К</v>
      </c>
      <c r="F45" s="3">
        <f t="shared" si="10"/>
        <v>273.10000000000002</v>
      </c>
      <c r="G45" s="3">
        <f t="shared" si="10"/>
        <v>293.3</v>
      </c>
      <c r="H45" s="3">
        <f t="shared" si="10"/>
        <v>313.5</v>
      </c>
      <c r="I45" s="3">
        <f t="shared" si="10"/>
        <v>333.7</v>
      </c>
      <c r="J45" s="3">
        <f t="shared" si="10"/>
        <v>353.9</v>
      </c>
      <c r="K45" s="3">
        <f t="shared" si="10"/>
        <v>434.7</v>
      </c>
      <c r="L45" s="3">
        <f t="shared" si="10"/>
        <v>454.9</v>
      </c>
      <c r="M45" s="3">
        <f t="shared" si="10"/>
        <v>475.1</v>
      </c>
      <c r="N45" s="3">
        <f t="shared" si="10"/>
        <v>495.2</v>
      </c>
      <c r="O45" s="3">
        <f t="shared" si="10"/>
        <v>515.4</v>
      </c>
      <c r="P45" s="3">
        <f t="shared" si="10"/>
        <v>535.6</v>
      </c>
      <c r="Q45" s="3">
        <f t="shared" si="10"/>
        <v>555.79999999999995</v>
      </c>
      <c r="R45" s="3">
        <f t="shared" si="10"/>
        <v>576</v>
      </c>
      <c r="S45" s="3">
        <f t="shared" si="10"/>
        <v>596.20000000000005</v>
      </c>
      <c r="T45" s="3">
        <f t="shared" si="10"/>
        <v>616.4</v>
      </c>
      <c r="U45" s="3">
        <f t="shared" si="10"/>
        <v>636.6</v>
      </c>
      <c r="V45" s="3">
        <f t="shared" si="10"/>
        <v>656.8</v>
      </c>
      <c r="W45" s="3">
        <f t="shared" si="10"/>
        <v>677</v>
      </c>
      <c r="X45" s="3">
        <f t="shared" si="10"/>
        <v>757.7</v>
      </c>
      <c r="Y45" s="3">
        <f t="shared" si="10"/>
        <v>838.5</v>
      </c>
      <c r="Z45" s="3">
        <f t="shared" si="10"/>
        <v>919.2</v>
      </c>
      <c r="AA45" s="3">
        <f t="shared" si="10"/>
        <v>1000</v>
      </c>
      <c r="AB45" s="3">
        <f t="shared" si="10"/>
        <v>0</v>
      </c>
      <c r="AC45" s="3">
        <f t="shared" si="10"/>
        <v>0</v>
      </c>
      <c r="AD45" s="3">
        <f t="shared" si="10"/>
        <v>0</v>
      </c>
      <c r="AE45" s="3">
        <f t="shared" si="10"/>
        <v>0</v>
      </c>
      <c r="AF45" s="3">
        <f t="shared" si="10"/>
        <v>0</v>
      </c>
      <c r="AG45" s="3">
        <f t="shared" si="10"/>
        <v>0</v>
      </c>
      <c r="AH45" s="3">
        <f t="shared" si="10"/>
        <v>0</v>
      </c>
      <c r="AI45" s="3">
        <f t="shared" si="10"/>
        <v>0</v>
      </c>
      <c r="AJ45" s="3">
        <f t="shared" si="10"/>
        <v>0</v>
      </c>
      <c r="AK45" s="3">
        <f t="shared" si="10"/>
        <v>0</v>
      </c>
      <c r="AL45" s="3">
        <f t="shared" si="10"/>
        <v>0</v>
      </c>
    </row>
    <row r="46" spans="1:54" ht="21" hidden="1" customHeight="1" outlineLevel="1" thickTop="1" thickBot="1" x14ac:dyDescent="0.4">
      <c r="A46" s="5">
        <f t="shared" ref="A46:E55" si="11">A4</f>
        <v>0</v>
      </c>
      <c r="B46" s="5">
        <f t="shared" si="11"/>
        <v>1</v>
      </c>
      <c r="C46" s="5">
        <f t="shared" si="11"/>
        <v>0</v>
      </c>
      <c r="D46" s="5">
        <f t="shared" si="11"/>
        <v>0</v>
      </c>
      <c r="E46" s="6" t="str">
        <f t="shared" si="11"/>
        <v>*Se[m]</v>
      </c>
      <c r="F46" s="14">
        <f t="shared" ref="F46:U55" ca="1" si="12">$A46*H.Ar + $B46*H.Se + $C46*H.Ge + $D46*H.Ga</f>
        <v>-23.56</v>
      </c>
      <c r="G46" s="14">
        <f t="shared" ca="1" si="12"/>
        <v>-22.32</v>
      </c>
      <c r="H46" s="14">
        <f t="shared" ca="1" si="12"/>
        <v>-21.49</v>
      </c>
      <c r="I46" s="14">
        <f t="shared" ca="1" si="12"/>
        <v>-21.1</v>
      </c>
      <c r="J46" s="14">
        <f t="shared" ca="1" si="12"/>
        <v>-21.07</v>
      </c>
      <c r="K46" s="14">
        <f t="shared" ca="1" si="12"/>
        <v>-21.96</v>
      </c>
      <c r="L46" s="14">
        <f t="shared" ca="1" si="12"/>
        <v>-22.15</v>
      </c>
      <c r="M46" s="14">
        <f t="shared" ca="1" si="12"/>
        <v>-22.33</v>
      </c>
      <c r="N46" s="14">
        <f t="shared" ca="1" si="12"/>
        <v>-22.53</v>
      </c>
      <c r="O46" s="14">
        <f t="shared" ca="1" si="12"/>
        <v>-22.76</v>
      </c>
      <c r="P46" s="14">
        <f t="shared" ca="1" si="12"/>
        <v>-23.03</v>
      </c>
      <c r="Q46" s="14">
        <f t="shared" ca="1" si="12"/>
        <v>-23.31</v>
      </c>
      <c r="R46" s="14">
        <f t="shared" ca="1" si="12"/>
        <v>-23.6</v>
      </c>
      <c r="S46" s="14">
        <f t="shared" ca="1" si="12"/>
        <v>-23.89</v>
      </c>
      <c r="T46" s="14">
        <f t="shared" ca="1" si="12"/>
        <v>-24.17</v>
      </c>
      <c r="U46" s="14">
        <f t="shared" ca="1" si="12"/>
        <v>-24.46</v>
      </c>
      <c r="V46" s="14">
        <f t="shared" ref="G46:AL54" ca="1" si="13">$A46*H.Ar + $B46*H.Se + $C46*H.Ge + $D46*H.Ga</f>
        <v>-24.74</v>
      </c>
      <c r="W46" s="14">
        <f t="shared" ca="1" si="13"/>
        <v>-25.02</v>
      </c>
      <c r="X46" s="14">
        <f t="shared" ca="1" si="13"/>
        <v>-26.11</v>
      </c>
      <c r="Y46" s="14">
        <f t="shared" ca="1" si="13"/>
        <v>-27.16</v>
      </c>
      <c r="Z46" s="14">
        <f t="shared" ca="1" si="13"/>
        <v>-28.16</v>
      </c>
      <c r="AA46" s="14">
        <f t="shared" ca="1" si="13"/>
        <v>-29.13</v>
      </c>
      <c r="AB46" s="14">
        <f t="shared" ca="1" si="13"/>
        <v>0</v>
      </c>
      <c r="AC46" s="14">
        <f t="shared" ca="1" si="13"/>
        <v>0</v>
      </c>
      <c r="AD46" s="14">
        <f t="shared" ca="1" si="13"/>
        <v>0</v>
      </c>
      <c r="AE46" s="14">
        <f t="shared" ca="1" si="13"/>
        <v>0</v>
      </c>
      <c r="AF46" s="14">
        <f t="shared" ca="1" si="13"/>
        <v>0</v>
      </c>
      <c r="AG46" s="14">
        <f t="shared" ca="1" si="13"/>
        <v>0</v>
      </c>
      <c r="AH46" s="14">
        <f t="shared" ca="1" si="13"/>
        <v>0</v>
      </c>
      <c r="AI46" s="14">
        <f t="shared" ca="1" si="13"/>
        <v>0</v>
      </c>
      <c r="AJ46" s="14">
        <f t="shared" ca="1" si="13"/>
        <v>0</v>
      </c>
      <c r="AK46" s="14">
        <f t="shared" ca="1" si="13"/>
        <v>0</v>
      </c>
      <c r="AL46" s="14">
        <f t="shared" ca="1" si="13"/>
        <v>0</v>
      </c>
    </row>
    <row r="47" spans="1:54" ht="21" hidden="1" customHeight="1" outlineLevel="1" thickBot="1" x14ac:dyDescent="0.4">
      <c r="A47" s="5">
        <f t="shared" si="11"/>
        <v>0</v>
      </c>
      <c r="B47" s="5">
        <f t="shared" si="11"/>
        <v>2</v>
      </c>
      <c r="C47" s="5">
        <f t="shared" si="11"/>
        <v>1</v>
      </c>
      <c r="D47" s="5">
        <f t="shared" si="11"/>
        <v>0</v>
      </c>
      <c r="E47" s="6" t="str">
        <f t="shared" si="11"/>
        <v>*GeSe2</v>
      </c>
      <c r="F47" s="14">
        <f t="shared" ca="1" si="12"/>
        <v>-64.06</v>
      </c>
      <c r="G47" s="14">
        <f t="shared" ca="1" si="13"/>
        <v>-60.67</v>
      </c>
      <c r="H47" s="14">
        <f t="shared" ca="1" si="13"/>
        <v>-57.97</v>
      </c>
      <c r="I47" s="14">
        <f t="shared" ca="1" si="13"/>
        <v>-55.92</v>
      </c>
      <c r="J47" s="14">
        <f t="shared" ca="1" si="13"/>
        <v>-54.46</v>
      </c>
      <c r="K47" s="14">
        <f t="shared" ca="1" si="13"/>
        <v>-51.398000000000003</v>
      </c>
      <c r="L47" s="14">
        <f t="shared" ca="1" si="13"/>
        <v>-51.046999999999997</v>
      </c>
      <c r="M47" s="14">
        <f t="shared" ca="1" si="13"/>
        <v>-50.923999999999999</v>
      </c>
      <c r="N47" s="14">
        <f t="shared" ca="1" si="13"/>
        <v>-51.050000000000004</v>
      </c>
      <c r="O47" s="14">
        <f t="shared" ca="1" si="13"/>
        <v>-51.386000000000003</v>
      </c>
      <c r="P47" s="14">
        <f t="shared" ca="1" si="13"/>
        <v>-51.891000000000005</v>
      </c>
      <c r="Q47" s="14">
        <f t="shared" ca="1" si="13"/>
        <v>-52.461999999999996</v>
      </c>
      <c r="R47" s="14">
        <f t="shared" ca="1" si="13"/>
        <v>-53.074000000000005</v>
      </c>
      <c r="S47" s="14">
        <f t="shared" ca="1" si="13"/>
        <v>-53.695999999999998</v>
      </c>
      <c r="T47" s="14">
        <f t="shared" ca="1" si="13"/>
        <v>-54.303000000000004</v>
      </c>
      <c r="U47" s="14">
        <f t="shared" ca="1" si="13"/>
        <v>-54.931000000000004</v>
      </c>
      <c r="V47" s="14">
        <f t="shared" ca="1" si="13"/>
        <v>-55.54</v>
      </c>
      <c r="W47" s="14">
        <f t="shared" ca="1" si="13"/>
        <v>-56.149000000000001</v>
      </c>
      <c r="X47" s="14">
        <f t="shared" ca="1" si="13"/>
        <v>-58.524999999999999</v>
      </c>
      <c r="Y47" s="14">
        <f t="shared" ca="1" si="13"/>
        <v>-60.816000000000003</v>
      </c>
      <c r="Z47" s="14">
        <f t="shared" ca="1" si="13"/>
        <v>-63.000999999999998</v>
      </c>
      <c r="AA47" s="14">
        <f t="shared" ca="1" si="13"/>
        <v>-65.117999999999995</v>
      </c>
      <c r="AB47" s="14">
        <f t="shared" ca="1" si="13"/>
        <v>0</v>
      </c>
      <c r="AC47" s="14">
        <f t="shared" ca="1" si="13"/>
        <v>0</v>
      </c>
      <c r="AD47" s="14">
        <f t="shared" ca="1" si="13"/>
        <v>0</v>
      </c>
      <c r="AE47" s="14">
        <f t="shared" ca="1" si="13"/>
        <v>0</v>
      </c>
      <c r="AF47" s="14">
        <f t="shared" ca="1" si="13"/>
        <v>0</v>
      </c>
      <c r="AG47" s="14">
        <f t="shared" ca="1" si="13"/>
        <v>0</v>
      </c>
      <c r="AH47" s="14">
        <f t="shared" ca="1" si="13"/>
        <v>0</v>
      </c>
      <c r="AI47" s="14">
        <f t="shared" ca="1" si="13"/>
        <v>0</v>
      </c>
      <c r="AJ47" s="14">
        <f t="shared" ca="1" si="13"/>
        <v>0</v>
      </c>
      <c r="AK47" s="14">
        <f t="shared" ca="1" si="13"/>
        <v>0</v>
      </c>
      <c r="AL47" s="14">
        <f t="shared" ca="1" si="13"/>
        <v>0</v>
      </c>
    </row>
    <row r="48" spans="1:54" ht="21" hidden="1" customHeight="1" outlineLevel="1" thickBot="1" x14ac:dyDescent="0.4">
      <c r="A48" s="5">
        <f t="shared" si="11"/>
        <v>0</v>
      </c>
      <c r="B48" s="5">
        <f t="shared" si="11"/>
        <v>1</v>
      </c>
      <c r="C48" s="5">
        <f t="shared" si="11"/>
        <v>1</v>
      </c>
      <c r="D48" s="5">
        <f t="shared" si="11"/>
        <v>0</v>
      </c>
      <c r="E48" s="6" t="str">
        <f t="shared" si="11"/>
        <v>*GeSe</v>
      </c>
      <c r="F48" s="14">
        <f t="shared" ca="1" si="12"/>
        <v>-40.5</v>
      </c>
      <c r="G48" s="14">
        <f t="shared" ca="1" si="13"/>
        <v>-38.35</v>
      </c>
      <c r="H48" s="14">
        <f t="shared" ca="1" si="13"/>
        <v>-36.479999999999997</v>
      </c>
      <c r="I48" s="14">
        <f t="shared" ca="1" si="13"/>
        <v>-34.82</v>
      </c>
      <c r="J48" s="14">
        <f t="shared" ca="1" si="13"/>
        <v>-33.39</v>
      </c>
      <c r="K48" s="14">
        <f t="shared" ca="1" si="13"/>
        <v>-29.438000000000002</v>
      </c>
      <c r="L48" s="14">
        <f t="shared" ca="1" si="13"/>
        <v>-28.896999999999998</v>
      </c>
      <c r="M48" s="14">
        <f t="shared" ca="1" si="13"/>
        <v>-28.593999999999998</v>
      </c>
      <c r="N48" s="14">
        <f t="shared" ca="1" si="13"/>
        <v>-28.520000000000003</v>
      </c>
      <c r="O48" s="14">
        <f t="shared" ca="1" si="13"/>
        <v>-28.626000000000001</v>
      </c>
      <c r="P48" s="14">
        <f t="shared" ca="1" si="13"/>
        <v>-28.861000000000001</v>
      </c>
      <c r="Q48" s="14">
        <f t="shared" ca="1" si="13"/>
        <v>-29.151999999999997</v>
      </c>
      <c r="R48" s="14">
        <f t="shared" ca="1" si="13"/>
        <v>-29.474</v>
      </c>
      <c r="S48" s="14">
        <f t="shared" ca="1" si="13"/>
        <v>-29.806000000000001</v>
      </c>
      <c r="T48" s="14">
        <f t="shared" ca="1" si="13"/>
        <v>-30.133000000000003</v>
      </c>
      <c r="U48" s="14">
        <f t="shared" ca="1" si="13"/>
        <v>-30.471</v>
      </c>
      <c r="V48" s="14">
        <f t="shared" ca="1" si="13"/>
        <v>-30.799999999999997</v>
      </c>
      <c r="W48" s="14">
        <f t="shared" ca="1" si="13"/>
        <v>-31.128999999999998</v>
      </c>
      <c r="X48" s="14">
        <f t="shared" ca="1" si="13"/>
        <v>-32.414999999999999</v>
      </c>
      <c r="Y48" s="14">
        <f t="shared" ca="1" si="13"/>
        <v>-33.655999999999999</v>
      </c>
      <c r="Z48" s="14">
        <f t="shared" ca="1" si="13"/>
        <v>-34.841000000000001</v>
      </c>
      <c r="AA48" s="14">
        <f t="shared" ca="1" si="13"/>
        <v>-35.988</v>
      </c>
      <c r="AB48" s="14">
        <f t="shared" ca="1" si="13"/>
        <v>0</v>
      </c>
      <c r="AC48" s="14">
        <f t="shared" ca="1" si="13"/>
        <v>0</v>
      </c>
      <c r="AD48" s="14">
        <f t="shared" ca="1" si="13"/>
        <v>0</v>
      </c>
      <c r="AE48" s="14">
        <f t="shared" ca="1" si="13"/>
        <v>0</v>
      </c>
      <c r="AF48" s="14">
        <f t="shared" ca="1" si="13"/>
        <v>0</v>
      </c>
      <c r="AG48" s="14">
        <f t="shared" ca="1" si="13"/>
        <v>0</v>
      </c>
      <c r="AH48" s="14">
        <f t="shared" ca="1" si="13"/>
        <v>0</v>
      </c>
      <c r="AI48" s="14">
        <f t="shared" ca="1" si="13"/>
        <v>0</v>
      </c>
      <c r="AJ48" s="14">
        <f t="shared" ca="1" si="13"/>
        <v>0</v>
      </c>
      <c r="AK48" s="14">
        <f t="shared" ca="1" si="13"/>
        <v>0</v>
      </c>
      <c r="AL48" s="14">
        <f t="shared" ca="1" si="13"/>
        <v>0</v>
      </c>
    </row>
    <row r="49" spans="1:38" ht="21" hidden="1" customHeight="1" outlineLevel="1" thickBot="1" x14ac:dyDescent="0.4">
      <c r="A49" s="5">
        <f t="shared" si="11"/>
        <v>1</v>
      </c>
      <c r="B49" s="5">
        <f t="shared" si="11"/>
        <v>0</v>
      </c>
      <c r="C49" s="5">
        <f t="shared" si="11"/>
        <v>0</v>
      </c>
      <c r="D49" s="5">
        <f t="shared" si="11"/>
        <v>0</v>
      </c>
      <c r="E49" s="6" t="str">
        <f t="shared" si="11"/>
        <v>Ar</v>
      </c>
      <c r="F49" s="14">
        <f t="shared" ca="1" si="12"/>
        <v>-18.62</v>
      </c>
      <c r="G49" s="14">
        <f t="shared" ca="1" si="13"/>
        <v>-18.61</v>
      </c>
      <c r="H49" s="14">
        <f t="shared" ca="1" si="13"/>
        <v>-18.61</v>
      </c>
      <c r="I49" s="14">
        <f t="shared" ca="1" si="13"/>
        <v>-18.63</v>
      </c>
      <c r="J49" s="14">
        <f t="shared" ca="1" si="13"/>
        <v>-18.649999999999999</v>
      </c>
      <c r="K49" s="14">
        <f t="shared" ca="1" si="13"/>
        <v>-18.77</v>
      </c>
      <c r="L49" s="14">
        <f t="shared" ca="1" si="13"/>
        <v>-18.809999999999999</v>
      </c>
      <c r="M49" s="14">
        <f t="shared" ca="1" si="13"/>
        <v>-18.84</v>
      </c>
      <c r="N49" s="14">
        <f t="shared" ca="1" si="13"/>
        <v>-18.88</v>
      </c>
      <c r="O49" s="14">
        <f t="shared" ca="1" si="13"/>
        <v>-18.93</v>
      </c>
      <c r="P49" s="14">
        <f t="shared" ca="1" si="13"/>
        <v>-18.97</v>
      </c>
      <c r="Q49" s="14">
        <f t="shared" ca="1" si="13"/>
        <v>-19.010000000000002</v>
      </c>
      <c r="R49" s="14">
        <f t="shared" ca="1" si="13"/>
        <v>-19.05</v>
      </c>
      <c r="S49" s="14">
        <f t="shared" ca="1" si="13"/>
        <v>-19.09</v>
      </c>
      <c r="T49" s="14">
        <f t="shared" ca="1" si="13"/>
        <v>-19.14</v>
      </c>
      <c r="U49" s="14">
        <f t="shared" ca="1" si="13"/>
        <v>-19.18</v>
      </c>
      <c r="V49" s="14">
        <f t="shared" ca="1" si="13"/>
        <v>-19.22</v>
      </c>
      <c r="W49" s="14">
        <f t="shared" ca="1" si="13"/>
        <v>-19.260000000000002</v>
      </c>
      <c r="X49" s="14">
        <f t="shared" ca="1" si="13"/>
        <v>-19.43</v>
      </c>
      <c r="Y49" s="14">
        <f t="shared" ca="1" si="13"/>
        <v>-19.59</v>
      </c>
      <c r="Z49" s="14">
        <f t="shared" ca="1" si="13"/>
        <v>-19.739999999999998</v>
      </c>
      <c r="AA49" s="14">
        <f t="shared" ca="1" si="13"/>
        <v>-19.88</v>
      </c>
      <c r="AB49" s="14">
        <f t="shared" ca="1" si="13"/>
        <v>0</v>
      </c>
      <c r="AC49" s="14">
        <f t="shared" ca="1" si="13"/>
        <v>0</v>
      </c>
      <c r="AD49" s="14">
        <f t="shared" ca="1" si="13"/>
        <v>0</v>
      </c>
      <c r="AE49" s="14">
        <f t="shared" ca="1" si="13"/>
        <v>0</v>
      </c>
      <c r="AF49" s="14">
        <f t="shared" ca="1" si="13"/>
        <v>0</v>
      </c>
      <c r="AG49" s="14">
        <f t="shared" ca="1" si="13"/>
        <v>0</v>
      </c>
      <c r="AH49" s="14">
        <f t="shared" ca="1" si="13"/>
        <v>0</v>
      </c>
      <c r="AI49" s="14">
        <f t="shared" ca="1" si="13"/>
        <v>0</v>
      </c>
      <c r="AJ49" s="14">
        <f t="shared" ca="1" si="13"/>
        <v>0</v>
      </c>
      <c r="AK49" s="14">
        <f t="shared" ca="1" si="13"/>
        <v>0</v>
      </c>
      <c r="AL49" s="14">
        <f t="shared" ca="1" si="13"/>
        <v>0</v>
      </c>
    </row>
    <row r="50" spans="1:38" ht="21" hidden="1" customHeight="1" outlineLevel="1" thickBot="1" x14ac:dyDescent="0.4">
      <c r="A50" s="5">
        <f t="shared" si="11"/>
        <v>0</v>
      </c>
      <c r="B50" s="5">
        <f t="shared" si="11"/>
        <v>2</v>
      </c>
      <c r="C50" s="5">
        <f t="shared" si="11"/>
        <v>1</v>
      </c>
      <c r="D50" s="5">
        <f t="shared" si="11"/>
        <v>0</v>
      </c>
      <c r="E50" s="6" t="str">
        <f t="shared" si="11"/>
        <v>(l)GeSe2</v>
      </c>
      <c r="F50" s="14">
        <f t="shared" ca="1" si="12"/>
        <v>-64.06</v>
      </c>
      <c r="G50" s="14">
        <f t="shared" ca="1" si="13"/>
        <v>-60.67</v>
      </c>
      <c r="H50" s="14">
        <f t="shared" ca="1" si="13"/>
        <v>-57.97</v>
      </c>
      <c r="I50" s="14">
        <f t="shared" ca="1" si="13"/>
        <v>-55.92</v>
      </c>
      <c r="J50" s="14">
        <f t="shared" ca="1" si="13"/>
        <v>-54.46</v>
      </c>
      <c r="K50" s="14">
        <f t="shared" ca="1" si="13"/>
        <v>-51.398000000000003</v>
      </c>
      <c r="L50" s="14">
        <f t="shared" ca="1" si="13"/>
        <v>-51.046999999999997</v>
      </c>
      <c r="M50" s="14">
        <f t="shared" ca="1" si="13"/>
        <v>-50.923999999999999</v>
      </c>
      <c r="N50" s="14">
        <f t="shared" ca="1" si="13"/>
        <v>-51.050000000000004</v>
      </c>
      <c r="O50" s="14">
        <f t="shared" ca="1" si="13"/>
        <v>-51.386000000000003</v>
      </c>
      <c r="P50" s="14">
        <f t="shared" ca="1" si="13"/>
        <v>-51.891000000000005</v>
      </c>
      <c r="Q50" s="14">
        <f t="shared" ca="1" si="13"/>
        <v>-52.461999999999996</v>
      </c>
      <c r="R50" s="14">
        <f t="shared" ca="1" si="13"/>
        <v>-53.074000000000005</v>
      </c>
      <c r="S50" s="14">
        <f t="shared" ca="1" si="13"/>
        <v>-53.695999999999998</v>
      </c>
      <c r="T50" s="14">
        <f t="shared" ca="1" si="13"/>
        <v>-54.303000000000004</v>
      </c>
      <c r="U50" s="14">
        <f t="shared" ca="1" si="13"/>
        <v>-54.931000000000004</v>
      </c>
      <c r="V50" s="14">
        <f t="shared" ca="1" si="13"/>
        <v>-55.54</v>
      </c>
      <c r="W50" s="14">
        <f t="shared" ca="1" si="13"/>
        <v>-56.149000000000001</v>
      </c>
      <c r="X50" s="14">
        <f t="shared" ca="1" si="13"/>
        <v>-58.524999999999999</v>
      </c>
      <c r="Y50" s="14">
        <f t="shared" ca="1" si="13"/>
        <v>-60.816000000000003</v>
      </c>
      <c r="Z50" s="14">
        <f t="shared" ca="1" si="13"/>
        <v>-63.000999999999998</v>
      </c>
      <c r="AA50" s="14">
        <f t="shared" ca="1" si="13"/>
        <v>-65.117999999999995</v>
      </c>
      <c r="AB50" s="14">
        <f t="shared" ca="1" si="13"/>
        <v>0</v>
      </c>
      <c r="AC50" s="14">
        <f t="shared" ca="1" si="13"/>
        <v>0</v>
      </c>
      <c r="AD50" s="14">
        <f t="shared" ca="1" si="13"/>
        <v>0</v>
      </c>
      <c r="AE50" s="14">
        <f t="shared" ca="1" si="13"/>
        <v>0</v>
      </c>
      <c r="AF50" s="14">
        <f t="shared" ca="1" si="13"/>
        <v>0</v>
      </c>
      <c r="AG50" s="14">
        <f t="shared" ca="1" si="13"/>
        <v>0</v>
      </c>
      <c r="AH50" s="14">
        <f t="shared" ca="1" si="13"/>
        <v>0</v>
      </c>
      <c r="AI50" s="14">
        <f t="shared" ca="1" si="13"/>
        <v>0</v>
      </c>
      <c r="AJ50" s="14">
        <f t="shared" ca="1" si="13"/>
        <v>0</v>
      </c>
      <c r="AK50" s="14">
        <f t="shared" ca="1" si="13"/>
        <v>0</v>
      </c>
      <c r="AL50" s="14">
        <f t="shared" ca="1" si="13"/>
        <v>0</v>
      </c>
    </row>
    <row r="51" spans="1:38" ht="21" hidden="1" customHeight="1" outlineLevel="1" thickBot="1" x14ac:dyDescent="0.4">
      <c r="A51" s="5">
        <f t="shared" si="11"/>
        <v>0</v>
      </c>
      <c r="B51" s="5">
        <f t="shared" si="11"/>
        <v>1</v>
      </c>
      <c r="C51" s="5">
        <f t="shared" si="11"/>
        <v>1</v>
      </c>
      <c r="D51" s="5">
        <f t="shared" si="11"/>
        <v>0</v>
      </c>
      <c r="E51" s="6" t="str">
        <f t="shared" si="11"/>
        <v>(l)GeSe</v>
      </c>
      <c r="F51" s="14">
        <f t="shared" ca="1" si="12"/>
        <v>-40.5</v>
      </c>
      <c r="G51" s="14">
        <f t="shared" ca="1" si="13"/>
        <v>-38.35</v>
      </c>
      <c r="H51" s="14">
        <f t="shared" ca="1" si="13"/>
        <v>-36.479999999999997</v>
      </c>
      <c r="I51" s="14">
        <f t="shared" ca="1" si="13"/>
        <v>-34.82</v>
      </c>
      <c r="J51" s="14">
        <f t="shared" ca="1" si="13"/>
        <v>-33.39</v>
      </c>
      <c r="K51" s="14">
        <f t="shared" ca="1" si="13"/>
        <v>-29.438000000000002</v>
      </c>
      <c r="L51" s="14">
        <f t="shared" ca="1" si="13"/>
        <v>-28.896999999999998</v>
      </c>
      <c r="M51" s="14">
        <f t="shared" ca="1" si="13"/>
        <v>-28.593999999999998</v>
      </c>
      <c r="N51" s="14">
        <f t="shared" ca="1" si="13"/>
        <v>-28.520000000000003</v>
      </c>
      <c r="O51" s="14">
        <f t="shared" ca="1" si="13"/>
        <v>-28.626000000000001</v>
      </c>
      <c r="P51" s="14">
        <f t="shared" ca="1" si="13"/>
        <v>-28.861000000000001</v>
      </c>
      <c r="Q51" s="14">
        <f t="shared" ca="1" si="13"/>
        <v>-29.151999999999997</v>
      </c>
      <c r="R51" s="14">
        <f t="shared" ca="1" si="13"/>
        <v>-29.474</v>
      </c>
      <c r="S51" s="14">
        <f t="shared" ca="1" si="13"/>
        <v>-29.806000000000001</v>
      </c>
      <c r="T51" s="14">
        <f t="shared" ca="1" si="13"/>
        <v>-30.133000000000003</v>
      </c>
      <c r="U51" s="14">
        <f t="shared" ca="1" si="13"/>
        <v>-30.471</v>
      </c>
      <c r="V51" s="14">
        <f t="shared" ca="1" si="13"/>
        <v>-30.799999999999997</v>
      </c>
      <c r="W51" s="14">
        <f t="shared" ca="1" si="13"/>
        <v>-31.128999999999998</v>
      </c>
      <c r="X51" s="14">
        <f t="shared" ca="1" si="13"/>
        <v>-32.414999999999999</v>
      </c>
      <c r="Y51" s="14">
        <f t="shared" ca="1" si="13"/>
        <v>-33.655999999999999</v>
      </c>
      <c r="Z51" s="14">
        <f t="shared" ca="1" si="13"/>
        <v>-34.841000000000001</v>
      </c>
      <c r="AA51" s="14">
        <f t="shared" ca="1" si="13"/>
        <v>-35.988</v>
      </c>
      <c r="AB51" s="14">
        <f t="shared" ca="1" si="13"/>
        <v>0</v>
      </c>
      <c r="AC51" s="14">
        <f t="shared" ca="1" si="13"/>
        <v>0</v>
      </c>
      <c r="AD51" s="14">
        <f t="shared" ca="1" si="13"/>
        <v>0</v>
      </c>
      <c r="AE51" s="14">
        <f t="shared" ca="1" si="13"/>
        <v>0</v>
      </c>
      <c r="AF51" s="14">
        <f t="shared" ca="1" si="13"/>
        <v>0</v>
      </c>
      <c r="AG51" s="14">
        <f t="shared" ca="1" si="13"/>
        <v>0</v>
      </c>
      <c r="AH51" s="14">
        <f t="shared" ca="1" si="13"/>
        <v>0</v>
      </c>
      <c r="AI51" s="14">
        <f t="shared" ca="1" si="13"/>
        <v>0</v>
      </c>
      <c r="AJ51" s="14">
        <f t="shared" ca="1" si="13"/>
        <v>0</v>
      </c>
      <c r="AK51" s="14">
        <f t="shared" ca="1" si="13"/>
        <v>0</v>
      </c>
      <c r="AL51" s="14">
        <f t="shared" ca="1" si="13"/>
        <v>0</v>
      </c>
    </row>
    <row r="52" spans="1:38" ht="21" hidden="1" customHeight="1" outlineLevel="1" thickBot="1" x14ac:dyDescent="0.4">
      <c r="A52" s="5">
        <f t="shared" si="11"/>
        <v>0</v>
      </c>
      <c r="B52" s="5">
        <f t="shared" si="11"/>
        <v>0</v>
      </c>
      <c r="C52" s="5">
        <f t="shared" si="11"/>
        <v>1</v>
      </c>
      <c r="D52" s="5">
        <f t="shared" si="11"/>
        <v>0</v>
      </c>
      <c r="E52" s="6" t="str">
        <f t="shared" si="11"/>
        <v>(l)Ge</v>
      </c>
      <c r="F52" s="14">
        <f t="shared" ca="1" si="12"/>
        <v>-16.940000000000001</v>
      </c>
      <c r="G52" s="14">
        <f t="shared" ca="1" si="13"/>
        <v>-16.03</v>
      </c>
      <c r="H52" s="14">
        <f t="shared" ca="1" si="13"/>
        <v>-14.99</v>
      </c>
      <c r="I52" s="14">
        <f t="shared" ca="1" si="13"/>
        <v>-13.72</v>
      </c>
      <c r="J52" s="14">
        <f t="shared" ca="1" si="13"/>
        <v>-12.32</v>
      </c>
      <c r="K52" s="14">
        <f t="shared" ca="1" si="13"/>
        <v>-7.4779999999999998</v>
      </c>
      <c r="L52" s="14">
        <f t="shared" ca="1" si="13"/>
        <v>-6.7469999999999999</v>
      </c>
      <c r="M52" s="14">
        <f t="shared" ca="1" si="13"/>
        <v>-6.2640000000000002</v>
      </c>
      <c r="N52" s="14">
        <f t="shared" ca="1" si="13"/>
        <v>-5.99</v>
      </c>
      <c r="O52" s="14">
        <f t="shared" ca="1" si="13"/>
        <v>-5.8659999999999997</v>
      </c>
      <c r="P52" s="14">
        <f t="shared" ca="1" si="13"/>
        <v>-5.8310000000000004</v>
      </c>
      <c r="Q52" s="14">
        <f t="shared" ca="1" si="13"/>
        <v>-5.8419999999999996</v>
      </c>
      <c r="R52" s="14">
        <f t="shared" ca="1" si="13"/>
        <v>-5.8739999999999997</v>
      </c>
      <c r="S52" s="14">
        <f t="shared" ca="1" si="13"/>
        <v>-5.9160000000000004</v>
      </c>
      <c r="T52" s="14">
        <f t="shared" ca="1" si="13"/>
        <v>-5.9630000000000001</v>
      </c>
      <c r="U52" s="14">
        <f t="shared" ca="1" si="13"/>
        <v>-6.0110000000000001</v>
      </c>
      <c r="V52" s="14">
        <f t="shared" ca="1" si="13"/>
        <v>-6.06</v>
      </c>
      <c r="W52" s="14">
        <f t="shared" ca="1" si="13"/>
        <v>-6.109</v>
      </c>
      <c r="X52" s="14">
        <f t="shared" ca="1" si="13"/>
        <v>-6.3049999999999997</v>
      </c>
      <c r="Y52" s="14">
        <f t="shared" ca="1" si="13"/>
        <v>-6.4960000000000004</v>
      </c>
      <c r="Z52" s="14">
        <f t="shared" ca="1" si="13"/>
        <v>-6.681</v>
      </c>
      <c r="AA52" s="14">
        <f t="shared" ca="1" si="13"/>
        <v>-6.8579999999999997</v>
      </c>
      <c r="AB52" s="14">
        <f t="shared" ca="1" si="13"/>
        <v>0</v>
      </c>
      <c r="AC52" s="14">
        <f t="shared" ca="1" si="13"/>
        <v>0</v>
      </c>
      <c r="AD52" s="14">
        <f t="shared" ca="1" si="13"/>
        <v>0</v>
      </c>
      <c r="AE52" s="14">
        <f t="shared" ca="1" si="13"/>
        <v>0</v>
      </c>
      <c r="AF52" s="14">
        <f t="shared" ca="1" si="13"/>
        <v>0</v>
      </c>
      <c r="AG52" s="14">
        <f t="shared" ca="1" si="13"/>
        <v>0</v>
      </c>
      <c r="AH52" s="14">
        <f t="shared" ca="1" si="13"/>
        <v>0</v>
      </c>
      <c r="AI52" s="14">
        <f t="shared" ca="1" si="13"/>
        <v>0</v>
      </c>
      <c r="AJ52" s="14">
        <f t="shared" ca="1" si="13"/>
        <v>0</v>
      </c>
      <c r="AK52" s="14">
        <f t="shared" ca="1" si="13"/>
        <v>0</v>
      </c>
      <c r="AL52" s="14">
        <f t="shared" ca="1" si="13"/>
        <v>0</v>
      </c>
    </row>
    <row r="53" spans="1:38" ht="21" hidden="1" customHeight="1" outlineLevel="1" thickBot="1" x14ac:dyDescent="0.4">
      <c r="A53" s="5">
        <f t="shared" si="11"/>
        <v>0</v>
      </c>
      <c r="B53" s="5">
        <f t="shared" si="11"/>
        <v>1</v>
      </c>
      <c r="C53" s="5">
        <f t="shared" si="11"/>
        <v>0</v>
      </c>
      <c r="D53" s="5">
        <f t="shared" si="11"/>
        <v>0</v>
      </c>
      <c r="E53" s="6" t="str">
        <f t="shared" si="11"/>
        <v>(l)Se</v>
      </c>
      <c r="F53" s="14">
        <f t="shared" ca="1" si="12"/>
        <v>-23.56</v>
      </c>
      <c r="G53" s="14">
        <f t="shared" ca="1" si="13"/>
        <v>-22.32</v>
      </c>
      <c r="H53" s="14">
        <f t="shared" ca="1" si="13"/>
        <v>-21.49</v>
      </c>
      <c r="I53" s="14">
        <f t="shared" ca="1" si="13"/>
        <v>-21.1</v>
      </c>
      <c r="J53" s="14">
        <f t="shared" ca="1" si="13"/>
        <v>-21.07</v>
      </c>
      <c r="K53" s="14">
        <f t="shared" ca="1" si="13"/>
        <v>-21.96</v>
      </c>
      <c r="L53" s="14">
        <f t="shared" ca="1" si="13"/>
        <v>-22.15</v>
      </c>
      <c r="M53" s="14">
        <f t="shared" ca="1" si="13"/>
        <v>-22.33</v>
      </c>
      <c r="N53" s="14">
        <f t="shared" ca="1" si="13"/>
        <v>-22.53</v>
      </c>
      <c r="O53" s="14">
        <f t="shared" ca="1" si="13"/>
        <v>-22.76</v>
      </c>
      <c r="P53" s="14">
        <f t="shared" ca="1" si="13"/>
        <v>-23.03</v>
      </c>
      <c r="Q53" s="14">
        <f t="shared" ca="1" si="13"/>
        <v>-23.31</v>
      </c>
      <c r="R53" s="14">
        <f t="shared" ca="1" si="13"/>
        <v>-23.6</v>
      </c>
      <c r="S53" s="14">
        <f t="shared" ca="1" si="13"/>
        <v>-23.89</v>
      </c>
      <c r="T53" s="14">
        <f t="shared" ca="1" si="13"/>
        <v>-24.17</v>
      </c>
      <c r="U53" s="14">
        <f t="shared" ca="1" si="13"/>
        <v>-24.46</v>
      </c>
      <c r="V53" s="14">
        <f t="shared" ca="1" si="13"/>
        <v>-24.74</v>
      </c>
      <c r="W53" s="14">
        <f t="shared" ca="1" si="13"/>
        <v>-25.02</v>
      </c>
      <c r="X53" s="14">
        <f t="shared" ca="1" si="13"/>
        <v>-26.11</v>
      </c>
      <c r="Y53" s="14">
        <f t="shared" ca="1" si="13"/>
        <v>-27.16</v>
      </c>
      <c r="Z53" s="14">
        <f t="shared" ca="1" si="13"/>
        <v>-28.16</v>
      </c>
      <c r="AA53" s="14">
        <f t="shared" ca="1" si="13"/>
        <v>-29.13</v>
      </c>
      <c r="AB53" s="14">
        <f t="shared" ca="1" si="13"/>
        <v>0</v>
      </c>
      <c r="AC53" s="14">
        <f t="shared" ca="1" si="13"/>
        <v>0</v>
      </c>
      <c r="AD53" s="14">
        <f t="shared" ca="1" si="13"/>
        <v>0</v>
      </c>
      <c r="AE53" s="14">
        <f t="shared" ca="1" si="13"/>
        <v>0</v>
      </c>
      <c r="AF53" s="14">
        <f t="shared" ca="1" si="13"/>
        <v>0</v>
      </c>
      <c r="AG53" s="14">
        <f t="shared" ca="1" si="13"/>
        <v>0</v>
      </c>
      <c r="AH53" s="14">
        <f t="shared" ca="1" si="13"/>
        <v>0</v>
      </c>
      <c r="AI53" s="14">
        <f t="shared" ca="1" si="13"/>
        <v>0</v>
      </c>
      <c r="AJ53" s="14">
        <f t="shared" ca="1" si="13"/>
        <v>0</v>
      </c>
      <c r="AK53" s="14">
        <f t="shared" ca="1" si="13"/>
        <v>0</v>
      </c>
      <c r="AL53" s="14">
        <f t="shared" ca="1" si="13"/>
        <v>0</v>
      </c>
    </row>
    <row r="54" spans="1:38" ht="21" hidden="1" customHeight="1" outlineLevel="1" thickBot="1" x14ac:dyDescent="0.4">
      <c r="A54" s="5">
        <f t="shared" si="11"/>
        <v>0</v>
      </c>
      <c r="B54" s="5">
        <f t="shared" si="11"/>
        <v>1</v>
      </c>
      <c r="C54" s="5">
        <f t="shared" si="11"/>
        <v>0</v>
      </c>
      <c r="D54" s="5">
        <f t="shared" si="11"/>
        <v>0</v>
      </c>
      <c r="E54" s="6" t="str">
        <f t="shared" si="11"/>
        <v>(l)Se[a]</v>
      </c>
      <c r="F54" s="14">
        <f t="shared" ca="1" si="12"/>
        <v>-23.56</v>
      </c>
      <c r="G54" s="14">
        <f t="shared" ca="1" si="13"/>
        <v>-22.32</v>
      </c>
      <c r="H54" s="14">
        <f t="shared" ca="1" si="13"/>
        <v>-21.49</v>
      </c>
      <c r="I54" s="14">
        <f t="shared" ca="1" si="13"/>
        <v>-21.1</v>
      </c>
      <c r="J54" s="14">
        <f t="shared" ca="1" si="13"/>
        <v>-21.07</v>
      </c>
      <c r="K54" s="14">
        <f t="shared" ca="1" si="13"/>
        <v>-21.96</v>
      </c>
      <c r="L54" s="14">
        <f t="shared" ca="1" si="13"/>
        <v>-22.15</v>
      </c>
      <c r="M54" s="14">
        <f t="shared" ca="1" si="13"/>
        <v>-22.33</v>
      </c>
      <c r="N54" s="14">
        <f t="shared" ca="1" si="13"/>
        <v>-22.53</v>
      </c>
      <c r="O54" s="14">
        <f t="shared" ca="1" si="13"/>
        <v>-22.76</v>
      </c>
      <c r="P54" s="14">
        <f t="shared" ca="1" si="13"/>
        <v>-23.03</v>
      </c>
      <c r="Q54" s="14">
        <f t="shared" ca="1" si="13"/>
        <v>-23.31</v>
      </c>
      <c r="R54" s="14">
        <f t="shared" ca="1" si="13"/>
        <v>-23.6</v>
      </c>
      <c r="S54" s="14">
        <f t="shared" ca="1" si="13"/>
        <v>-23.89</v>
      </c>
      <c r="T54" s="14">
        <f t="shared" ca="1" si="13"/>
        <v>-24.17</v>
      </c>
      <c r="U54" s="14">
        <f t="shared" ref="G54:AL62" ca="1" si="14">$A54*H.Ar + $B54*H.Se + $C54*H.Ge + $D54*H.Ga</f>
        <v>-24.46</v>
      </c>
      <c r="V54" s="14">
        <f t="shared" ca="1" si="14"/>
        <v>-24.74</v>
      </c>
      <c r="W54" s="14">
        <f t="shared" ca="1" si="14"/>
        <v>-25.02</v>
      </c>
      <c r="X54" s="14">
        <f t="shared" ca="1" si="14"/>
        <v>-26.11</v>
      </c>
      <c r="Y54" s="14">
        <f t="shared" ca="1" si="14"/>
        <v>-27.16</v>
      </c>
      <c r="Z54" s="14">
        <f t="shared" ca="1" si="14"/>
        <v>-28.16</v>
      </c>
      <c r="AA54" s="14">
        <f t="shared" ca="1" si="14"/>
        <v>-29.13</v>
      </c>
      <c r="AB54" s="14">
        <f t="shared" ca="1" si="14"/>
        <v>0</v>
      </c>
      <c r="AC54" s="14">
        <f t="shared" ca="1" si="14"/>
        <v>0</v>
      </c>
      <c r="AD54" s="14">
        <f t="shared" ca="1" si="14"/>
        <v>0</v>
      </c>
      <c r="AE54" s="14">
        <f t="shared" ca="1" si="14"/>
        <v>0</v>
      </c>
      <c r="AF54" s="14">
        <f t="shared" ca="1" si="14"/>
        <v>0</v>
      </c>
      <c r="AG54" s="14">
        <f t="shared" ca="1" si="14"/>
        <v>0</v>
      </c>
      <c r="AH54" s="14">
        <f t="shared" ca="1" si="14"/>
        <v>0</v>
      </c>
      <c r="AI54" s="14">
        <f t="shared" ca="1" si="14"/>
        <v>0</v>
      </c>
      <c r="AJ54" s="14">
        <f t="shared" ca="1" si="14"/>
        <v>0</v>
      </c>
      <c r="AK54" s="14">
        <f t="shared" ca="1" si="14"/>
        <v>0</v>
      </c>
      <c r="AL54" s="14">
        <f t="shared" ca="1" si="14"/>
        <v>0</v>
      </c>
    </row>
    <row r="55" spans="1:38" ht="21" hidden="1" customHeight="1" outlineLevel="1" thickBot="1" x14ac:dyDescent="0.4">
      <c r="A55" s="5">
        <f t="shared" si="11"/>
        <v>0</v>
      </c>
      <c r="B55" s="5">
        <f t="shared" si="11"/>
        <v>1</v>
      </c>
      <c r="C55" s="5">
        <f t="shared" si="11"/>
        <v>0</v>
      </c>
      <c r="D55" s="5">
        <f t="shared" si="11"/>
        <v>0</v>
      </c>
      <c r="E55" s="6" t="str">
        <f t="shared" si="11"/>
        <v>(l)Se[m]</v>
      </c>
      <c r="F55" s="14">
        <f t="shared" ca="1" si="12"/>
        <v>-23.56</v>
      </c>
      <c r="G55" s="14">
        <f t="shared" ca="1" si="14"/>
        <v>-22.32</v>
      </c>
      <c r="H55" s="14">
        <f t="shared" ca="1" si="14"/>
        <v>-21.49</v>
      </c>
      <c r="I55" s="14">
        <f t="shared" ca="1" si="14"/>
        <v>-21.1</v>
      </c>
      <c r="J55" s="14">
        <f t="shared" ca="1" si="14"/>
        <v>-21.07</v>
      </c>
      <c r="K55" s="14">
        <f t="shared" ca="1" si="14"/>
        <v>-21.96</v>
      </c>
      <c r="L55" s="14">
        <f t="shared" ca="1" si="14"/>
        <v>-22.15</v>
      </c>
      <c r="M55" s="14">
        <f t="shared" ca="1" si="14"/>
        <v>-22.33</v>
      </c>
      <c r="N55" s="14">
        <f t="shared" ca="1" si="14"/>
        <v>-22.53</v>
      </c>
      <c r="O55" s="14">
        <f t="shared" ca="1" si="14"/>
        <v>-22.76</v>
      </c>
      <c r="P55" s="14">
        <f t="shared" ca="1" si="14"/>
        <v>-23.03</v>
      </c>
      <c r="Q55" s="14">
        <f t="shared" ca="1" si="14"/>
        <v>-23.31</v>
      </c>
      <c r="R55" s="14">
        <f t="shared" ca="1" si="14"/>
        <v>-23.6</v>
      </c>
      <c r="S55" s="14">
        <f t="shared" ca="1" si="14"/>
        <v>-23.89</v>
      </c>
      <c r="T55" s="14">
        <f t="shared" ca="1" si="14"/>
        <v>-24.17</v>
      </c>
      <c r="U55" s="14">
        <f t="shared" ca="1" si="14"/>
        <v>-24.46</v>
      </c>
      <c r="V55" s="14">
        <f t="shared" ca="1" si="14"/>
        <v>-24.74</v>
      </c>
      <c r="W55" s="14">
        <f t="shared" ca="1" si="14"/>
        <v>-25.02</v>
      </c>
      <c r="X55" s="14">
        <f t="shared" ca="1" si="14"/>
        <v>-26.11</v>
      </c>
      <c r="Y55" s="14">
        <f t="shared" ca="1" si="14"/>
        <v>-27.16</v>
      </c>
      <c r="Z55" s="14">
        <f t="shared" ca="1" si="14"/>
        <v>-28.16</v>
      </c>
      <c r="AA55" s="14">
        <f t="shared" ca="1" si="14"/>
        <v>-29.13</v>
      </c>
      <c r="AB55" s="14">
        <f t="shared" ca="1" si="14"/>
        <v>0</v>
      </c>
      <c r="AC55" s="14">
        <f t="shared" ca="1" si="14"/>
        <v>0</v>
      </c>
      <c r="AD55" s="14">
        <f t="shared" ca="1" si="14"/>
        <v>0</v>
      </c>
      <c r="AE55" s="14">
        <f t="shared" ca="1" si="14"/>
        <v>0</v>
      </c>
      <c r="AF55" s="14">
        <f t="shared" ca="1" si="14"/>
        <v>0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hidden="1" customHeight="1" outlineLevel="1" thickBot="1" x14ac:dyDescent="0.4">
      <c r="A56" s="5">
        <f t="shared" ref="A56:E65" si="15">A14</f>
        <v>0</v>
      </c>
      <c r="B56" s="5">
        <f t="shared" si="15"/>
        <v>1</v>
      </c>
      <c r="C56" s="5">
        <f t="shared" si="15"/>
        <v>0</v>
      </c>
      <c r="D56" s="5">
        <f t="shared" si="15"/>
        <v>0</v>
      </c>
      <c r="E56" s="6" t="str">
        <f t="shared" si="15"/>
        <v>(l)Se[r]</v>
      </c>
      <c r="F56" s="14">
        <f t="shared" ref="F56:U65" ca="1" si="16">$A56*H.Ar + $B56*H.Se + $C56*H.Ge + $D56*H.Ga</f>
        <v>-23.56</v>
      </c>
      <c r="G56" s="14">
        <f t="shared" ca="1" si="16"/>
        <v>-22.32</v>
      </c>
      <c r="H56" s="14">
        <f t="shared" ca="1" si="16"/>
        <v>-21.49</v>
      </c>
      <c r="I56" s="14">
        <f t="shared" ca="1" si="16"/>
        <v>-21.1</v>
      </c>
      <c r="J56" s="14">
        <f t="shared" ca="1" si="16"/>
        <v>-21.07</v>
      </c>
      <c r="K56" s="14">
        <f t="shared" ca="1" si="16"/>
        <v>-21.96</v>
      </c>
      <c r="L56" s="14">
        <f t="shared" ca="1" si="16"/>
        <v>-22.15</v>
      </c>
      <c r="M56" s="14">
        <f t="shared" ca="1" si="16"/>
        <v>-22.33</v>
      </c>
      <c r="N56" s="14">
        <f t="shared" ca="1" si="16"/>
        <v>-22.53</v>
      </c>
      <c r="O56" s="14">
        <f t="shared" ca="1" si="16"/>
        <v>-22.76</v>
      </c>
      <c r="P56" s="14">
        <f t="shared" ca="1" si="16"/>
        <v>-23.03</v>
      </c>
      <c r="Q56" s="14">
        <f t="shared" ca="1" si="16"/>
        <v>-23.31</v>
      </c>
      <c r="R56" s="14">
        <f t="shared" ca="1" si="16"/>
        <v>-23.6</v>
      </c>
      <c r="S56" s="14">
        <f t="shared" ca="1" si="16"/>
        <v>-23.89</v>
      </c>
      <c r="T56" s="14">
        <f t="shared" ca="1" si="16"/>
        <v>-24.17</v>
      </c>
      <c r="U56" s="14">
        <f t="shared" ca="1" si="16"/>
        <v>-24.46</v>
      </c>
      <c r="V56" s="14">
        <f t="shared" ca="1" si="14"/>
        <v>-24.74</v>
      </c>
      <c r="W56" s="14">
        <f t="shared" ca="1" si="14"/>
        <v>-25.02</v>
      </c>
      <c r="X56" s="14">
        <f t="shared" ca="1" si="14"/>
        <v>-26.11</v>
      </c>
      <c r="Y56" s="14">
        <f t="shared" ca="1" si="14"/>
        <v>-27.16</v>
      </c>
      <c r="Z56" s="14">
        <f t="shared" ca="1" si="14"/>
        <v>-28.16</v>
      </c>
      <c r="AA56" s="14">
        <f t="shared" ca="1" si="14"/>
        <v>-29.13</v>
      </c>
      <c r="AB56" s="14">
        <f t="shared" ca="1" si="14"/>
        <v>0</v>
      </c>
      <c r="AC56" s="14">
        <f t="shared" ca="1" si="14"/>
        <v>0</v>
      </c>
      <c r="AD56" s="14">
        <f t="shared" ca="1" si="14"/>
        <v>0</v>
      </c>
      <c r="AE56" s="14">
        <f t="shared" ca="1" si="14"/>
        <v>0</v>
      </c>
      <c r="AF56" s="14">
        <f t="shared" ca="1" si="14"/>
        <v>0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1</v>
      </c>
      <c r="D57" s="5">
        <f t="shared" si="15"/>
        <v>0</v>
      </c>
      <c r="E57" s="6" t="str">
        <f t="shared" si="15"/>
        <v>(l)Ge[c]</v>
      </c>
      <c r="F57" s="14">
        <f t="shared" ca="1" si="16"/>
        <v>-16.940000000000001</v>
      </c>
      <c r="G57" s="14">
        <f t="shared" ca="1" si="14"/>
        <v>-16.03</v>
      </c>
      <c r="H57" s="14">
        <f t="shared" ca="1" si="14"/>
        <v>-14.99</v>
      </c>
      <c r="I57" s="14">
        <f t="shared" ca="1" si="14"/>
        <v>-13.72</v>
      </c>
      <c r="J57" s="14">
        <f t="shared" ca="1" si="14"/>
        <v>-12.32</v>
      </c>
      <c r="K57" s="14">
        <f t="shared" ca="1" si="14"/>
        <v>-7.4779999999999998</v>
      </c>
      <c r="L57" s="14">
        <f t="shared" ca="1" si="14"/>
        <v>-6.7469999999999999</v>
      </c>
      <c r="M57" s="14">
        <f t="shared" ca="1" si="14"/>
        <v>-6.2640000000000002</v>
      </c>
      <c r="N57" s="14">
        <f t="shared" ca="1" si="14"/>
        <v>-5.99</v>
      </c>
      <c r="O57" s="14">
        <f t="shared" ca="1" si="14"/>
        <v>-5.8659999999999997</v>
      </c>
      <c r="P57" s="14">
        <f t="shared" ca="1" si="14"/>
        <v>-5.8310000000000004</v>
      </c>
      <c r="Q57" s="14">
        <f t="shared" ca="1" si="14"/>
        <v>-5.8419999999999996</v>
      </c>
      <c r="R57" s="14">
        <f t="shared" ca="1" si="14"/>
        <v>-5.8739999999999997</v>
      </c>
      <c r="S57" s="14">
        <f t="shared" ca="1" si="14"/>
        <v>-5.9160000000000004</v>
      </c>
      <c r="T57" s="14">
        <f t="shared" ca="1" si="14"/>
        <v>-5.9630000000000001</v>
      </c>
      <c r="U57" s="14">
        <f t="shared" ca="1" si="14"/>
        <v>-6.0110000000000001</v>
      </c>
      <c r="V57" s="14">
        <f t="shared" ca="1" si="14"/>
        <v>-6.06</v>
      </c>
      <c r="W57" s="14">
        <f t="shared" ca="1" si="14"/>
        <v>-6.109</v>
      </c>
      <c r="X57" s="14">
        <f t="shared" ca="1" si="14"/>
        <v>-6.3049999999999997</v>
      </c>
      <c r="Y57" s="14">
        <f t="shared" ca="1" si="14"/>
        <v>-6.4960000000000004</v>
      </c>
      <c r="Z57" s="14">
        <f t="shared" ca="1" si="14"/>
        <v>-6.681</v>
      </c>
      <c r="AA57" s="14">
        <f t="shared" ca="1" si="14"/>
        <v>-6.8579999999999997</v>
      </c>
      <c r="AB57" s="14">
        <f t="shared" ca="1" si="14"/>
        <v>0</v>
      </c>
      <c r="AC57" s="14">
        <f t="shared" ca="1" si="14"/>
        <v>0</v>
      </c>
      <c r="AD57" s="14">
        <f t="shared" ca="1" si="14"/>
        <v>0</v>
      </c>
      <c r="AE57" s="14">
        <f t="shared" ca="1" si="14"/>
        <v>0</v>
      </c>
      <c r="AF57" s="14">
        <f t="shared" ca="1" si="14"/>
        <v>0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hidden="1" customHeight="1" outlineLevel="1" thickBot="1" x14ac:dyDescent="0.4">
      <c r="A58" s="5">
        <f t="shared" si="15"/>
        <v>1</v>
      </c>
      <c r="B58" s="5">
        <f t="shared" si="15"/>
        <v>0</v>
      </c>
      <c r="C58" s="5">
        <f t="shared" si="15"/>
        <v>0</v>
      </c>
      <c r="D58" s="5">
        <f t="shared" si="15"/>
        <v>0</v>
      </c>
      <c r="E58" s="6" t="str">
        <f t="shared" si="15"/>
        <v>H (Ar)</v>
      </c>
      <c r="F58" s="14">
        <f t="shared" ca="1" si="16"/>
        <v>-18.62</v>
      </c>
      <c r="G58" s="14">
        <f t="shared" ca="1" si="14"/>
        <v>-18.61</v>
      </c>
      <c r="H58" s="14">
        <f t="shared" ca="1" si="14"/>
        <v>-18.61</v>
      </c>
      <c r="I58" s="14">
        <f t="shared" ca="1" si="14"/>
        <v>-18.63</v>
      </c>
      <c r="J58" s="14">
        <f t="shared" ca="1" si="14"/>
        <v>-18.649999999999999</v>
      </c>
      <c r="K58" s="14">
        <f t="shared" ca="1" si="14"/>
        <v>-18.77</v>
      </c>
      <c r="L58" s="14">
        <f t="shared" ca="1" si="14"/>
        <v>-18.809999999999999</v>
      </c>
      <c r="M58" s="14">
        <f t="shared" ca="1" si="14"/>
        <v>-18.84</v>
      </c>
      <c r="N58" s="14">
        <f t="shared" ca="1" si="14"/>
        <v>-18.88</v>
      </c>
      <c r="O58" s="14">
        <f t="shared" ca="1" si="14"/>
        <v>-18.93</v>
      </c>
      <c r="P58" s="14">
        <f t="shared" ca="1" si="14"/>
        <v>-18.97</v>
      </c>
      <c r="Q58" s="14">
        <f t="shared" ca="1" si="14"/>
        <v>-19.010000000000002</v>
      </c>
      <c r="R58" s="14">
        <f t="shared" ca="1" si="14"/>
        <v>-19.05</v>
      </c>
      <c r="S58" s="14">
        <f t="shared" ca="1" si="14"/>
        <v>-19.09</v>
      </c>
      <c r="T58" s="14">
        <f t="shared" ca="1" si="14"/>
        <v>-19.14</v>
      </c>
      <c r="U58" s="14">
        <f t="shared" ca="1" si="14"/>
        <v>-19.18</v>
      </c>
      <c r="V58" s="14">
        <f t="shared" ca="1" si="14"/>
        <v>-19.22</v>
      </c>
      <c r="W58" s="14">
        <f t="shared" ca="1" si="14"/>
        <v>-19.260000000000002</v>
      </c>
      <c r="X58" s="14">
        <f t="shared" ca="1" si="14"/>
        <v>-19.43</v>
      </c>
      <c r="Y58" s="14">
        <f t="shared" ca="1" si="14"/>
        <v>-19.59</v>
      </c>
      <c r="Z58" s="14">
        <f t="shared" ca="1" si="14"/>
        <v>-19.739999999999998</v>
      </c>
      <c r="AA58" s="14">
        <f t="shared" ca="1" si="14"/>
        <v>-19.88</v>
      </c>
      <c r="AB58" s="14">
        <f t="shared" ca="1" si="14"/>
        <v>0</v>
      </c>
      <c r="AC58" s="14">
        <f t="shared" ca="1" si="14"/>
        <v>0</v>
      </c>
      <c r="AD58" s="14">
        <f t="shared" ca="1" si="14"/>
        <v>0</v>
      </c>
      <c r="AE58" s="14">
        <f t="shared" ca="1" si="14"/>
        <v>0</v>
      </c>
      <c r="AF58" s="14">
        <f t="shared" ca="1" si="14"/>
        <v>0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hidden="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1</v>
      </c>
      <c r="D59" s="5">
        <f t="shared" si="15"/>
        <v>0</v>
      </c>
      <c r="E59" s="6" t="str">
        <f t="shared" si="15"/>
        <v>H (Ge)</v>
      </c>
      <c r="F59" s="14">
        <f t="shared" ca="1" si="16"/>
        <v>-16.940000000000001</v>
      </c>
      <c r="G59" s="14">
        <f t="shared" ca="1" si="14"/>
        <v>-16.03</v>
      </c>
      <c r="H59" s="14">
        <f t="shared" ca="1" si="14"/>
        <v>-14.99</v>
      </c>
      <c r="I59" s="14">
        <f t="shared" ca="1" si="14"/>
        <v>-13.72</v>
      </c>
      <c r="J59" s="14">
        <f t="shared" ca="1" si="14"/>
        <v>-12.32</v>
      </c>
      <c r="K59" s="14">
        <f t="shared" ca="1" si="14"/>
        <v>-7.4779999999999998</v>
      </c>
      <c r="L59" s="14">
        <f t="shared" ca="1" si="14"/>
        <v>-6.7469999999999999</v>
      </c>
      <c r="M59" s="14">
        <f t="shared" ca="1" si="14"/>
        <v>-6.2640000000000002</v>
      </c>
      <c r="N59" s="14">
        <f t="shared" ca="1" si="14"/>
        <v>-5.99</v>
      </c>
      <c r="O59" s="14">
        <f t="shared" ca="1" si="14"/>
        <v>-5.8659999999999997</v>
      </c>
      <c r="P59" s="14">
        <f t="shared" ca="1" si="14"/>
        <v>-5.8310000000000004</v>
      </c>
      <c r="Q59" s="14">
        <f t="shared" ca="1" si="14"/>
        <v>-5.8419999999999996</v>
      </c>
      <c r="R59" s="14">
        <f t="shared" ca="1" si="14"/>
        <v>-5.8739999999999997</v>
      </c>
      <c r="S59" s="14">
        <f t="shared" ca="1" si="14"/>
        <v>-5.9160000000000004</v>
      </c>
      <c r="T59" s="14">
        <f t="shared" ca="1" si="14"/>
        <v>-5.9630000000000001</v>
      </c>
      <c r="U59" s="14">
        <f t="shared" ca="1" si="14"/>
        <v>-6.0110000000000001</v>
      </c>
      <c r="V59" s="14">
        <f t="shared" ca="1" si="14"/>
        <v>-6.06</v>
      </c>
      <c r="W59" s="14">
        <f t="shared" ca="1" si="14"/>
        <v>-6.109</v>
      </c>
      <c r="X59" s="14">
        <f t="shared" ca="1" si="14"/>
        <v>-6.3049999999999997</v>
      </c>
      <c r="Y59" s="14">
        <f t="shared" ca="1" si="14"/>
        <v>-6.4960000000000004</v>
      </c>
      <c r="Z59" s="14">
        <f t="shared" ca="1" si="14"/>
        <v>-6.681</v>
      </c>
      <c r="AA59" s="14">
        <f t="shared" ca="1" si="14"/>
        <v>-6.8579999999999997</v>
      </c>
      <c r="AB59" s="14">
        <f t="shared" ca="1" si="14"/>
        <v>0</v>
      </c>
      <c r="AC59" s="14">
        <f t="shared" ca="1" si="14"/>
        <v>0</v>
      </c>
      <c r="AD59" s="14">
        <f t="shared" ca="1" si="14"/>
        <v>0</v>
      </c>
      <c r="AE59" s="14">
        <f t="shared" ca="1" si="14"/>
        <v>0</v>
      </c>
      <c r="AF59" s="14">
        <f t="shared" ca="1" si="14"/>
        <v>0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1</v>
      </c>
      <c r="C60" s="5">
        <f t="shared" si="15"/>
        <v>0</v>
      </c>
      <c r="D60" s="5">
        <f t="shared" si="15"/>
        <v>0</v>
      </c>
      <c r="E60" s="6" t="str">
        <f t="shared" si="15"/>
        <v>H (Se)</v>
      </c>
      <c r="F60" s="14">
        <f t="shared" ca="1" si="16"/>
        <v>-23.56</v>
      </c>
      <c r="G60" s="14">
        <f t="shared" ca="1" si="14"/>
        <v>-22.32</v>
      </c>
      <c r="H60" s="14">
        <f t="shared" ca="1" si="14"/>
        <v>-21.49</v>
      </c>
      <c r="I60" s="14">
        <f t="shared" ca="1" si="14"/>
        <v>-21.1</v>
      </c>
      <c r="J60" s="14">
        <f t="shared" ca="1" si="14"/>
        <v>-21.07</v>
      </c>
      <c r="K60" s="14">
        <f t="shared" ca="1" si="14"/>
        <v>-21.96</v>
      </c>
      <c r="L60" s="14">
        <f t="shared" ca="1" si="14"/>
        <v>-22.15</v>
      </c>
      <c r="M60" s="14">
        <f t="shared" ca="1" si="14"/>
        <v>-22.33</v>
      </c>
      <c r="N60" s="14">
        <f t="shared" ca="1" si="14"/>
        <v>-22.53</v>
      </c>
      <c r="O60" s="14">
        <f t="shared" ca="1" si="14"/>
        <v>-22.76</v>
      </c>
      <c r="P60" s="14">
        <f t="shared" ca="1" si="14"/>
        <v>-23.03</v>
      </c>
      <c r="Q60" s="14">
        <f t="shared" ca="1" si="14"/>
        <v>-23.31</v>
      </c>
      <c r="R60" s="14">
        <f t="shared" ca="1" si="14"/>
        <v>-23.6</v>
      </c>
      <c r="S60" s="14">
        <f t="shared" ca="1" si="14"/>
        <v>-23.89</v>
      </c>
      <c r="T60" s="14">
        <f t="shared" ca="1" si="14"/>
        <v>-24.17</v>
      </c>
      <c r="U60" s="14">
        <f t="shared" ca="1" si="14"/>
        <v>-24.46</v>
      </c>
      <c r="V60" s="14">
        <f t="shared" ca="1" si="14"/>
        <v>-24.74</v>
      </c>
      <c r="W60" s="14">
        <f t="shared" ca="1" si="14"/>
        <v>-25.02</v>
      </c>
      <c r="X60" s="14">
        <f t="shared" ca="1" si="14"/>
        <v>-26.11</v>
      </c>
      <c r="Y60" s="14">
        <f t="shared" ca="1" si="14"/>
        <v>-27.16</v>
      </c>
      <c r="Z60" s="14">
        <f t="shared" ca="1" si="14"/>
        <v>-28.16</v>
      </c>
      <c r="AA60" s="14">
        <f t="shared" ca="1" si="14"/>
        <v>-29.13</v>
      </c>
      <c r="AB60" s="14">
        <f t="shared" ca="1" si="14"/>
        <v>0</v>
      </c>
      <c r="AC60" s="14">
        <f t="shared" ca="1" si="14"/>
        <v>0</v>
      </c>
      <c r="AD60" s="14">
        <f t="shared" ca="1" si="14"/>
        <v>0</v>
      </c>
      <c r="AE60" s="14">
        <f t="shared" ca="1" si="14"/>
        <v>0</v>
      </c>
      <c r="AF60" s="14">
        <f t="shared" ca="1" si="14"/>
        <v>0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0</v>
      </c>
      <c r="D61" s="5">
        <f t="shared" si="15"/>
        <v>0</v>
      </c>
      <c r="E61" s="6">
        <f t="shared" si="15"/>
        <v>0</v>
      </c>
      <c r="F61" s="14">
        <f t="shared" ca="1" si="16"/>
        <v>0</v>
      </c>
      <c r="G61" s="14">
        <f t="shared" ca="1" si="14"/>
        <v>0</v>
      </c>
      <c r="H61" s="14">
        <f t="shared" ca="1" si="14"/>
        <v>0</v>
      </c>
      <c r="I61" s="14">
        <f t="shared" ca="1" si="14"/>
        <v>0</v>
      </c>
      <c r="J61" s="14">
        <f t="shared" ca="1" si="14"/>
        <v>0</v>
      </c>
      <c r="K61" s="14">
        <f t="shared" ca="1" si="14"/>
        <v>0</v>
      </c>
      <c r="L61" s="14">
        <f t="shared" ca="1" si="14"/>
        <v>0</v>
      </c>
      <c r="M61" s="14">
        <f t="shared" ca="1" si="14"/>
        <v>0</v>
      </c>
      <c r="N61" s="14">
        <f t="shared" ca="1" si="14"/>
        <v>0</v>
      </c>
      <c r="O61" s="14">
        <f t="shared" ca="1" si="14"/>
        <v>0</v>
      </c>
      <c r="P61" s="14">
        <f t="shared" ca="1" si="14"/>
        <v>0</v>
      </c>
      <c r="Q61" s="14">
        <f t="shared" ca="1" si="14"/>
        <v>0</v>
      </c>
      <c r="R61" s="14">
        <f t="shared" ca="1" si="14"/>
        <v>0</v>
      </c>
      <c r="S61" s="14">
        <f t="shared" ca="1" si="14"/>
        <v>0</v>
      </c>
      <c r="T61" s="14">
        <f t="shared" ca="1" si="14"/>
        <v>0</v>
      </c>
      <c r="U61" s="14">
        <f t="shared" ca="1" si="14"/>
        <v>0</v>
      </c>
      <c r="V61" s="14">
        <f t="shared" ca="1" si="14"/>
        <v>0</v>
      </c>
      <c r="W61" s="14">
        <f t="shared" ca="1" si="14"/>
        <v>0</v>
      </c>
      <c r="X61" s="14">
        <f t="shared" ca="1" si="14"/>
        <v>0</v>
      </c>
      <c r="Y61" s="14">
        <f t="shared" ca="1" si="14"/>
        <v>0</v>
      </c>
      <c r="Z61" s="14">
        <f t="shared" ca="1" si="14"/>
        <v>0</v>
      </c>
      <c r="AA61" s="14">
        <f t="shared" ca="1" si="14"/>
        <v>0</v>
      </c>
      <c r="AB61" s="14">
        <f t="shared" ca="1" si="14"/>
        <v>0</v>
      </c>
      <c r="AC61" s="14">
        <f t="shared" ca="1" si="14"/>
        <v>0</v>
      </c>
      <c r="AD61" s="14">
        <f t="shared" ca="1" si="14"/>
        <v>0</v>
      </c>
      <c r="AE61" s="14">
        <f t="shared" ca="1" si="14"/>
        <v>0</v>
      </c>
      <c r="AF61" s="14">
        <f t="shared" ca="1" si="14"/>
        <v>0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0</v>
      </c>
      <c r="D62" s="5">
        <f t="shared" si="15"/>
        <v>0</v>
      </c>
      <c r="E62" s="6">
        <f t="shared" si="15"/>
        <v>0</v>
      </c>
      <c r="F62" s="14">
        <f t="shared" ca="1" si="16"/>
        <v>0</v>
      </c>
      <c r="G62" s="14">
        <f t="shared" ca="1" si="14"/>
        <v>0</v>
      </c>
      <c r="H62" s="14">
        <f t="shared" ca="1" si="14"/>
        <v>0</v>
      </c>
      <c r="I62" s="14">
        <f t="shared" ca="1" si="14"/>
        <v>0</v>
      </c>
      <c r="J62" s="14">
        <f t="shared" ca="1" si="14"/>
        <v>0</v>
      </c>
      <c r="K62" s="14">
        <f t="shared" ca="1" si="14"/>
        <v>0</v>
      </c>
      <c r="L62" s="14">
        <f t="shared" ca="1" si="14"/>
        <v>0</v>
      </c>
      <c r="M62" s="14">
        <f t="shared" ca="1" si="14"/>
        <v>0</v>
      </c>
      <c r="N62" s="14">
        <f t="shared" ca="1" si="14"/>
        <v>0</v>
      </c>
      <c r="O62" s="14">
        <f t="shared" ca="1" si="14"/>
        <v>0</v>
      </c>
      <c r="P62" s="14">
        <f t="shared" ca="1" si="14"/>
        <v>0</v>
      </c>
      <c r="Q62" s="14">
        <f t="shared" ca="1" si="14"/>
        <v>0</v>
      </c>
      <c r="R62" s="14">
        <f t="shared" ca="1" si="14"/>
        <v>0</v>
      </c>
      <c r="S62" s="14">
        <f t="shared" ca="1" si="14"/>
        <v>0</v>
      </c>
      <c r="T62" s="14">
        <f t="shared" ca="1" si="14"/>
        <v>0</v>
      </c>
      <c r="U62" s="14">
        <f t="shared" ca="1" si="14"/>
        <v>0</v>
      </c>
      <c r="V62" s="14">
        <f t="shared" ca="1" si="14"/>
        <v>0</v>
      </c>
      <c r="W62" s="14">
        <f t="shared" ca="1" si="14"/>
        <v>0</v>
      </c>
      <c r="X62" s="14">
        <f t="shared" ca="1" si="14"/>
        <v>0</v>
      </c>
      <c r="Y62" s="14">
        <f t="shared" ca="1" si="14"/>
        <v>0</v>
      </c>
      <c r="Z62" s="14">
        <f t="shared" ca="1" si="14"/>
        <v>0</v>
      </c>
      <c r="AA62" s="14">
        <f t="shared" ca="1" si="14"/>
        <v>0</v>
      </c>
      <c r="AB62" s="14">
        <f t="shared" ca="1" si="14"/>
        <v>0</v>
      </c>
      <c r="AC62" s="14">
        <f t="shared" ca="1" si="14"/>
        <v>0</v>
      </c>
      <c r="AD62" s="14">
        <f t="shared" ca="1" si="14"/>
        <v>0</v>
      </c>
      <c r="AE62" s="14">
        <f t="shared" ca="1" si="14"/>
        <v>0</v>
      </c>
      <c r="AF62" s="14">
        <f t="shared" ca="1" si="14"/>
        <v>0</v>
      </c>
      <c r="AG62" s="14">
        <f t="shared" ca="1" si="14"/>
        <v>0</v>
      </c>
      <c r="AH62" s="14">
        <f t="shared" ca="1" si="14"/>
        <v>0</v>
      </c>
      <c r="AI62" s="14">
        <f t="shared" ref="G62:AL71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>
        <f t="shared" ca="1" si="16"/>
        <v>0</v>
      </c>
      <c r="G63" s="14">
        <f t="shared" ca="1" si="17"/>
        <v>0</v>
      </c>
      <c r="H63" s="14">
        <f t="shared" ca="1" si="17"/>
        <v>0</v>
      </c>
      <c r="I63" s="14">
        <f t="shared" ca="1" si="17"/>
        <v>0</v>
      </c>
      <c r="J63" s="14">
        <f t="shared" ca="1" si="17"/>
        <v>0</v>
      </c>
      <c r="K63" s="14">
        <f t="shared" ca="1" si="17"/>
        <v>0</v>
      </c>
      <c r="L63" s="14">
        <f t="shared" ca="1" si="17"/>
        <v>0</v>
      </c>
      <c r="M63" s="14">
        <f t="shared" ca="1" si="17"/>
        <v>0</v>
      </c>
      <c r="N63" s="14">
        <f t="shared" ca="1" si="17"/>
        <v>0</v>
      </c>
      <c r="O63" s="14">
        <f t="shared" ca="1" si="17"/>
        <v>0</v>
      </c>
      <c r="P63" s="14">
        <f t="shared" ca="1" si="17"/>
        <v>0</v>
      </c>
      <c r="Q63" s="14">
        <f t="shared" ca="1" si="17"/>
        <v>0</v>
      </c>
      <c r="R63" s="14">
        <f t="shared" ca="1" si="17"/>
        <v>0</v>
      </c>
      <c r="S63" s="14">
        <f t="shared" ca="1" si="17"/>
        <v>0</v>
      </c>
      <c r="T63" s="14">
        <f t="shared" ca="1" si="17"/>
        <v>0</v>
      </c>
      <c r="U63" s="14">
        <f t="shared" ca="1" si="17"/>
        <v>0</v>
      </c>
      <c r="V63" s="14">
        <f t="shared" ca="1" si="17"/>
        <v>0</v>
      </c>
      <c r="W63" s="14">
        <f t="shared" ca="1" si="17"/>
        <v>0</v>
      </c>
      <c r="X63" s="14">
        <f t="shared" ca="1" si="17"/>
        <v>0</v>
      </c>
      <c r="Y63" s="14">
        <f t="shared" ca="1" si="17"/>
        <v>0</v>
      </c>
      <c r="Z63" s="14">
        <f t="shared" ca="1" si="17"/>
        <v>0</v>
      </c>
      <c r="AA63" s="14">
        <f t="shared" ca="1" si="17"/>
        <v>0</v>
      </c>
      <c r="AB63" s="14">
        <f t="shared" ca="1" si="17"/>
        <v>0</v>
      </c>
      <c r="AC63" s="14">
        <f t="shared" ca="1" si="17"/>
        <v>0</v>
      </c>
      <c r="AD63" s="14">
        <f t="shared" ca="1" si="17"/>
        <v>0</v>
      </c>
      <c r="AE63" s="14">
        <f t="shared" ca="1" si="17"/>
        <v>0</v>
      </c>
      <c r="AF63" s="14">
        <f t="shared" ca="1" si="17"/>
        <v>0</v>
      </c>
      <c r="AG63" s="14">
        <f t="shared" ca="1" si="17"/>
        <v>0</v>
      </c>
      <c r="AH63" s="14">
        <f t="shared" ca="1" si="17"/>
        <v>0</v>
      </c>
      <c r="AI63" s="14">
        <f t="shared" ca="1" si="17"/>
        <v>0</v>
      </c>
      <c r="AJ63" s="14">
        <f t="shared" ca="1" si="17"/>
        <v>0</v>
      </c>
      <c r="AK63" s="14">
        <f t="shared" ca="1" si="17"/>
        <v>0</v>
      </c>
      <c r="AL63" s="14">
        <f t="shared" ca="1" si="17"/>
        <v>0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7"/>
        <v>0</v>
      </c>
      <c r="H64" s="14">
        <f t="shared" ca="1" si="17"/>
        <v>0</v>
      </c>
      <c r="I64" s="14">
        <f t="shared" ca="1" si="17"/>
        <v>0</v>
      </c>
      <c r="J64" s="14">
        <f t="shared" ca="1" si="17"/>
        <v>0</v>
      </c>
      <c r="K64" s="14">
        <f t="shared" ca="1" si="17"/>
        <v>0</v>
      </c>
      <c r="L64" s="14">
        <f t="shared" ca="1" si="17"/>
        <v>0</v>
      </c>
      <c r="M64" s="14">
        <f t="shared" ca="1" si="17"/>
        <v>0</v>
      </c>
      <c r="N64" s="14">
        <f t="shared" ca="1" si="17"/>
        <v>0</v>
      </c>
      <c r="O64" s="14">
        <f t="shared" ca="1" si="17"/>
        <v>0</v>
      </c>
      <c r="P64" s="14">
        <f t="shared" ca="1" si="17"/>
        <v>0</v>
      </c>
      <c r="Q64" s="14">
        <f t="shared" ca="1" si="17"/>
        <v>0</v>
      </c>
      <c r="R64" s="14">
        <f t="shared" ca="1" si="17"/>
        <v>0</v>
      </c>
      <c r="S64" s="14">
        <f t="shared" ca="1" si="17"/>
        <v>0</v>
      </c>
      <c r="T64" s="14">
        <f t="shared" ca="1" si="17"/>
        <v>0</v>
      </c>
      <c r="U64" s="14">
        <f t="shared" ca="1" si="17"/>
        <v>0</v>
      </c>
      <c r="V64" s="14">
        <f t="shared" ca="1" si="17"/>
        <v>0</v>
      </c>
      <c r="W64" s="14">
        <f t="shared" ca="1" si="17"/>
        <v>0</v>
      </c>
      <c r="X64" s="14">
        <f t="shared" ca="1" si="17"/>
        <v>0</v>
      </c>
      <c r="Y64" s="14">
        <f t="shared" ca="1" si="17"/>
        <v>0</v>
      </c>
      <c r="Z64" s="14">
        <f t="shared" ca="1" si="17"/>
        <v>0</v>
      </c>
      <c r="AA64" s="14">
        <f t="shared" ca="1" si="17"/>
        <v>0</v>
      </c>
      <c r="AB64" s="14">
        <f t="shared" ca="1" si="17"/>
        <v>0</v>
      </c>
      <c r="AC64" s="14">
        <f t="shared" ca="1" si="17"/>
        <v>0</v>
      </c>
      <c r="AD64" s="14">
        <f t="shared" ca="1" si="17"/>
        <v>0</v>
      </c>
      <c r="AE64" s="14">
        <f t="shared" ca="1" si="17"/>
        <v>0</v>
      </c>
      <c r="AF64" s="14">
        <f t="shared" ca="1" si="17"/>
        <v>0</v>
      </c>
      <c r="AG64" s="14">
        <f t="shared" ca="1" si="17"/>
        <v>0</v>
      </c>
      <c r="AH64" s="14">
        <f t="shared" ca="1" si="17"/>
        <v>0</v>
      </c>
      <c r="AI64" s="14">
        <f t="shared" ca="1" si="17"/>
        <v>0</v>
      </c>
      <c r="AJ64" s="14">
        <f t="shared" ca="1" si="17"/>
        <v>0</v>
      </c>
      <c r="AK64" s="14">
        <f t="shared" ca="1" si="17"/>
        <v>0</v>
      </c>
      <c r="AL64" s="14">
        <f t="shared" ca="1" si="17"/>
        <v>0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7"/>
        <v>0</v>
      </c>
      <c r="H65" s="14">
        <f t="shared" ca="1" si="17"/>
        <v>0</v>
      </c>
      <c r="I65" s="14">
        <f t="shared" ca="1" si="17"/>
        <v>0</v>
      </c>
      <c r="J65" s="14">
        <f t="shared" ca="1" si="17"/>
        <v>0</v>
      </c>
      <c r="K65" s="14">
        <f t="shared" ca="1" si="17"/>
        <v>0</v>
      </c>
      <c r="L65" s="14">
        <f t="shared" ca="1" si="17"/>
        <v>0</v>
      </c>
      <c r="M65" s="14">
        <f t="shared" ca="1" si="17"/>
        <v>0</v>
      </c>
      <c r="N65" s="14">
        <f t="shared" ca="1" si="17"/>
        <v>0</v>
      </c>
      <c r="O65" s="14">
        <f t="shared" ca="1" si="17"/>
        <v>0</v>
      </c>
      <c r="P65" s="14">
        <f t="shared" ca="1" si="17"/>
        <v>0</v>
      </c>
      <c r="Q65" s="14">
        <f t="shared" ca="1" si="17"/>
        <v>0</v>
      </c>
      <c r="R65" s="14">
        <f t="shared" ca="1" si="17"/>
        <v>0</v>
      </c>
      <c r="S65" s="14">
        <f t="shared" ca="1" si="17"/>
        <v>0</v>
      </c>
      <c r="T65" s="14">
        <f t="shared" ca="1" si="17"/>
        <v>0</v>
      </c>
      <c r="U65" s="14">
        <f t="shared" ca="1" si="17"/>
        <v>0</v>
      </c>
      <c r="V65" s="14">
        <f t="shared" ca="1" si="17"/>
        <v>0</v>
      </c>
      <c r="W65" s="14">
        <f t="shared" ca="1" si="17"/>
        <v>0</v>
      </c>
      <c r="X65" s="14">
        <f t="shared" ca="1" si="17"/>
        <v>0</v>
      </c>
      <c r="Y65" s="14">
        <f t="shared" ca="1" si="17"/>
        <v>0</v>
      </c>
      <c r="Z65" s="14">
        <f t="shared" ca="1" si="17"/>
        <v>0</v>
      </c>
      <c r="AA65" s="14">
        <f t="shared" ca="1" si="17"/>
        <v>0</v>
      </c>
      <c r="AB65" s="14">
        <f t="shared" ca="1" si="17"/>
        <v>0</v>
      </c>
      <c r="AC65" s="14">
        <f t="shared" ca="1" si="17"/>
        <v>0</v>
      </c>
      <c r="AD65" s="14">
        <f t="shared" ca="1" si="17"/>
        <v>0</v>
      </c>
      <c r="AE65" s="14">
        <f t="shared" ca="1" si="17"/>
        <v>0</v>
      </c>
      <c r="AF65" s="14">
        <f t="shared" ca="1" si="17"/>
        <v>0</v>
      </c>
      <c r="AG65" s="14">
        <f t="shared" ca="1" si="17"/>
        <v>0</v>
      </c>
      <c r="AH65" s="14">
        <f t="shared" ca="1" si="17"/>
        <v>0</v>
      </c>
      <c r="AI65" s="14">
        <f t="shared" ca="1" si="17"/>
        <v>0</v>
      </c>
      <c r="AJ65" s="14">
        <f t="shared" ca="1" si="17"/>
        <v>0</v>
      </c>
      <c r="AK65" s="14">
        <f t="shared" ca="1" si="17"/>
        <v>0</v>
      </c>
      <c r="AL65" s="14">
        <f t="shared" ca="1" si="17"/>
        <v>0</v>
      </c>
    </row>
    <row r="66" spans="1:54" ht="21" hidden="1" customHeight="1" outlineLevel="1" thickBot="1" x14ac:dyDescent="0.4">
      <c r="A66" s="5">
        <f t="shared" ref="A66:E75" si="18">A24</f>
        <v>0</v>
      </c>
      <c r="B66" s="5">
        <f t="shared" si="18"/>
        <v>0</v>
      </c>
      <c r="C66" s="5">
        <f t="shared" si="18"/>
        <v>0</v>
      </c>
      <c r="D66" s="5">
        <f t="shared" si="18"/>
        <v>0</v>
      </c>
      <c r="E66" s="6">
        <f t="shared" si="18"/>
        <v>0</v>
      </c>
      <c r="F66" s="14">
        <f t="shared" ref="F66:U74" ca="1" si="19">$A66*H.Ar + $B66*H.Se + $C66*H.Ge + $D66*H.Ga</f>
        <v>0</v>
      </c>
      <c r="G66" s="14">
        <f t="shared" ca="1" si="19"/>
        <v>0</v>
      </c>
      <c r="H66" s="14">
        <f t="shared" ca="1" si="19"/>
        <v>0</v>
      </c>
      <c r="I66" s="14">
        <f t="shared" ca="1" si="19"/>
        <v>0</v>
      </c>
      <c r="J66" s="14">
        <f t="shared" ca="1" si="19"/>
        <v>0</v>
      </c>
      <c r="K66" s="14">
        <f t="shared" ca="1" si="19"/>
        <v>0</v>
      </c>
      <c r="L66" s="14">
        <f t="shared" ca="1" si="19"/>
        <v>0</v>
      </c>
      <c r="M66" s="14">
        <f t="shared" ca="1" si="19"/>
        <v>0</v>
      </c>
      <c r="N66" s="14">
        <f t="shared" ca="1" si="19"/>
        <v>0</v>
      </c>
      <c r="O66" s="14">
        <f t="shared" ca="1" si="19"/>
        <v>0</v>
      </c>
      <c r="P66" s="14">
        <f t="shared" ca="1" si="19"/>
        <v>0</v>
      </c>
      <c r="Q66" s="14">
        <f t="shared" ca="1" si="19"/>
        <v>0</v>
      </c>
      <c r="R66" s="14">
        <f t="shared" ca="1" si="19"/>
        <v>0</v>
      </c>
      <c r="S66" s="14">
        <f t="shared" ca="1" si="19"/>
        <v>0</v>
      </c>
      <c r="T66" s="14">
        <f t="shared" ca="1" si="19"/>
        <v>0</v>
      </c>
      <c r="U66" s="14">
        <f t="shared" ca="1" si="19"/>
        <v>0</v>
      </c>
      <c r="V66" s="14">
        <f t="shared" ca="1" si="17"/>
        <v>0</v>
      </c>
      <c r="W66" s="14">
        <f t="shared" ca="1" si="17"/>
        <v>0</v>
      </c>
      <c r="X66" s="14">
        <f t="shared" ca="1" si="17"/>
        <v>0</v>
      </c>
      <c r="Y66" s="14">
        <f t="shared" ca="1" si="17"/>
        <v>0</v>
      </c>
      <c r="Z66" s="14">
        <f t="shared" ca="1" si="17"/>
        <v>0</v>
      </c>
      <c r="AA66" s="14">
        <f t="shared" ca="1" si="17"/>
        <v>0</v>
      </c>
      <c r="AB66" s="14">
        <f t="shared" ca="1" si="17"/>
        <v>0</v>
      </c>
      <c r="AC66" s="14">
        <f t="shared" ca="1" si="17"/>
        <v>0</v>
      </c>
      <c r="AD66" s="14">
        <f t="shared" ca="1" si="17"/>
        <v>0</v>
      </c>
      <c r="AE66" s="14">
        <f t="shared" ca="1" si="17"/>
        <v>0</v>
      </c>
      <c r="AF66" s="14">
        <f t="shared" ca="1" si="17"/>
        <v>0</v>
      </c>
      <c r="AG66" s="14">
        <f t="shared" ca="1" si="17"/>
        <v>0</v>
      </c>
      <c r="AH66" s="14">
        <f t="shared" ca="1" si="17"/>
        <v>0</v>
      </c>
      <c r="AI66" s="14">
        <f t="shared" ca="1" si="17"/>
        <v>0</v>
      </c>
      <c r="AJ66" s="14">
        <f t="shared" ca="1" si="17"/>
        <v>0</v>
      </c>
      <c r="AK66" s="14">
        <f t="shared" ca="1" si="17"/>
        <v>0</v>
      </c>
      <c r="AL66" s="14">
        <f t="shared" ca="1" si="17"/>
        <v>0</v>
      </c>
    </row>
    <row r="67" spans="1:54" ht="21" hidden="1" customHeight="1" outlineLevel="1" thickBot="1" x14ac:dyDescent="0.4">
      <c r="A67" s="5">
        <f t="shared" si="18"/>
        <v>0</v>
      </c>
      <c r="B67" s="5">
        <f t="shared" si="18"/>
        <v>0</v>
      </c>
      <c r="C67" s="5">
        <f t="shared" si="18"/>
        <v>0</v>
      </c>
      <c r="D67" s="5">
        <f t="shared" si="18"/>
        <v>0</v>
      </c>
      <c r="E67" s="6">
        <f t="shared" si="18"/>
        <v>0</v>
      </c>
      <c r="F67" s="14">
        <f t="shared" ca="1" si="19"/>
        <v>0</v>
      </c>
      <c r="G67" s="14">
        <f t="shared" ca="1" si="17"/>
        <v>0</v>
      </c>
      <c r="H67" s="14">
        <f t="shared" ca="1" si="17"/>
        <v>0</v>
      </c>
      <c r="I67" s="14">
        <f t="shared" ca="1" si="17"/>
        <v>0</v>
      </c>
      <c r="J67" s="14">
        <f t="shared" ca="1" si="17"/>
        <v>0</v>
      </c>
      <c r="K67" s="14">
        <f t="shared" ca="1" si="17"/>
        <v>0</v>
      </c>
      <c r="L67" s="14">
        <f t="shared" ca="1" si="17"/>
        <v>0</v>
      </c>
      <c r="M67" s="14">
        <f t="shared" ca="1" si="17"/>
        <v>0</v>
      </c>
      <c r="N67" s="14">
        <f t="shared" ca="1" si="17"/>
        <v>0</v>
      </c>
      <c r="O67" s="14">
        <f t="shared" ca="1" si="17"/>
        <v>0</v>
      </c>
      <c r="P67" s="14">
        <f t="shared" ca="1" si="17"/>
        <v>0</v>
      </c>
      <c r="Q67" s="14">
        <f t="shared" ca="1" si="17"/>
        <v>0</v>
      </c>
      <c r="R67" s="14">
        <f t="shared" ca="1" si="17"/>
        <v>0</v>
      </c>
      <c r="S67" s="14">
        <f t="shared" ca="1" si="17"/>
        <v>0</v>
      </c>
      <c r="T67" s="14">
        <f t="shared" ca="1" si="17"/>
        <v>0</v>
      </c>
      <c r="U67" s="14">
        <f t="shared" ca="1" si="17"/>
        <v>0</v>
      </c>
      <c r="V67" s="14">
        <f t="shared" ca="1" si="17"/>
        <v>0</v>
      </c>
      <c r="W67" s="14">
        <f t="shared" ca="1" si="17"/>
        <v>0</v>
      </c>
      <c r="X67" s="14">
        <f t="shared" ca="1" si="17"/>
        <v>0</v>
      </c>
      <c r="Y67" s="14">
        <f t="shared" ca="1" si="17"/>
        <v>0</v>
      </c>
      <c r="Z67" s="14">
        <f t="shared" ca="1" si="17"/>
        <v>0</v>
      </c>
      <c r="AA67" s="14">
        <f t="shared" ca="1" si="17"/>
        <v>0</v>
      </c>
      <c r="AB67" s="14">
        <f t="shared" ca="1" si="17"/>
        <v>0</v>
      </c>
      <c r="AC67" s="14">
        <f t="shared" ca="1" si="17"/>
        <v>0</v>
      </c>
      <c r="AD67" s="14">
        <f t="shared" ca="1" si="17"/>
        <v>0</v>
      </c>
      <c r="AE67" s="14">
        <f t="shared" ca="1" si="17"/>
        <v>0</v>
      </c>
      <c r="AF67" s="14">
        <f t="shared" ca="1" si="17"/>
        <v>0</v>
      </c>
      <c r="AG67" s="14">
        <f t="shared" ca="1" si="17"/>
        <v>0</v>
      </c>
      <c r="AH67" s="14">
        <f t="shared" ca="1" si="17"/>
        <v>0</v>
      </c>
      <c r="AI67" s="14">
        <f t="shared" ca="1" si="17"/>
        <v>0</v>
      </c>
      <c r="AJ67" s="14">
        <f t="shared" ca="1" si="17"/>
        <v>0</v>
      </c>
      <c r="AK67" s="14">
        <f t="shared" ca="1" si="17"/>
        <v>0</v>
      </c>
      <c r="AL67" s="14">
        <f t="shared" ca="1" si="17"/>
        <v>0</v>
      </c>
    </row>
    <row r="68" spans="1:54" ht="21" hidden="1" customHeight="1" outlineLevel="1" thickBot="1" x14ac:dyDescent="0.4">
      <c r="A68" s="5">
        <f t="shared" si="18"/>
        <v>0</v>
      </c>
      <c r="B68" s="5">
        <f t="shared" si="18"/>
        <v>0</v>
      </c>
      <c r="C68" s="5">
        <f t="shared" si="18"/>
        <v>0</v>
      </c>
      <c r="D68" s="5">
        <f t="shared" si="18"/>
        <v>0</v>
      </c>
      <c r="E68" s="6">
        <f t="shared" si="18"/>
        <v>0</v>
      </c>
      <c r="F68" s="14">
        <f t="shared" ca="1" si="19"/>
        <v>0</v>
      </c>
      <c r="G68" s="14">
        <f t="shared" ca="1" si="17"/>
        <v>0</v>
      </c>
      <c r="H68" s="14">
        <f t="shared" ca="1" si="17"/>
        <v>0</v>
      </c>
      <c r="I68" s="14">
        <f t="shared" ca="1" si="17"/>
        <v>0</v>
      </c>
      <c r="J68" s="14">
        <f t="shared" ca="1" si="17"/>
        <v>0</v>
      </c>
      <c r="K68" s="14">
        <f t="shared" ca="1" si="17"/>
        <v>0</v>
      </c>
      <c r="L68" s="14">
        <f t="shared" ca="1" si="17"/>
        <v>0</v>
      </c>
      <c r="M68" s="14">
        <f t="shared" ca="1" si="17"/>
        <v>0</v>
      </c>
      <c r="N68" s="14">
        <f t="shared" ca="1" si="17"/>
        <v>0</v>
      </c>
      <c r="O68" s="14">
        <f t="shared" ca="1" si="17"/>
        <v>0</v>
      </c>
      <c r="P68" s="14">
        <f t="shared" ca="1" si="17"/>
        <v>0</v>
      </c>
      <c r="Q68" s="14">
        <f t="shared" ca="1" si="17"/>
        <v>0</v>
      </c>
      <c r="R68" s="14">
        <f t="shared" ca="1" si="17"/>
        <v>0</v>
      </c>
      <c r="S68" s="14">
        <f t="shared" ca="1" si="17"/>
        <v>0</v>
      </c>
      <c r="T68" s="14">
        <f t="shared" ca="1" si="17"/>
        <v>0</v>
      </c>
      <c r="U68" s="14">
        <f t="shared" ca="1" si="17"/>
        <v>0</v>
      </c>
      <c r="V68" s="14">
        <f t="shared" ca="1" si="17"/>
        <v>0</v>
      </c>
      <c r="W68" s="14">
        <f t="shared" ca="1" si="17"/>
        <v>0</v>
      </c>
      <c r="X68" s="14">
        <f t="shared" ca="1" si="17"/>
        <v>0</v>
      </c>
      <c r="Y68" s="14">
        <f t="shared" ca="1" si="17"/>
        <v>0</v>
      </c>
      <c r="Z68" s="14">
        <f t="shared" ca="1" si="17"/>
        <v>0</v>
      </c>
      <c r="AA68" s="14">
        <f t="shared" ca="1" si="17"/>
        <v>0</v>
      </c>
      <c r="AB68" s="14">
        <f t="shared" ca="1" si="17"/>
        <v>0</v>
      </c>
      <c r="AC68" s="14">
        <f t="shared" ca="1" si="17"/>
        <v>0</v>
      </c>
      <c r="AD68" s="14">
        <f t="shared" ca="1" si="17"/>
        <v>0</v>
      </c>
      <c r="AE68" s="14">
        <f t="shared" ca="1" si="17"/>
        <v>0</v>
      </c>
      <c r="AF68" s="14">
        <f t="shared" ca="1" si="17"/>
        <v>0</v>
      </c>
      <c r="AG68" s="14">
        <f t="shared" ca="1" si="17"/>
        <v>0</v>
      </c>
      <c r="AH68" s="14">
        <f t="shared" ca="1" si="17"/>
        <v>0</v>
      </c>
      <c r="AI68" s="14">
        <f t="shared" ca="1" si="17"/>
        <v>0</v>
      </c>
      <c r="AJ68" s="14">
        <f t="shared" ca="1" si="17"/>
        <v>0</v>
      </c>
      <c r="AK68" s="14">
        <f t="shared" ca="1" si="17"/>
        <v>0</v>
      </c>
      <c r="AL68" s="14">
        <f t="shared" ca="1" si="17"/>
        <v>0</v>
      </c>
    </row>
    <row r="69" spans="1:54" ht="21" hidden="1" customHeight="1" outlineLevel="1" thickBot="1" x14ac:dyDescent="0.4">
      <c r="A69" s="5">
        <f t="shared" si="18"/>
        <v>0</v>
      </c>
      <c r="B69" s="5">
        <f t="shared" si="18"/>
        <v>0</v>
      </c>
      <c r="C69" s="5">
        <f t="shared" si="18"/>
        <v>0</v>
      </c>
      <c r="D69" s="5">
        <f t="shared" si="18"/>
        <v>0</v>
      </c>
      <c r="E69" s="6">
        <f t="shared" si="18"/>
        <v>0</v>
      </c>
      <c r="F69" s="14">
        <f t="shared" ca="1" si="19"/>
        <v>0</v>
      </c>
      <c r="G69" s="14">
        <f t="shared" ca="1" si="17"/>
        <v>0</v>
      </c>
      <c r="H69" s="14">
        <f t="shared" ca="1" si="17"/>
        <v>0</v>
      </c>
      <c r="I69" s="14">
        <f t="shared" ca="1" si="17"/>
        <v>0</v>
      </c>
      <c r="J69" s="14">
        <f t="shared" ca="1" si="17"/>
        <v>0</v>
      </c>
      <c r="K69" s="14">
        <f t="shared" ca="1" si="17"/>
        <v>0</v>
      </c>
      <c r="L69" s="14">
        <f t="shared" ca="1" si="17"/>
        <v>0</v>
      </c>
      <c r="M69" s="14">
        <f t="shared" ca="1" si="17"/>
        <v>0</v>
      </c>
      <c r="N69" s="14">
        <f t="shared" ca="1" si="17"/>
        <v>0</v>
      </c>
      <c r="O69" s="14">
        <f t="shared" ca="1" si="17"/>
        <v>0</v>
      </c>
      <c r="P69" s="14">
        <f t="shared" ca="1" si="17"/>
        <v>0</v>
      </c>
      <c r="Q69" s="14">
        <f t="shared" ca="1" si="17"/>
        <v>0</v>
      </c>
      <c r="R69" s="14">
        <f t="shared" ca="1" si="17"/>
        <v>0</v>
      </c>
      <c r="S69" s="14">
        <f t="shared" ca="1" si="17"/>
        <v>0</v>
      </c>
      <c r="T69" s="14">
        <f t="shared" ca="1" si="17"/>
        <v>0</v>
      </c>
      <c r="U69" s="14">
        <f t="shared" ca="1" si="17"/>
        <v>0</v>
      </c>
      <c r="V69" s="14">
        <f t="shared" ca="1" si="17"/>
        <v>0</v>
      </c>
      <c r="W69" s="14">
        <f t="shared" ca="1" si="17"/>
        <v>0</v>
      </c>
      <c r="X69" s="14">
        <f t="shared" ca="1" si="17"/>
        <v>0</v>
      </c>
      <c r="Y69" s="14">
        <f t="shared" ca="1" si="17"/>
        <v>0</v>
      </c>
      <c r="Z69" s="14">
        <f t="shared" ca="1" si="17"/>
        <v>0</v>
      </c>
      <c r="AA69" s="14">
        <f t="shared" ca="1" si="17"/>
        <v>0</v>
      </c>
      <c r="AB69" s="14">
        <f t="shared" ca="1" si="17"/>
        <v>0</v>
      </c>
      <c r="AC69" s="14">
        <f t="shared" ca="1" si="17"/>
        <v>0</v>
      </c>
      <c r="AD69" s="14">
        <f t="shared" ca="1" si="17"/>
        <v>0</v>
      </c>
      <c r="AE69" s="14">
        <f t="shared" ca="1" si="17"/>
        <v>0</v>
      </c>
      <c r="AF69" s="14">
        <f t="shared" ca="1" si="17"/>
        <v>0</v>
      </c>
      <c r="AG69" s="14">
        <f t="shared" ca="1" si="17"/>
        <v>0</v>
      </c>
      <c r="AH69" s="14">
        <f t="shared" ca="1" si="17"/>
        <v>0</v>
      </c>
      <c r="AI69" s="14">
        <f t="shared" ca="1" si="17"/>
        <v>0</v>
      </c>
      <c r="AJ69" s="14">
        <f t="shared" ca="1" si="17"/>
        <v>0</v>
      </c>
      <c r="AK69" s="14">
        <f t="shared" ca="1" si="17"/>
        <v>0</v>
      </c>
      <c r="AL69" s="14">
        <f t="shared" ca="1" si="17"/>
        <v>0</v>
      </c>
    </row>
    <row r="70" spans="1:54" ht="21" hidden="1" customHeight="1" outlineLevel="1" thickBot="1" x14ac:dyDescent="0.4">
      <c r="A70" s="5">
        <f t="shared" si="18"/>
        <v>0</v>
      </c>
      <c r="B70" s="5">
        <f t="shared" si="18"/>
        <v>0</v>
      </c>
      <c r="C70" s="5">
        <f t="shared" si="18"/>
        <v>0</v>
      </c>
      <c r="D70" s="5">
        <f t="shared" si="18"/>
        <v>0</v>
      </c>
      <c r="E70" s="6">
        <f t="shared" si="18"/>
        <v>0</v>
      </c>
      <c r="F70" s="14">
        <f t="shared" ca="1" si="19"/>
        <v>0</v>
      </c>
      <c r="G70" s="14">
        <f t="shared" ca="1" si="17"/>
        <v>0</v>
      </c>
      <c r="H70" s="14">
        <f t="shared" ca="1" si="17"/>
        <v>0</v>
      </c>
      <c r="I70" s="14">
        <f t="shared" ca="1" si="17"/>
        <v>0</v>
      </c>
      <c r="J70" s="14">
        <f t="shared" ca="1" si="17"/>
        <v>0</v>
      </c>
      <c r="K70" s="14">
        <f t="shared" ca="1" si="17"/>
        <v>0</v>
      </c>
      <c r="L70" s="14">
        <f t="shared" ca="1" si="17"/>
        <v>0</v>
      </c>
      <c r="M70" s="14">
        <f t="shared" ca="1" si="17"/>
        <v>0</v>
      </c>
      <c r="N70" s="14">
        <f t="shared" ca="1" si="17"/>
        <v>0</v>
      </c>
      <c r="O70" s="14">
        <f t="shared" ca="1" si="17"/>
        <v>0</v>
      </c>
      <c r="P70" s="14">
        <f t="shared" ca="1" si="17"/>
        <v>0</v>
      </c>
      <c r="Q70" s="14">
        <f t="shared" ca="1" si="17"/>
        <v>0</v>
      </c>
      <c r="R70" s="14">
        <f t="shared" ca="1" si="17"/>
        <v>0</v>
      </c>
      <c r="S70" s="14">
        <f t="shared" ca="1" si="17"/>
        <v>0</v>
      </c>
      <c r="T70" s="14">
        <f t="shared" ca="1" si="17"/>
        <v>0</v>
      </c>
      <c r="U70" s="14">
        <f t="shared" ca="1" si="17"/>
        <v>0</v>
      </c>
      <c r="V70" s="14">
        <f t="shared" ca="1" si="17"/>
        <v>0</v>
      </c>
      <c r="W70" s="14">
        <f t="shared" ca="1" si="17"/>
        <v>0</v>
      </c>
      <c r="X70" s="14">
        <f t="shared" ca="1" si="17"/>
        <v>0</v>
      </c>
      <c r="Y70" s="14">
        <f t="shared" ca="1" si="17"/>
        <v>0</v>
      </c>
      <c r="Z70" s="14">
        <f t="shared" ca="1" si="17"/>
        <v>0</v>
      </c>
      <c r="AA70" s="14">
        <f t="shared" ca="1" si="17"/>
        <v>0</v>
      </c>
      <c r="AB70" s="14">
        <f t="shared" ca="1" si="17"/>
        <v>0</v>
      </c>
      <c r="AC70" s="14">
        <f t="shared" ca="1" si="17"/>
        <v>0</v>
      </c>
      <c r="AD70" s="14">
        <f t="shared" ca="1" si="17"/>
        <v>0</v>
      </c>
      <c r="AE70" s="14">
        <f t="shared" ca="1" si="17"/>
        <v>0</v>
      </c>
      <c r="AF70" s="14">
        <f t="shared" ca="1" si="17"/>
        <v>0</v>
      </c>
      <c r="AG70" s="14">
        <f t="shared" ca="1" si="17"/>
        <v>0</v>
      </c>
      <c r="AH70" s="14">
        <f t="shared" ca="1" si="17"/>
        <v>0</v>
      </c>
      <c r="AI70" s="14">
        <f t="shared" ca="1" si="17"/>
        <v>0</v>
      </c>
      <c r="AJ70" s="14">
        <f t="shared" ca="1" si="17"/>
        <v>0</v>
      </c>
      <c r="AK70" s="14">
        <f t="shared" ca="1" si="17"/>
        <v>0</v>
      </c>
      <c r="AL70" s="14">
        <f t="shared" ca="1" si="17"/>
        <v>0</v>
      </c>
    </row>
    <row r="71" spans="1:54" ht="21" hidden="1" customHeight="1" outlineLevel="1" thickBot="1" x14ac:dyDescent="0.4">
      <c r="A71" s="5">
        <f t="shared" si="18"/>
        <v>0</v>
      </c>
      <c r="B71" s="5">
        <f t="shared" si="18"/>
        <v>0</v>
      </c>
      <c r="C71" s="5">
        <f t="shared" si="18"/>
        <v>0</v>
      </c>
      <c r="D71" s="5">
        <f t="shared" si="18"/>
        <v>0</v>
      </c>
      <c r="E71" s="6">
        <f t="shared" si="18"/>
        <v>0</v>
      </c>
      <c r="F71" s="14">
        <f t="shared" ca="1" si="19"/>
        <v>0</v>
      </c>
      <c r="G71" s="14">
        <f t="shared" ca="1" si="17"/>
        <v>0</v>
      </c>
      <c r="H71" s="14">
        <f t="shared" ca="1" si="17"/>
        <v>0</v>
      </c>
      <c r="I71" s="14">
        <f t="shared" ca="1" si="17"/>
        <v>0</v>
      </c>
      <c r="J71" s="14">
        <f t="shared" ca="1" si="17"/>
        <v>0</v>
      </c>
      <c r="K71" s="14">
        <f t="shared" ca="1" si="17"/>
        <v>0</v>
      </c>
      <c r="L71" s="14">
        <f t="shared" ca="1" si="17"/>
        <v>0</v>
      </c>
      <c r="M71" s="14">
        <f t="shared" ca="1" si="17"/>
        <v>0</v>
      </c>
      <c r="N71" s="14">
        <f t="shared" ca="1" si="17"/>
        <v>0</v>
      </c>
      <c r="O71" s="14">
        <f t="shared" ca="1" si="17"/>
        <v>0</v>
      </c>
      <c r="P71" s="14">
        <f t="shared" ca="1" si="17"/>
        <v>0</v>
      </c>
      <c r="Q71" s="14">
        <f t="shared" ref="G71:AL74" ca="1" si="20">$A71*H.Ar + $B71*H.Se + $C71*H.Ge + $D71*H.Ga</f>
        <v>0</v>
      </c>
      <c r="R71" s="14">
        <f t="shared" ca="1" si="20"/>
        <v>0</v>
      </c>
      <c r="S71" s="14">
        <f t="shared" ca="1" si="20"/>
        <v>0</v>
      </c>
      <c r="T71" s="14">
        <f t="shared" ca="1" si="20"/>
        <v>0</v>
      </c>
      <c r="U71" s="14">
        <f t="shared" ca="1" si="20"/>
        <v>0</v>
      </c>
      <c r="V71" s="14">
        <f t="shared" ca="1" si="20"/>
        <v>0</v>
      </c>
      <c r="W71" s="14">
        <f t="shared" ca="1" si="20"/>
        <v>0</v>
      </c>
      <c r="X71" s="14">
        <f t="shared" ca="1" si="20"/>
        <v>0</v>
      </c>
      <c r="Y71" s="14">
        <f t="shared" ca="1" si="20"/>
        <v>0</v>
      </c>
      <c r="Z71" s="14">
        <f t="shared" ca="1" si="20"/>
        <v>0</v>
      </c>
      <c r="AA71" s="14">
        <f t="shared" ca="1" si="20"/>
        <v>0</v>
      </c>
      <c r="AB71" s="14">
        <f t="shared" ca="1" si="20"/>
        <v>0</v>
      </c>
      <c r="AC71" s="14">
        <f t="shared" ca="1" si="20"/>
        <v>0</v>
      </c>
      <c r="AD71" s="14">
        <f t="shared" ca="1" si="20"/>
        <v>0</v>
      </c>
      <c r="AE71" s="14">
        <f t="shared" ca="1" si="20"/>
        <v>0</v>
      </c>
      <c r="AF71" s="14">
        <f t="shared" ca="1" si="20"/>
        <v>0</v>
      </c>
      <c r="AG71" s="14">
        <f t="shared" ca="1" si="20"/>
        <v>0</v>
      </c>
      <c r="AH71" s="14">
        <f t="shared" ca="1" si="20"/>
        <v>0</v>
      </c>
      <c r="AI71" s="14">
        <f t="shared" ca="1" si="20"/>
        <v>0</v>
      </c>
      <c r="AJ71" s="14">
        <f t="shared" ca="1" si="20"/>
        <v>0</v>
      </c>
      <c r="AK71" s="14">
        <f t="shared" ca="1" si="20"/>
        <v>0</v>
      </c>
      <c r="AL71" s="14">
        <f t="shared" ca="1" si="20"/>
        <v>0</v>
      </c>
    </row>
    <row r="72" spans="1:54" ht="21" hidden="1" customHeight="1" outlineLevel="1" thickBot="1" x14ac:dyDescent="0.4">
      <c r="A72" s="5">
        <f t="shared" si="18"/>
        <v>0</v>
      </c>
      <c r="B72" s="5">
        <f t="shared" si="18"/>
        <v>0</v>
      </c>
      <c r="C72" s="5">
        <f t="shared" si="18"/>
        <v>0</v>
      </c>
      <c r="D72" s="5">
        <f t="shared" si="18"/>
        <v>0</v>
      </c>
      <c r="E72" s="6">
        <f t="shared" si="18"/>
        <v>0</v>
      </c>
      <c r="F72" s="14">
        <f t="shared" ca="1" si="19"/>
        <v>0</v>
      </c>
      <c r="G72" s="14">
        <f t="shared" ca="1" si="20"/>
        <v>0</v>
      </c>
      <c r="H72" s="14">
        <f t="shared" ca="1" si="20"/>
        <v>0</v>
      </c>
      <c r="I72" s="14">
        <f t="shared" ca="1" si="20"/>
        <v>0</v>
      </c>
      <c r="J72" s="14">
        <f t="shared" ca="1" si="20"/>
        <v>0</v>
      </c>
      <c r="K72" s="14">
        <f t="shared" ca="1" si="20"/>
        <v>0</v>
      </c>
      <c r="L72" s="14">
        <f t="shared" ca="1" si="20"/>
        <v>0</v>
      </c>
      <c r="M72" s="14">
        <f t="shared" ca="1" si="20"/>
        <v>0</v>
      </c>
      <c r="N72" s="14">
        <f t="shared" ca="1" si="20"/>
        <v>0</v>
      </c>
      <c r="O72" s="14">
        <f t="shared" ca="1" si="20"/>
        <v>0</v>
      </c>
      <c r="P72" s="14">
        <f t="shared" ca="1" si="20"/>
        <v>0</v>
      </c>
      <c r="Q72" s="14">
        <f t="shared" ca="1" si="20"/>
        <v>0</v>
      </c>
      <c r="R72" s="14">
        <f t="shared" ca="1" si="20"/>
        <v>0</v>
      </c>
      <c r="S72" s="14">
        <f t="shared" ca="1" si="20"/>
        <v>0</v>
      </c>
      <c r="T72" s="14">
        <f t="shared" ca="1" si="20"/>
        <v>0</v>
      </c>
      <c r="U72" s="14">
        <f t="shared" ca="1" si="20"/>
        <v>0</v>
      </c>
      <c r="V72" s="14">
        <f t="shared" ca="1" si="20"/>
        <v>0</v>
      </c>
      <c r="W72" s="14">
        <f t="shared" ca="1" si="20"/>
        <v>0</v>
      </c>
      <c r="X72" s="14">
        <f t="shared" ca="1" si="20"/>
        <v>0</v>
      </c>
      <c r="Y72" s="14">
        <f t="shared" ca="1" si="20"/>
        <v>0</v>
      </c>
      <c r="Z72" s="14">
        <f t="shared" ca="1" si="20"/>
        <v>0</v>
      </c>
      <c r="AA72" s="14">
        <f t="shared" ca="1" si="20"/>
        <v>0</v>
      </c>
      <c r="AB72" s="14">
        <f t="shared" ca="1" si="20"/>
        <v>0</v>
      </c>
      <c r="AC72" s="14">
        <f t="shared" ca="1" si="20"/>
        <v>0</v>
      </c>
      <c r="AD72" s="14">
        <f t="shared" ca="1" si="20"/>
        <v>0</v>
      </c>
      <c r="AE72" s="14">
        <f t="shared" ca="1" si="20"/>
        <v>0</v>
      </c>
      <c r="AF72" s="14">
        <f t="shared" ca="1" si="20"/>
        <v>0</v>
      </c>
      <c r="AG72" s="14">
        <f t="shared" ca="1" si="20"/>
        <v>0</v>
      </c>
      <c r="AH72" s="14">
        <f t="shared" ca="1" si="20"/>
        <v>0</v>
      </c>
      <c r="AI72" s="14">
        <f t="shared" ca="1" si="20"/>
        <v>0</v>
      </c>
      <c r="AJ72" s="14">
        <f t="shared" ca="1" si="20"/>
        <v>0</v>
      </c>
      <c r="AK72" s="14">
        <f t="shared" ca="1" si="20"/>
        <v>0</v>
      </c>
      <c r="AL72" s="14">
        <f t="shared" ca="1" si="20"/>
        <v>0</v>
      </c>
    </row>
    <row r="73" spans="1:54" ht="21" hidden="1" customHeight="1" outlineLevel="1" thickBot="1" x14ac:dyDescent="0.4">
      <c r="A73" s="5">
        <f t="shared" si="18"/>
        <v>0</v>
      </c>
      <c r="B73" s="5">
        <f t="shared" si="18"/>
        <v>0</v>
      </c>
      <c r="C73" s="5">
        <f t="shared" si="18"/>
        <v>0</v>
      </c>
      <c r="D73" s="5">
        <f t="shared" si="18"/>
        <v>0</v>
      </c>
      <c r="E73" s="6">
        <f t="shared" si="18"/>
        <v>0</v>
      </c>
      <c r="F73" s="14">
        <f t="shared" ca="1" si="19"/>
        <v>0</v>
      </c>
      <c r="G73" s="14">
        <f t="shared" ca="1" si="20"/>
        <v>0</v>
      </c>
      <c r="H73" s="14">
        <f t="shared" ca="1" si="20"/>
        <v>0</v>
      </c>
      <c r="I73" s="14">
        <f t="shared" ca="1" si="20"/>
        <v>0</v>
      </c>
      <c r="J73" s="14">
        <f t="shared" ca="1" si="20"/>
        <v>0</v>
      </c>
      <c r="K73" s="14">
        <f t="shared" ca="1" si="20"/>
        <v>0</v>
      </c>
      <c r="L73" s="14">
        <f t="shared" ca="1" si="20"/>
        <v>0</v>
      </c>
      <c r="M73" s="14">
        <f t="shared" ca="1" si="20"/>
        <v>0</v>
      </c>
      <c r="N73" s="14">
        <f t="shared" ca="1" si="20"/>
        <v>0</v>
      </c>
      <c r="O73" s="14">
        <f t="shared" ca="1" si="20"/>
        <v>0</v>
      </c>
      <c r="P73" s="14">
        <f t="shared" ca="1" si="20"/>
        <v>0</v>
      </c>
      <c r="Q73" s="14">
        <f t="shared" ca="1" si="20"/>
        <v>0</v>
      </c>
      <c r="R73" s="14">
        <f t="shared" ca="1" si="20"/>
        <v>0</v>
      </c>
      <c r="S73" s="14">
        <f t="shared" ca="1" si="20"/>
        <v>0</v>
      </c>
      <c r="T73" s="14">
        <f t="shared" ca="1" si="20"/>
        <v>0</v>
      </c>
      <c r="U73" s="14">
        <f t="shared" ca="1" si="20"/>
        <v>0</v>
      </c>
      <c r="V73" s="14">
        <f t="shared" ca="1" si="20"/>
        <v>0</v>
      </c>
      <c r="W73" s="14">
        <f t="shared" ca="1" si="20"/>
        <v>0</v>
      </c>
      <c r="X73" s="14">
        <f t="shared" ca="1" si="20"/>
        <v>0</v>
      </c>
      <c r="Y73" s="14">
        <f t="shared" ca="1" si="20"/>
        <v>0</v>
      </c>
      <c r="Z73" s="14">
        <f t="shared" ca="1" si="20"/>
        <v>0</v>
      </c>
      <c r="AA73" s="14">
        <f t="shared" ca="1" si="20"/>
        <v>0</v>
      </c>
      <c r="AB73" s="14">
        <f t="shared" ca="1" si="20"/>
        <v>0</v>
      </c>
      <c r="AC73" s="14">
        <f t="shared" ca="1" si="20"/>
        <v>0</v>
      </c>
      <c r="AD73" s="14">
        <f t="shared" ca="1" si="20"/>
        <v>0</v>
      </c>
      <c r="AE73" s="14">
        <f t="shared" ca="1" si="20"/>
        <v>0</v>
      </c>
      <c r="AF73" s="14">
        <f t="shared" ca="1" si="20"/>
        <v>0</v>
      </c>
      <c r="AG73" s="14">
        <f t="shared" ca="1" si="20"/>
        <v>0</v>
      </c>
      <c r="AH73" s="14">
        <f t="shared" ca="1" si="20"/>
        <v>0</v>
      </c>
      <c r="AI73" s="14">
        <f t="shared" ca="1" si="20"/>
        <v>0</v>
      </c>
      <c r="AJ73" s="14">
        <f t="shared" ca="1" si="20"/>
        <v>0</v>
      </c>
      <c r="AK73" s="14">
        <f t="shared" ca="1" si="20"/>
        <v>0</v>
      </c>
      <c r="AL73" s="14">
        <f t="shared" ca="1" si="20"/>
        <v>0</v>
      </c>
    </row>
    <row r="74" spans="1:54" ht="21" hidden="1" customHeight="1" outlineLevel="1" thickBot="1" x14ac:dyDescent="0.4">
      <c r="A74" s="5">
        <f t="shared" si="18"/>
        <v>0</v>
      </c>
      <c r="B74" s="5">
        <f t="shared" si="18"/>
        <v>0</v>
      </c>
      <c r="C74" s="5">
        <f t="shared" si="18"/>
        <v>0</v>
      </c>
      <c r="D74" s="5">
        <f t="shared" si="18"/>
        <v>0</v>
      </c>
      <c r="E74" s="6">
        <f t="shared" si="18"/>
        <v>0</v>
      </c>
      <c r="F74" s="14">
        <f t="shared" ca="1" si="19"/>
        <v>0</v>
      </c>
      <c r="G74" s="14">
        <f t="shared" ca="1" si="20"/>
        <v>0</v>
      </c>
      <c r="H74" s="14">
        <f t="shared" ca="1" si="20"/>
        <v>0</v>
      </c>
      <c r="I74" s="14">
        <f t="shared" ca="1" si="20"/>
        <v>0</v>
      </c>
      <c r="J74" s="14">
        <f t="shared" ca="1" si="20"/>
        <v>0</v>
      </c>
      <c r="K74" s="14">
        <f t="shared" ca="1" si="20"/>
        <v>0</v>
      </c>
      <c r="L74" s="14">
        <f t="shared" ca="1" si="20"/>
        <v>0</v>
      </c>
      <c r="M74" s="14">
        <f t="shared" ca="1" si="20"/>
        <v>0</v>
      </c>
      <c r="N74" s="14">
        <f t="shared" ca="1" si="20"/>
        <v>0</v>
      </c>
      <c r="O74" s="14">
        <f t="shared" ca="1" si="20"/>
        <v>0</v>
      </c>
      <c r="P74" s="14">
        <f t="shared" ca="1" si="20"/>
        <v>0</v>
      </c>
      <c r="Q74" s="14">
        <f t="shared" ca="1" si="20"/>
        <v>0</v>
      </c>
      <c r="R74" s="14">
        <f t="shared" ca="1" si="20"/>
        <v>0</v>
      </c>
      <c r="S74" s="14">
        <f t="shared" ca="1" si="20"/>
        <v>0</v>
      </c>
      <c r="T74" s="14">
        <f t="shared" ca="1" si="20"/>
        <v>0</v>
      </c>
      <c r="U74" s="14">
        <f t="shared" ca="1" si="20"/>
        <v>0</v>
      </c>
      <c r="V74" s="14">
        <f t="shared" ca="1" si="20"/>
        <v>0</v>
      </c>
      <c r="W74" s="14">
        <f t="shared" ca="1" si="20"/>
        <v>0</v>
      </c>
      <c r="X74" s="14">
        <f t="shared" ca="1" si="20"/>
        <v>0</v>
      </c>
      <c r="Y74" s="14">
        <f t="shared" ca="1" si="20"/>
        <v>0</v>
      </c>
      <c r="Z74" s="14">
        <f t="shared" ca="1" si="20"/>
        <v>0</v>
      </c>
      <c r="AA74" s="14">
        <f t="shared" ca="1" si="20"/>
        <v>0</v>
      </c>
      <c r="AB74" s="14">
        <f t="shared" ca="1" si="20"/>
        <v>0</v>
      </c>
      <c r="AC74" s="14">
        <f t="shared" ca="1" si="20"/>
        <v>0</v>
      </c>
      <c r="AD74" s="14">
        <f t="shared" ca="1" si="20"/>
        <v>0</v>
      </c>
      <c r="AE74" s="14">
        <f t="shared" ca="1" si="20"/>
        <v>0</v>
      </c>
      <c r="AF74" s="14">
        <f t="shared" ca="1" si="20"/>
        <v>0</v>
      </c>
      <c r="AG74" s="14">
        <f t="shared" ca="1" si="20"/>
        <v>0</v>
      </c>
      <c r="AH74" s="14">
        <f t="shared" ca="1" si="20"/>
        <v>0</v>
      </c>
      <c r="AI74" s="14">
        <f t="shared" ca="1" si="20"/>
        <v>0</v>
      </c>
      <c r="AJ74" s="14">
        <f t="shared" ca="1" si="20"/>
        <v>0</v>
      </c>
      <c r="AK74" s="14">
        <f t="shared" ca="1" si="20"/>
        <v>0</v>
      </c>
      <c r="AL74" s="14">
        <f t="shared" ca="1" si="20"/>
        <v>0</v>
      </c>
    </row>
    <row r="75" spans="1:54" ht="21" hidden="1" customHeight="1" outlineLevel="1" thickBot="1" x14ac:dyDescent="0.4">
      <c r="A75" s="5">
        <f t="shared" si="18"/>
        <v>0</v>
      </c>
      <c r="B75" s="5">
        <f t="shared" si="18"/>
        <v>0</v>
      </c>
      <c r="C75" s="5">
        <f t="shared" si="18"/>
        <v>0</v>
      </c>
      <c r="D75" s="5">
        <f t="shared" si="18"/>
        <v>0</v>
      </c>
      <c r="E75" s="6">
        <f t="shared" si="18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A76" s="55"/>
      <c r="B76" s="55"/>
      <c r="C76" s="55"/>
      <c r="D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</row>
    <row r="77" spans="1:54" ht="21" customHeight="1" collapsed="1" x14ac:dyDescent="0.35"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</row>
    <row r="78" spans="1:54" ht="21" customHeight="1" x14ac:dyDescent="0.4">
      <c r="A78" s="88"/>
      <c r="B78" s="88"/>
      <c r="C78" s="89">
        <f>E41</f>
        <v>3.125</v>
      </c>
      <c r="D78" s="75"/>
      <c r="E78" s="74" t="s">
        <v>23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1">E45</f>
        <v>Temperature,К</v>
      </c>
      <c r="F79" s="3">
        <f t="shared" ref="F79:AL79" si="22">F3</f>
        <v>273.10000000000002</v>
      </c>
      <c r="G79" s="3">
        <f t="shared" si="22"/>
        <v>293.3</v>
      </c>
      <c r="H79" s="3">
        <f t="shared" si="22"/>
        <v>313.5</v>
      </c>
      <c r="I79" s="3">
        <f t="shared" si="22"/>
        <v>333.7</v>
      </c>
      <c r="J79" s="3">
        <f t="shared" si="22"/>
        <v>353.9</v>
      </c>
      <c r="K79" s="3">
        <f t="shared" si="22"/>
        <v>434.7</v>
      </c>
      <c r="L79" s="3">
        <f t="shared" si="22"/>
        <v>454.9</v>
      </c>
      <c r="M79" s="3">
        <f t="shared" si="22"/>
        <v>475.1</v>
      </c>
      <c r="N79" s="3">
        <f t="shared" si="22"/>
        <v>495.2</v>
      </c>
      <c r="O79" s="3">
        <f t="shared" si="22"/>
        <v>515.4</v>
      </c>
      <c r="P79" s="3">
        <f t="shared" si="22"/>
        <v>535.6</v>
      </c>
      <c r="Q79" s="3">
        <f t="shared" si="22"/>
        <v>555.79999999999995</v>
      </c>
      <c r="R79" s="3">
        <f t="shared" si="22"/>
        <v>576</v>
      </c>
      <c r="S79" s="3">
        <f t="shared" si="22"/>
        <v>596.20000000000005</v>
      </c>
      <c r="T79" s="3">
        <f t="shared" si="22"/>
        <v>616.4</v>
      </c>
      <c r="U79" s="3">
        <f t="shared" si="22"/>
        <v>636.6</v>
      </c>
      <c r="V79" s="3">
        <f t="shared" si="22"/>
        <v>656.8</v>
      </c>
      <c r="W79" s="3">
        <f t="shared" si="22"/>
        <v>677</v>
      </c>
      <c r="X79" s="3">
        <f t="shared" si="22"/>
        <v>757.7</v>
      </c>
      <c r="Y79" s="3">
        <f t="shared" si="22"/>
        <v>838.5</v>
      </c>
      <c r="Z79" s="3">
        <f t="shared" si="22"/>
        <v>919.2</v>
      </c>
      <c r="AA79" s="3">
        <f t="shared" si="22"/>
        <v>1000</v>
      </c>
      <c r="AB79" s="3">
        <f t="shared" si="22"/>
        <v>0</v>
      </c>
      <c r="AC79" s="3">
        <f t="shared" si="22"/>
        <v>0</v>
      </c>
      <c r="AD79" s="3">
        <f t="shared" si="22"/>
        <v>0</v>
      </c>
      <c r="AE79" s="3">
        <f t="shared" si="22"/>
        <v>0</v>
      </c>
      <c r="AF79" s="3">
        <f t="shared" si="22"/>
        <v>0</v>
      </c>
      <c r="AG79" s="3">
        <f t="shared" si="22"/>
        <v>0</v>
      </c>
      <c r="AH79" s="3">
        <f t="shared" si="22"/>
        <v>0</v>
      </c>
      <c r="AI79" s="3">
        <f t="shared" si="22"/>
        <v>0</v>
      </c>
      <c r="AJ79" s="3">
        <f t="shared" si="22"/>
        <v>0</v>
      </c>
      <c r="AK79" s="3">
        <f t="shared" si="22"/>
        <v>0</v>
      </c>
      <c r="AL79" s="3">
        <f t="shared" si="22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3">B46</f>
        <v>1</v>
      </c>
      <c r="C80" s="5">
        <f t="shared" si="23"/>
        <v>0</v>
      </c>
      <c r="D80" s="5">
        <f t="shared" si="23"/>
        <v>0</v>
      </c>
      <c r="E80" s="6" t="str">
        <f t="shared" si="21"/>
        <v>*Se[m]</v>
      </c>
      <c r="F80" s="14">
        <f t="shared" ref="F80:AL80" si="24">F4*$C$78</f>
        <v>0</v>
      </c>
      <c r="G80" s="14">
        <f t="shared" si="24"/>
        <v>8.8209375000000007E-35</v>
      </c>
      <c r="H80" s="14">
        <f t="shared" si="24"/>
        <v>8.1640625000000001E-26</v>
      </c>
      <c r="I80" s="14">
        <f t="shared" si="24"/>
        <v>1.9692499999999999E-21</v>
      </c>
      <c r="J80" s="14">
        <f t="shared" si="24"/>
        <v>1.4443749999999999E-19</v>
      </c>
      <c r="K80" s="14">
        <f t="shared" si="24"/>
        <v>3.2096874999999998E-13</v>
      </c>
      <c r="L80" s="14">
        <f t="shared" si="24"/>
        <v>1.33628125E-9</v>
      </c>
      <c r="M80" s="14">
        <f t="shared" si="24"/>
        <v>2.1052812499999998E-8</v>
      </c>
      <c r="N80" s="14">
        <f t="shared" si="24"/>
        <v>4.1325000000000001E-8</v>
      </c>
      <c r="O80" s="14">
        <f t="shared" si="24"/>
        <v>4.4728124999999999E-8</v>
      </c>
      <c r="P80" s="14">
        <f t="shared" si="24"/>
        <v>5.0612500000000004E-8</v>
      </c>
      <c r="Q80" s="14">
        <f t="shared" si="24"/>
        <v>5.8756249999999994E-8</v>
      </c>
      <c r="R80" s="14">
        <f t="shared" si="24"/>
        <v>8.5903125000000002E-8</v>
      </c>
      <c r="S80" s="14">
        <f t="shared" si="24"/>
        <v>5.9996875000000001E-8</v>
      </c>
      <c r="T80" s="14">
        <f t="shared" si="24"/>
        <v>6.0406249999999999E-8</v>
      </c>
      <c r="U80" s="14">
        <f t="shared" si="24"/>
        <v>9.5890624999999998E-8</v>
      </c>
      <c r="V80" s="14">
        <f t="shared" si="24"/>
        <v>9.1078125000000007E-8</v>
      </c>
      <c r="W80" s="14">
        <f t="shared" si="24"/>
        <v>9.1012499999999995E-8</v>
      </c>
      <c r="X80" s="14">
        <f t="shared" si="24"/>
        <v>9.0090624999999999E-8</v>
      </c>
      <c r="Y80" s="14">
        <f t="shared" si="24"/>
        <v>6.3959375000000008E-8</v>
      </c>
      <c r="Z80" s="14">
        <f t="shared" si="24"/>
        <v>8.0956250000000007E-8</v>
      </c>
      <c r="AA80" s="14">
        <f t="shared" si="24"/>
        <v>7.6921875000000002E-8</v>
      </c>
      <c r="AB80" s="14">
        <f t="shared" si="24"/>
        <v>0</v>
      </c>
      <c r="AC80" s="14">
        <f t="shared" si="24"/>
        <v>0</v>
      </c>
      <c r="AD80" s="14">
        <f t="shared" si="24"/>
        <v>0</v>
      </c>
      <c r="AE80" s="14">
        <f t="shared" si="24"/>
        <v>0</v>
      </c>
      <c r="AF80" s="14">
        <f t="shared" si="24"/>
        <v>0</v>
      </c>
      <c r="AG80" s="14">
        <f t="shared" si="24"/>
        <v>0</v>
      </c>
      <c r="AH80" s="14">
        <f t="shared" si="24"/>
        <v>0</v>
      </c>
      <c r="AI80" s="14">
        <f t="shared" si="24"/>
        <v>0</v>
      </c>
      <c r="AJ80" s="14">
        <f t="shared" si="24"/>
        <v>0</v>
      </c>
      <c r="AK80" s="14">
        <f t="shared" si="24"/>
        <v>0</v>
      </c>
      <c r="AL80" s="14">
        <f t="shared" si="24"/>
        <v>0</v>
      </c>
    </row>
    <row r="81" spans="1:38" ht="21" hidden="1" customHeight="1" outlineLevel="1" thickBot="1" x14ac:dyDescent="0.4">
      <c r="A81" s="5">
        <f t="shared" ref="A81:D96" si="25">A47</f>
        <v>0</v>
      </c>
      <c r="B81" s="5">
        <f t="shared" si="25"/>
        <v>2</v>
      </c>
      <c r="C81" s="5">
        <f t="shared" si="25"/>
        <v>1</v>
      </c>
      <c r="D81" s="5">
        <f t="shared" si="25"/>
        <v>0</v>
      </c>
      <c r="E81" s="6" t="str">
        <f t="shared" si="21"/>
        <v>*GeSe2</v>
      </c>
      <c r="F81" s="14">
        <f t="shared" ref="F81:AL81" si="26">F5*$C$78</f>
        <v>1.1526249999999999E-8</v>
      </c>
      <c r="G81" s="14">
        <f t="shared" si="26"/>
        <v>4.5543750000000002E-9</v>
      </c>
      <c r="H81" s="14">
        <f t="shared" si="26"/>
        <v>7.7046874999999993E-13</v>
      </c>
      <c r="I81" s="14">
        <f t="shared" si="26"/>
        <v>8.0499999999999998E-22</v>
      </c>
      <c r="J81" s="14">
        <f t="shared" si="26"/>
        <v>3.6278125000000002E-36</v>
      </c>
      <c r="K81" s="14">
        <f t="shared" si="26"/>
        <v>0</v>
      </c>
      <c r="L81" s="14">
        <f t="shared" si="26"/>
        <v>0</v>
      </c>
      <c r="M81" s="14">
        <f t="shared" si="26"/>
        <v>0</v>
      </c>
      <c r="N81" s="14">
        <f t="shared" si="26"/>
        <v>0</v>
      </c>
      <c r="O81" s="14">
        <f t="shared" si="26"/>
        <v>0</v>
      </c>
      <c r="P81" s="14">
        <f t="shared" si="26"/>
        <v>0</v>
      </c>
      <c r="Q81" s="14">
        <f t="shared" si="26"/>
        <v>0</v>
      </c>
      <c r="R81" s="14">
        <f t="shared" si="26"/>
        <v>0</v>
      </c>
      <c r="S81" s="14">
        <f t="shared" si="26"/>
        <v>0</v>
      </c>
      <c r="T81" s="14">
        <f t="shared" si="26"/>
        <v>0</v>
      </c>
      <c r="U81" s="14">
        <f t="shared" si="26"/>
        <v>0</v>
      </c>
      <c r="V81" s="14">
        <f t="shared" si="26"/>
        <v>0</v>
      </c>
      <c r="W81" s="14">
        <f t="shared" si="26"/>
        <v>0</v>
      </c>
      <c r="X81" s="14">
        <f t="shared" si="26"/>
        <v>0</v>
      </c>
      <c r="Y81" s="14">
        <f t="shared" si="26"/>
        <v>0</v>
      </c>
      <c r="Z81" s="14">
        <f t="shared" si="26"/>
        <v>0</v>
      </c>
      <c r="AA81" s="14">
        <f t="shared" si="26"/>
        <v>0</v>
      </c>
      <c r="AB81" s="14">
        <f t="shared" si="26"/>
        <v>0</v>
      </c>
      <c r="AC81" s="14">
        <f t="shared" si="26"/>
        <v>0</v>
      </c>
      <c r="AD81" s="14">
        <f t="shared" si="26"/>
        <v>0</v>
      </c>
      <c r="AE81" s="14">
        <f t="shared" si="26"/>
        <v>0</v>
      </c>
      <c r="AF81" s="14">
        <f t="shared" si="26"/>
        <v>0</v>
      </c>
      <c r="AG81" s="14">
        <f t="shared" si="26"/>
        <v>0</v>
      </c>
      <c r="AH81" s="14">
        <f t="shared" si="26"/>
        <v>0</v>
      </c>
      <c r="AI81" s="14">
        <f t="shared" si="26"/>
        <v>0</v>
      </c>
      <c r="AJ81" s="14">
        <f t="shared" si="26"/>
        <v>0</v>
      </c>
      <c r="AK81" s="14">
        <f t="shared" si="26"/>
        <v>0</v>
      </c>
      <c r="AL81" s="14">
        <f t="shared" si="26"/>
        <v>0</v>
      </c>
    </row>
    <row r="82" spans="1:38" ht="21" hidden="1" customHeight="1" outlineLevel="1" thickBot="1" x14ac:dyDescent="0.4">
      <c r="A82" s="5">
        <f t="shared" si="25"/>
        <v>0</v>
      </c>
      <c r="B82" s="5">
        <f t="shared" si="25"/>
        <v>1</v>
      </c>
      <c r="C82" s="5">
        <f t="shared" si="25"/>
        <v>1</v>
      </c>
      <c r="D82" s="5">
        <f t="shared" si="25"/>
        <v>0</v>
      </c>
      <c r="E82" s="6" t="str">
        <f t="shared" si="21"/>
        <v>*GeSe</v>
      </c>
      <c r="F82" s="14">
        <f t="shared" ref="F82:AL82" si="27">F6*$C$78</f>
        <v>2.3354375E-9</v>
      </c>
      <c r="G82" s="14">
        <f t="shared" si="27"/>
        <v>2.1749374999999999E-8</v>
      </c>
      <c r="H82" s="14">
        <f t="shared" si="27"/>
        <v>4.2534374999999999E-8</v>
      </c>
      <c r="I82" s="14">
        <f t="shared" si="27"/>
        <v>6.9768750000000001E-8</v>
      </c>
      <c r="J82" s="14">
        <f t="shared" si="27"/>
        <v>1.0398124999999999E-7</v>
      </c>
      <c r="K82" s="14">
        <f t="shared" si="27"/>
        <v>5.3621875000000005E-8</v>
      </c>
      <c r="L82" s="14">
        <f t="shared" si="27"/>
        <v>1.1429375E-8</v>
      </c>
      <c r="M82" s="14">
        <f t="shared" si="27"/>
        <v>1.834375E-12</v>
      </c>
      <c r="N82" s="14">
        <f t="shared" si="27"/>
        <v>6.2662499999999998E-20</v>
      </c>
      <c r="O82" s="14">
        <f t="shared" si="27"/>
        <v>2.6829687499999998E-30</v>
      </c>
      <c r="P82" s="14">
        <f t="shared" si="27"/>
        <v>0</v>
      </c>
      <c r="Q82" s="14">
        <f t="shared" si="27"/>
        <v>0</v>
      </c>
      <c r="R82" s="14">
        <f t="shared" si="27"/>
        <v>0</v>
      </c>
      <c r="S82" s="14">
        <f t="shared" si="27"/>
        <v>0</v>
      </c>
      <c r="T82" s="14">
        <f t="shared" si="27"/>
        <v>0</v>
      </c>
      <c r="U82" s="14">
        <f t="shared" si="27"/>
        <v>0</v>
      </c>
      <c r="V82" s="14">
        <f t="shared" si="27"/>
        <v>0</v>
      </c>
      <c r="W82" s="14">
        <f t="shared" si="27"/>
        <v>0</v>
      </c>
      <c r="X82" s="14">
        <f t="shared" si="27"/>
        <v>0</v>
      </c>
      <c r="Y82" s="14">
        <f t="shared" si="27"/>
        <v>0</v>
      </c>
      <c r="Z82" s="14">
        <f t="shared" si="27"/>
        <v>0</v>
      </c>
      <c r="AA82" s="14">
        <f t="shared" si="27"/>
        <v>0</v>
      </c>
      <c r="AB82" s="14">
        <f t="shared" si="27"/>
        <v>0</v>
      </c>
      <c r="AC82" s="14">
        <f t="shared" si="27"/>
        <v>0</v>
      </c>
      <c r="AD82" s="14">
        <f t="shared" si="27"/>
        <v>0</v>
      </c>
      <c r="AE82" s="14">
        <f t="shared" si="27"/>
        <v>0</v>
      </c>
      <c r="AF82" s="14">
        <f t="shared" si="27"/>
        <v>0</v>
      </c>
      <c r="AG82" s="14">
        <f t="shared" si="27"/>
        <v>0</v>
      </c>
      <c r="AH82" s="14">
        <f t="shared" si="27"/>
        <v>0</v>
      </c>
      <c r="AI82" s="14">
        <f t="shared" si="27"/>
        <v>0</v>
      </c>
      <c r="AJ82" s="14">
        <f t="shared" si="27"/>
        <v>0</v>
      </c>
      <c r="AK82" s="14">
        <f t="shared" si="27"/>
        <v>0</v>
      </c>
      <c r="AL82" s="14">
        <f t="shared" si="27"/>
        <v>0</v>
      </c>
    </row>
    <row r="83" spans="1:38" ht="21" hidden="1" customHeight="1" outlineLevel="1" thickBot="1" x14ac:dyDescent="0.4">
      <c r="A83" s="5">
        <f t="shared" si="25"/>
        <v>1</v>
      </c>
      <c r="B83" s="5">
        <f t="shared" si="25"/>
        <v>0</v>
      </c>
      <c r="C83" s="5">
        <f t="shared" si="25"/>
        <v>0</v>
      </c>
      <c r="D83" s="5">
        <f t="shared" si="25"/>
        <v>0</v>
      </c>
      <c r="E83" s="6" t="str">
        <f t="shared" si="21"/>
        <v>Ar</v>
      </c>
      <c r="F83" s="14">
        <f t="shared" ref="F83:AL83" si="28">F7*$C$78</f>
        <v>0.625</v>
      </c>
      <c r="G83" s="14">
        <f t="shared" si="28"/>
        <v>0.625</v>
      </c>
      <c r="H83" s="14">
        <f t="shared" si="28"/>
        <v>0.625</v>
      </c>
      <c r="I83" s="14">
        <f t="shared" si="28"/>
        <v>0.625</v>
      </c>
      <c r="J83" s="14">
        <f t="shared" si="28"/>
        <v>0.625</v>
      </c>
      <c r="K83" s="14">
        <f t="shared" si="28"/>
        <v>0.625</v>
      </c>
      <c r="L83" s="14">
        <f t="shared" si="28"/>
        <v>0.625</v>
      </c>
      <c r="M83" s="14">
        <f t="shared" si="28"/>
        <v>0.625</v>
      </c>
      <c r="N83" s="14">
        <f t="shared" si="28"/>
        <v>0.625</v>
      </c>
      <c r="O83" s="14">
        <f t="shared" si="28"/>
        <v>0.625</v>
      </c>
      <c r="P83" s="14">
        <f t="shared" si="28"/>
        <v>0.625</v>
      </c>
      <c r="Q83" s="14">
        <f t="shared" si="28"/>
        <v>0.625</v>
      </c>
      <c r="R83" s="14">
        <f t="shared" si="28"/>
        <v>0.625</v>
      </c>
      <c r="S83" s="14">
        <f t="shared" si="28"/>
        <v>0.625</v>
      </c>
      <c r="T83" s="14">
        <f t="shared" si="28"/>
        <v>0.625</v>
      </c>
      <c r="U83" s="14">
        <f t="shared" si="28"/>
        <v>0.625</v>
      </c>
      <c r="V83" s="14">
        <f t="shared" si="28"/>
        <v>0.625</v>
      </c>
      <c r="W83" s="14">
        <f t="shared" si="28"/>
        <v>0.625</v>
      </c>
      <c r="X83" s="14">
        <f t="shared" si="28"/>
        <v>0.625</v>
      </c>
      <c r="Y83" s="14">
        <f t="shared" si="28"/>
        <v>0.625</v>
      </c>
      <c r="Z83" s="14">
        <f t="shared" si="28"/>
        <v>0.625</v>
      </c>
      <c r="AA83" s="14">
        <f t="shared" si="28"/>
        <v>0.625</v>
      </c>
      <c r="AB83" s="14">
        <f t="shared" si="28"/>
        <v>0</v>
      </c>
      <c r="AC83" s="14">
        <f t="shared" si="28"/>
        <v>0</v>
      </c>
      <c r="AD83" s="14">
        <f t="shared" si="28"/>
        <v>0</v>
      </c>
      <c r="AE83" s="14">
        <f t="shared" si="28"/>
        <v>0</v>
      </c>
      <c r="AF83" s="14">
        <f t="shared" si="28"/>
        <v>0</v>
      </c>
      <c r="AG83" s="14">
        <f t="shared" si="28"/>
        <v>0</v>
      </c>
      <c r="AH83" s="14">
        <f t="shared" si="28"/>
        <v>0</v>
      </c>
      <c r="AI83" s="14">
        <f t="shared" si="28"/>
        <v>0</v>
      </c>
      <c r="AJ83" s="14">
        <f t="shared" si="28"/>
        <v>0</v>
      </c>
      <c r="AK83" s="14">
        <f t="shared" si="28"/>
        <v>0</v>
      </c>
      <c r="AL83" s="14">
        <f t="shared" si="28"/>
        <v>0</v>
      </c>
    </row>
    <row r="84" spans="1:38" ht="21" hidden="1" customHeight="1" outlineLevel="1" thickBot="1" x14ac:dyDescent="0.4">
      <c r="A84" s="5">
        <f t="shared" si="25"/>
        <v>0</v>
      </c>
      <c r="B84" s="5">
        <f t="shared" si="25"/>
        <v>2</v>
      </c>
      <c r="C84" s="5">
        <f t="shared" si="25"/>
        <v>1</v>
      </c>
      <c r="D84" s="5">
        <f t="shared" si="25"/>
        <v>0</v>
      </c>
      <c r="E84" s="6" t="str">
        <f t="shared" si="21"/>
        <v>(l)GeSe2</v>
      </c>
      <c r="F84" s="14">
        <f t="shared" ref="F84:AL84" si="29">F8*$C$78</f>
        <v>0.49184375000000002</v>
      </c>
      <c r="G84" s="14">
        <f t="shared" si="29"/>
        <v>0.46403125000000001</v>
      </c>
      <c r="H84" s="14">
        <f t="shared" si="29"/>
        <v>0.38524999999999998</v>
      </c>
      <c r="I84" s="14">
        <f t="shared" si="29"/>
        <v>0.25194687500000001</v>
      </c>
      <c r="J84" s="14">
        <f t="shared" si="29"/>
        <v>0.12554062499999999</v>
      </c>
      <c r="K84" s="14">
        <f t="shared" si="29"/>
        <v>3.751875E-3</v>
      </c>
      <c r="L84" s="14">
        <f t="shared" si="29"/>
        <v>1.6336562499999999E-3</v>
      </c>
      <c r="M84" s="14">
        <f t="shared" si="29"/>
        <v>6.6665624999999993E-4</v>
      </c>
      <c r="N84" s="14">
        <f t="shared" si="29"/>
        <v>2.355375E-4</v>
      </c>
      <c r="O84" s="14">
        <f t="shared" si="29"/>
        <v>7.1112500000000001E-5</v>
      </c>
      <c r="P84" s="14">
        <f t="shared" si="29"/>
        <v>1.9460312499999998E-5</v>
      </c>
      <c r="Q84" s="14">
        <f t="shared" si="29"/>
        <v>5.1881250000000004E-6</v>
      </c>
      <c r="R84" s="14">
        <f t="shared" si="29"/>
        <v>1.41140625E-6</v>
      </c>
      <c r="S84" s="14">
        <f t="shared" si="29"/>
        <v>4.0009374999999998E-7</v>
      </c>
      <c r="T84" s="14">
        <f t="shared" si="29"/>
        <v>1.1901249999999999E-7</v>
      </c>
      <c r="U84" s="14">
        <f t="shared" si="29"/>
        <v>3.7171875E-8</v>
      </c>
      <c r="V84" s="14">
        <f t="shared" si="29"/>
        <v>1.21675E-8</v>
      </c>
      <c r="W84" s="14">
        <f t="shared" si="29"/>
        <v>4.1625E-9</v>
      </c>
      <c r="X84" s="14">
        <f t="shared" si="29"/>
        <v>8.3637499999999999E-11</v>
      </c>
      <c r="Y84" s="14">
        <f t="shared" si="29"/>
        <v>2.75746875E-12</v>
      </c>
      <c r="Z84" s="14">
        <f t="shared" si="29"/>
        <v>1.3244374999999998E-13</v>
      </c>
      <c r="AA84" s="14">
        <f t="shared" si="29"/>
        <v>8.5196875000000006E-15</v>
      </c>
      <c r="AB84" s="14">
        <f t="shared" si="29"/>
        <v>0</v>
      </c>
      <c r="AC84" s="14">
        <f t="shared" si="29"/>
        <v>0</v>
      </c>
      <c r="AD84" s="14">
        <f t="shared" si="29"/>
        <v>0</v>
      </c>
      <c r="AE84" s="14">
        <f t="shared" si="29"/>
        <v>0</v>
      </c>
      <c r="AF84" s="14">
        <f t="shared" si="29"/>
        <v>0</v>
      </c>
      <c r="AG84" s="14">
        <f t="shared" si="29"/>
        <v>0</v>
      </c>
      <c r="AH84" s="14">
        <f t="shared" si="29"/>
        <v>0</v>
      </c>
      <c r="AI84" s="14">
        <f t="shared" si="29"/>
        <v>0</v>
      </c>
      <c r="AJ84" s="14">
        <f t="shared" si="29"/>
        <v>0</v>
      </c>
      <c r="AK84" s="14">
        <f t="shared" si="29"/>
        <v>0</v>
      </c>
      <c r="AL84" s="14">
        <f t="shared" si="29"/>
        <v>0</v>
      </c>
    </row>
    <row r="85" spans="1:38" ht="21" hidden="1" customHeight="1" outlineLevel="1" thickBot="1" x14ac:dyDescent="0.4">
      <c r="A85" s="5">
        <f t="shared" si="25"/>
        <v>0</v>
      </c>
      <c r="B85" s="5">
        <f t="shared" si="25"/>
        <v>1</v>
      </c>
      <c r="C85" s="5">
        <f t="shared" si="25"/>
        <v>1</v>
      </c>
      <c r="D85" s="5">
        <f t="shared" si="25"/>
        <v>0</v>
      </c>
      <c r="E85" s="6" t="str">
        <f t="shared" si="21"/>
        <v>(l)GeSe</v>
      </c>
      <c r="F85" s="14">
        <f t="shared" ref="F85:AL85" si="30">F9*$C$78</f>
        <v>0.50815624999999998</v>
      </c>
      <c r="G85" s="14">
        <f t="shared" si="30"/>
        <v>0.53596874999999999</v>
      </c>
      <c r="H85" s="14">
        <f t="shared" si="30"/>
        <v>0.61475000000000002</v>
      </c>
      <c r="I85" s="14">
        <f t="shared" si="30"/>
        <v>0.74793750000000003</v>
      </c>
      <c r="J85" s="14">
        <f t="shared" si="30"/>
        <v>0.87393750000000003</v>
      </c>
      <c r="K85" s="14">
        <f t="shared" si="30"/>
        <v>0.90590624999999991</v>
      </c>
      <c r="L85" s="14">
        <f t="shared" si="30"/>
        <v>0.78731249999999997</v>
      </c>
      <c r="M85" s="14">
        <f t="shared" si="30"/>
        <v>0.60231250000000003</v>
      </c>
      <c r="N85" s="14">
        <f t="shared" si="30"/>
        <v>0.39146874999999998</v>
      </c>
      <c r="O85" s="14">
        <f t="shared" si="30"/>
        <v>0.21765937500000002</v>
      </c>
      <c r="P85" s="14">
        <f t="shared" si="30"/>
        <v>0.10939375000000001</v>
      </c>
      <c r="Q85" s="14">
        <f t="shared" si="30"/>
        <v>5.2871874999999999E-2</v>
      </c>
      <c r="R85" s="14">
        <f t="shared" si="30"/>
        <v>2.5572187500000003E-2</v>
      </c>
      <c r="S85" s="14">
        <f t="shared" si="30"/>
        <v>1.2610624999999999E-2</v>
      </c>
      <c r="T85" s="14">
        <f t="shared" si="30"/>
        <v>6.3849999999999992E-3</v>
      </c>
      <c r="U85" s="14">
        <f t="shared" si="30"/>
        <v>3.3246875E-3</v>
      </c>
      <c r="V85" s="14">
        <f t="shared" si="30"/>
        <v>1.7793437500000001E-3</v>
      </c>
      <c r="W85" s="14">
        <f t="shared" si="30"/>
        <v>9.7734374999999991E-4</v>
      </c>
      <c r="X85" s="14">
        <f t="shared" si="30"/>
        <v>1.1157187500000001E-4</v>
      </c>
      <c r="Y85" s="14">
        <f t="shared" si="30"/>
        <v>1.7058437499999998E-5</v>
      </c>
      <c r="Z85" s="14">
        <f t="shared" si="30"/>
        <v>3.2528125E-6</v>
      </c>
      <c r="AA85" s="14">
        <f t="shared" si="30"/>
        <v>7.3584375E-7</v>
      </c>
      <c r="AB85" s="14">
        <f t="shared" si="30"/>
        <v>0</v>
      </c>
      <c r="AC85" s="14">
        <f t="shared" si="30"/>
        <v>0</v>
      </c>
      <c r="AD85" s="14">
        <f t="shared" si="30"/>
        <v>0</v>
      </c>
      <c r="AE85" s="14">
        <f t="shared" si="30"/>
        <v>0</v>
      </c>
      <c r="AF85" s="14">
        <f t="shared" si="30"/>
        <v>0</v>
      </c>
      <c r="AG85" s="14">
        <f t="shared" si="30"/>
        <v>0</v>
      </c>
      <c r="AH85" s="14">
        <f t="shared" si="30"/>
        <v>0</v>
      </c>
      <c r="AI85" s="14">
        <f t="shared" si="30"/>
        <v>0</v>
      </c>
      <c r="AJ85" s="14">
        <f t="shared" si="30"/>
        <v>0</v>
      </c>
      <c r="AK85" s="14">
        <f t="shared" si="30"/>
        <v>0</v>
      </c>
      <c r="AL85" s="14">
        <f t="shared" si="30"/>
        <v>0</v>
      </c>
    </row>
    <row r="86" spans="1:38" ht="21" hidden="1" customHeight="1" outlineLevel="1" thickBot="1" x14ac:dyDescent="0.4">
      <c r="A86" s="5">
        <f t="shared" si="25"/>
        <v>0</v>
      </c>
      <c r="B86" s="5">
        <f t="shared" si="25"/>
        <v>0</v>
      </c>
      <c r="C86" s="5">
        <f t="shared" si="25"/>
        <v>1</v>
      </c>
      <c r="D86" s="5">
        <f t="shared" si="25"/>
        <v>0</v>
      </c>
      <c r="E86" s="6" t="str">
        <f t="shared" si="21"/>
        <v>(l)Ge</v>
      </c>
      <c r="F86" s="14">
        <f t="shared" ref="F86:AL86" si="31">F10*$C$78</f>
        <v>1.8839062499999999E-6</v>
      </c>
      <c r="G86" s="14">
        <f t="shared" si="31"/>
        <v>4.7509375000000006E-6</v>
      </c>
      <c r="H86" s="14">
        <f t="shared" si="31"/>
        <v>1.4554062500000001E-5</v>
      </c>
      <c r="I86" s="14">
        <f t="shared" si="31"/>
        <v>5.8656250000000006E-5</v>
      </c>
      <c r="J86" s="14">
        <f t="shared" si="31"/>
        <v>2.6733749999999999E-4</v>
      </c>
      <c r="K86" s="14">
        <f t="shared" si="31"/>
        <v>4.5165625000000001E-2</v>
      </c>
      <c r="L86" s="14">
        <f t="shared" si="31"/>
        <v>0.105521875</v>
      </c>
      <c r="M86" s="14">
        <f t="shared" si="31"/>
        <v>0.19850625</v>
      </c>
      <c r="N86" s="14">
        <f t="shared" si="31"/>
        <v>0.30415625000000002</v>
      </c>
      <c r="O86" s="14">
        <f t="shared" si="31"/>
        <v>0.391125</v>
      </c>
      <c r="P86" s="14">
        <f t="shared" si="31"/>
        <v>0.44528125000000002</v>
      </c>
      <c r="Q86" s="14">
        <f t="shared" si="31"/>
        <v>0.4735625</v>
      </c>
      <c r="R86" s="14">
        <f t="shared" si="31"/>
        <v>0.48721874999999998</v>
      </c>
      <c r="S86" s="14">
        <f t="shared" si="31"/>
        <v>0.49368750000000006</v>
      </c>
      <c r="T86" s="14">
        <f t="shared" si="31"/>
        <v>0.49681250000000005</v>
      </c>
      <c r="U86" s="14">
        <f t="shared" si="31"/>
        <v>0.49834374999999997</v>
      </c>
      <c r="V86" s="14">
        <f t="shared" si="31"/>
        <v>0.49912499999999999</v>
      </c>
      <c r="W86" s="14">
        <f t="shared" si="31"/>
        <v>0.49950000000000006</v>
      </c>
      <c r="X86" s="14">
        <f t="shared" si="31"/>
        <v>0.49993750000000003</v>
      </c>
      <c r="Y86" s="14">
        <f t="shared" si="31"/>
        <v>0.5</v>
      </c>
      <c r="Z86" s="14">
        <f t="shared" si="31"/>
        <v>0.5</v>
      </c>
      <c r="AA86" s="14">
        <f t="shared" si="31"/>
        <v>0.5</v>
      </c>
      <c r="AB86" s="14">
        <f t="shared" si="31"/>
        <v>0</v>
      </c>
      <c r="AC86" s="14">
        <f t="shared" si="31"/>
        <v>0</v>
      </c>
      <c r="AD86" s="14">
        <f t="shared" si="31"/>
        <v>0</v>
      </c>
      <c r="AE86" s="14">
        <f t="shared" si="31"/>
        <v>0</v>
      </c>
      <c r="AF86" s="14">
        <f t="shared" si="31"/>
        <v>0</v>
      </c>
      <c r="AG86" s="14">
        <f t="shared" si="31"/>
        <v>0</v>
      </c>
      <c r="AH86" s="14">
        <f t="shared" si="31"/>
        <v>0</v>
      </c>
      <c r="AI86" s="14">
        <f t="shared" si="31"/>
        <v>0</v>
      </c>
      <c r="AJ86" s="14">
        <f t="shared" si="31"/>
        <v>0</v>
      </c>
      <c r="AK86" s="14">
        <f t="shared" si="31"/>
        <v>0</v>
      </c>
      <c r="AL86" s="14">
        <f t="shared" si="31"/>
        <v>0</v>
      </c>
    </row>
    <row r="87" spans="1:38" ht="21" hidden="1" customHeight="1" outlineLevel="1" thickBot="1" x14ac:dyDescent="0.4">
      <c r="A87" s="5">
        <f t="shared" si="25"/>
        <v>0</v>
      </c>
      <c r="B87" s="5">
        <f t="shared" si="25"/>
        <v>1</v>
      </c>
      <c r="C87" s="5">
        <f t="shared" si="25"/>
        <v>0</v>
      </c>
      <c r="D87" s="5">
        <f t="shared" si="25"/>
        <v>0</v>
      </c>
      <c r="E87" s="6" t="str">
        <f t="shared" si="21"/>
        <v>(l)Se</v>
      </c>
      <c r="F87" s="14">
        <f t="shared" ref="F87:AL87" si="32">F11*$C$78</f>
        <v>9.7021875E-9</v>
      </c>
      <c r="G87" s="14">
        <f t="shared" si="32"/>
        <v>3.3781250000000003E-8</v>
      </c>
      <c r="H87" s="14">
        <f t="shared" si="32"/>
        <v>8.4128125000000001E-8</v>
      </c>
      <c r="I87" s="14">
        <f t="shared" si="32"/>
        <v>1.4090937500000002E-7</v>
      </c>
      <c r="J87" s="14">
        <f t="shared" si="32"/>
        <v>1.6419375000000001E-7</v>
      </c>
      <c r="K87" s="14">
        <f t="shared" si="32"/>
        <v>9.0006249999999999E-8</v>
      </c>
      <c r="L87" s="14">
        <f t="shared" si="32"/>
        <v>8.4018749999999999E-8</v>
      </c>
      <c r="M87" s="14">
        <f t="shared" si="32"/>
        <v>8.2143750000000004E-8</v>
      </c>
      <c r="N87" s="14">
        <f t="shared" si="32"/>
        <v>7.9021875000000001E-8</v>
      </c>
      <c r="O87" s="14">
        <f t="shared" si="32"/>
        <v>7.5524999999999996E-8</v>
      </c>
      <c r="P87" s="14">
        <f t="shared" si="32"/>
        <v>6.7659374999999994E-8</v>
      </c>
      <c r="Q87" s="14">
        <f t="shared" si="32"/>
        <v>5.8178125000000003E-8</v>
      </c>
      <c r="R87" s="14">
        <f t="shared" si="32"/>
        <v>4.9006250000000002E-8</v>
      </c>
      <c r="S87" s="14">
        <f t="shared" si="32"/>
        <v>4.0899999999999996E-8</v>
      </c>
      <c r="T87" s="14">
        <f t="shared" si="32"/>
        <v>3.4006250000000001E-8</v>
      </c>
      <c r="U87" s="14">
        <f t="shared" si="32"/>
        <v>2.8241875000000002E-8</v>
      </c>
      <c r="V87" s="14">
        <f t="shared" si="32"/>
        <v>2.3454375E-8</v>
      </c>
      <c r="W87" s="14">
        <f t="shared" si="32"/>
        <v>1.9489687499999999E-8</v>
      </c>
      <c r="X87" s="14">
        <f t="shared" si="32"/>
        <v>9.3831250000000005E-9</v>
      </c>
      <c r="Y87" s="14">
        <f t="shared" si="32"/>
        <v>4.5987500000000001E-9</v>
      </c>
      <c r="Z87" s="14">
        <f t="shared" si="32"/>
        <v>2.2936250000000001E-9</v>
      </c>
      <c r="AA87" s="14">
        <f t="shared" si="32"/>
        <v>1.16259375E-9</v>
      </c>
      <c r="AB87" s="14">
        <f t="shared" si="32"/>
        <v>0</v>
      </c>
      <c r="AC87" s="14">
        <f t="shared" si="32"/>
        <v>0</v>
      </c>
      <c r="AD87" s="14">
        <f t="shared" si="32"/>
        <v>0</v>
      </c>
      <c r="AE87" s="14">
        <f t="shared" si="32"/>
        <v>0</v>
      </c>
      <c r="AF87" s="14">
        <f t="shared" si="32"/>
        <v>0</v>
      </c>
      <c r="AG87" s="14">
        <f t="shared" si="32"/>
        <v>0</v>
      </c>
      <c r="AH87" s="14">
        <f t="shared" si="32"/>
        <v>0</v>
      </c>
      <c r="AI87" s="14">
        <f t="shared" si="32"/>
        <v>0</v>
      </c>
      <c r="AJ87" s="14">
        <f t="shared" si="32"/>
        <v>0</v>
      </c>
      <c r="AK87" s="14">
        <f t="shared" si="32"/>
        <v>0</v>
      </c>
      <c r="AL87" s="14">
        <f t="shared" si="32"/>
        <v>0</v>
      </c>
    </row>
    <row r="88" spans="1:38" ht="21" hidden="1" customHeight="1" outlineLevel="1" thickBot="1" x14ac:dyDescent="0.4">
      <c r="A88" s="5">
        <f t="shared" si="25"/>
        <v>0</v>
      </c>
      <c r="B88" s="5">
        <f t="shared" si="25"/>
        <v>1</v>
      </c>
      <c r="C88" s="5">
        <f t="shared" si="25"/>
        <v>0</v>
      </c>
      <c r="D88" s="5">
        <f t="shared" si="25"/>
        <v>0</v>
      </c>
      <c r="E88" s="6" t="str">
        <f t="shared" si="21"/>
        <v>(l)Se[a]</v>
      </c>
      <c r="F88" s="14">
        <f t="shared" ref="F88:AL88" si="33">F12*$C$78</f>
        <v>2.2363124999999997E-9</v>
      </c>
      <c r="G88" s="14">
        <f t="shared" si="33"/>
        <v>9.0562500000000004E-9</v>
      </c>
      <c r="H88" s="14">
        <f t="shared" si="33"/>
        <v>2.5757500000000001E-8</v>
      </c>
      <c r="I88" s="14">
        <f t="shared" si="33"/>
        <v>4.8528125E-8</v>
      </c>
      <c r="J88" s="14">
        <f t="shared" si="33"/>
        <v>6.2796875E-8</v>
      </c>
      <c r="K88" s="14">
        <f t="shared" si="33"/>
        <v>4.7653125E-8</v>
      </c>
      <c r="L88" s="14">
        <f t="shared" si="33"/>
        <v>4.7403124999999995E-8</v>
      </c>
      <c r="M88" s="14">
        <f t="shared" si="33"/>
        <v>4.9125000000000005E-8</v>
      </c>
      <c r="N88" s="14">
        <f t="shared" si="33"/>
        <v>4.9709375000000002E-8</v>
      </c>
      <c r="O88" s="14">
        <f t="shared" si="33"/>
        <v>4.7024999999999999E-8</v>
      </c>
      <c r="P88" s="14">
        <f t="shared" si="33"/>
        <v>4.166875E-8</v>
      </c>
      <c r="Q88" s="14">
        <f t="shared" si="33"/>
        <v>3.5421875000000001E-8</v>
      </c>
      <c r="R88" s="14">
        <f t="shared" si="33"/>
        <v>2.9483750000000001E-8</v>
      </c>
      <c r="S88" s="14">
        <f t="shared" si="33"/>
        <v>2.4310312499999999E-8</v>
      </c>
      <c r="T88" s="14">
        <f t="shared" si="33"/>
        <v>1.9966250000000002E-8</v>
      </c>
      <c r="U88" s="14">
        <f t="shared" si="33"/>
        <v>1.6377500000000002E-8</v>
      </c>
      <c r="V88" s="14">
        <f t="shared" si="33"/>
        <v>1.3433125E-8</v>
      </c>
      <c r="W88" s="14">
        <f t="shared" si="33"/>
        <v>1.1024687500000001E-8</v>
      </c>
      <c r="X88" s="14">
        <f t="shared" si="33"/>
        <v>5.053125E-9</v>
      </c>
      <c r="Y88" s="14">
        <f t="shared" si="33"/>
        <v>2.3616875E-9</v>
      </c>
      <c r="Z88" s="14">
        <f t="shared" si="33"/>
        <v>1.1251874999999999E-9</v>
      </c>
      <c r="AA88" s="14">
        <f t="shared" si="33"/>
        <v>5.4553124999999996E-10</v>
      </c>
      <c r="AB88" s="14">
        <f t="shared" si="33"/>
        <v>0</v>
      </c>
      <c r="AC88" s="14">
        <f t="shared" si="33"/>
        <v>0</v>
      </c>
      <c r="AD88" s="14">
        <f t="shared" si="33"/>
        <v>0</v>
      </c>
      <c r="AE88" s="14">
        <f t="shared" si="33"/>
        <v>0</v>
      </c>
      <c r="AF88" s="14">
        <f t="shared" si="33"/>
        <v>0</v>
      </c>
      <c r="AG88" s="14">
        <f t="shared" si="33"/>
        <v>0</v>
      </c>
      <c r="AH88" s="14">
        <f t="shared" si="33"/>
        <v>0</v>
      </c>
      <c r="AI88" s="14">
        <f t="shared" si="33"/>
        <v>0</v>
      </c>
      <c r="AJ88" s="14">
        <f t="shared" si="33"/>
        <v>0</v>
      </c>
      <c r="AK88" s="14">
        <f t="shared" si="33"/>
        <v>0</v>
      </c>
      <c r="AL88" s="14">
        <f t="shared" si="33"/>
        <v>0</v>
      </c>
    </row>
    <row r="89" spans="1:38" ht="21" hidden="1" customHeight="1" outlineLevel="1" thickBot="1" x14ac:dyDescent="0.4">
      <c r="A89" s="5">
        <f t="shared" si="25"/>
        <v>0</v>
      </c>
      <c r="B89" s="5">
        <f t="shared" si="25"/>
        <v>1</v>
      </c>
      <c r="C89" s="5">
        <f t="shared" si="25"/>
        <v>0</v>
      </c>
      <c r="D89" s="5">
        <f t="shared" si="25"/>
        <v>0</v>
      </c>
      <c r="E89" s="6" t="str">
        <f t="shared" si="21"/>
        <v>(l)Se[m]</v>
      </c>
      <c r="F89" s="14">
        <f t="shared" ref="F89:AL89" si="34">F13*$C$78</f>
        <v>8.1712499999999997E-3</v>
      </c>
      <c r="G89" s="14">
        <f t="shared" si="34"/>
        <v>3.5993750000000005E-2</v>
      </c>
      <c r="H89" s="14">
        <f t="shared" si="34"/>
        <v>0.11479375000000001</v>
      </c>
      <c r="I89" s="14">
        <f t="shared" si="34"/>
        <v>0.24817187499999999</v>
      </c>
      <c r="J89" s="14">
        <f t="shared" si="34"/>
        <v>0.375</v>
      </c>
      <c r="K89" s="14">
        <f t="shared" si="34"/>
        <v>0.58659374999999991</v>
      </c>
      <c r="L89" s="14">
        <f t="shared" si="34"/>
        <v>0.70940625000000002</v>
      </c>
      <c r="M89" s="14">
        <f t="shared" si="34"/>
        <v>0.89634374999999988</v>
      </c>
      <c r="N89" s="14">
        <f t="shared" si="34"/>
        <v>1.1080625</v>
      </c>
      <c r="O89" s="14">
        <f t="shared" si="34"/>
        <v>1.2821875</v>
      </c>
      <c r="P89" s="14">
        <f t="shared" si="34"/>
        <v>1.3905624999999999</v>
      </c>
      <c r="Q89" s="14">
        <f t="shared" si="34"/>
        <v>1.447125</v>
      </c>
      <c r="R89" s="14">
        <f t="shared" si="34"/>
        <v>1.4744375000000001</v>
      </c>
      <c r="S89" s="14">
        <f t="shared" si="34"/>
        <v>1.4873749999999999</v>
      </c>
      <c r="T89" s="14">
        <f t="shared" si="34"/>
        <v>1.493625</v>
      </c>
      <c r="U89" s="14">
        <f t="shared" si="34"/>
        <v>1.4966874999999999</v>
      </c>
      <c r="V89" s="14">
        <f t="shared" si="34"/>
        <v>1.4982187500000002</v>
      </c>
      <c r="W89" s="14">
        <f t="shared" si="34"/>
        <v>1.49903125</v>
      </c>
      <c r="X89" s="14">
        <f t="shared" si="34"/>
        <v>1.4998750000000001</v>
      </c>
      <c r="Y89" s="14">
        <f t="shared" si="34"/>
        <v>1.4999687500000001</v>
      </c>
      <c r="Z89" s="14">
        <f t="shared" si="34"/>
        <v>1.5</v>
      </c>
      <c r="AA89" s="14">
        <f t="shared" si="34"/>
        <v>1.5</v>
      </c>
      <c r="AB89" s="14">
        <f t="shared" si="34"/>
        <v>0</v>
      </c>
      <c r="AC89" s="14">
        <f t="shared" si="34"/>
        <v>0</v>
      </c>
      <c r="AD89" s="14">
        <f t="shared" si="34"/>
        <v>0</v>
      </c>
      <c r="AE89" s="14">
        <f t="shared" si="34"/>
        <v>0</v>
      </c>
      <c r="AF89" s="14">
        <f t="shared" si="34"/>
        <v>0</v>
      </c>
      <c r="AG89" s="14">
        <f t="shared" si="34"/>
        <v>0</v>
      </c>
      <c r="AH89" s="14">
        <f t="shared" si="34"/>
        <v>0</v>
      </c>
      <c r="AI89" s="14">
        <f t="shared" si="34"/>
        <v>0</v>
      </c>
      <c r="AJ89" s="14">
        <f t="shared" si="34"/>
        <v>0</v>
      </c>
      <c r="AK89" s="14">
        <f t="shared" si="34"/>
        <v>0</v>
      </c>
      <c r="AL89" s="14">
        <f t="shared" si="34"/>
        <v>0</v>
      </c>
    </row>
    <row r="90" spans="1:38" ht="21" hidden="1" customHeight="1" outlineLevel="1" thickBot="1" x14ac:dyDescent="0.4">
      <c r="A90" s="5">
        <f t="shared" si="25"/>
        <v>0</v>
      </c>
      <c r="B90" s="5">
        <f t="shared" si="25"/>
        <v>1</v>
      </c>
      <c r="C90" s="5">
        <f t="shared" si="25"/>
        <v>0</v>
      </c>
      <c r="D90" s="5">
        <f t="shared" si="25"/>
        <v>0</v>
      </c>
      <c r="E90" s="6" t="str">
        <f t="shared" si="21"/>
        <v>(l)Se[r]</v>
      </c>
      <c r="F90" s="14">
        <f t="shared" ref="F90:AL90" si="35">F14*$C$78</f>
        <v>2.4809062500000001E-11</v>
      </c>
      <c r="G90" s="14">
        <f t="shared" si="35"/>
        <v>1.4064687500000001E-10</v>
      </c>
      <c r="H90" s="14">
        <f t="shared" si="35"/>
        <v>5.4009375E-10</v>
      </c>
      <c r="I90" s="14">
        <f t="shared" si="35"/>
        <v>1.3332499999999999E-9</v>
      </c>
      <c r="J90" s="14">
        <f t="shared" si="35"/>
        <v>2.2041875E-9</v>
      </c>
      <c r="K90" s="14">
        <f t="shared" si="35"/>
        <v>3.6962500000000003E-9</v>
      </c>
      <c r="L90" s="14">
        <f t="shared" si="35"/>
        <v>4.3281250000000001E-9</v>
      </c>
      <c r="M90" s="14">
        <f t="shared" si="35"/>
        <v>5.2225000000000001E-9</v>
      </c>
      <c r="N90" s="14">
        <f t="shared" si="35"/>
        <v>6.0943750000000003E-9</v>
      </c>
      <c r="O90" s="14">
        <f t="shared" si="35"/>
        <v>6.592187499999999E-9</v>
      </c>
      <c r="P90" s="14">
        <f t="shared" si="35"/>
        <v>6.6271874999999998E-9</v>
      </c>
      <c r="Q90" s="14">
        <f t="shared" si="35"/>
        <v>6.3475000000000003E-9</v>
      </c>
      <c r="R90" s="14">
        <f t="shared" si="35"/>
        <v>5.9159374999999998E-9</v>
      </c>
      <c r="S90" s="14">
        <f t="shared" si="35"/>
        <v>5.4303125E-9</v>
      </c>
      <c r="T90" s="14">
        <f t="shared" si="35"/>
        <v>4.9390625000000005E-9</v>
      </c>
      <c r="U90" s="14">
        <f t="shared" si="35"/>
        <v>4.4650000000000006E-9</v>
      </c>
      <c r="V90" s="14">
        <f t="shared" si="35"/>
        <v>4.01875E-9</v>
      </c>
      <c r="W90" s="14">
        <f t="shared" si="35"/>
        <v>3.604375E-9</v>
      </c>
      <c r="X90" s="14">
        <f t="shared" si="35"/>
        <v>2.2758437499999998E-9</v>
      </c>
      <c r="Y90" s="14">
        <f t="shared" si="35"/>
        <v>1.40065625E-9</v>
      </c>
      <c r="Z90" s="14">
        <f t="shared" si="35"/>
        <v>8.4881249999999996E-10</v>
      </c>
      <c r="AA90" s="14">
        <f t="shared" si="35"/>
        <v>5.0931249999999994E-10</v>
      </c>
      <c r="AB90" s="14">
        <f t="shared" si="35"/>
        <v>0</v>
      </c>
      <c r="AC90" s="14">
        <f t="shared" si="35"/>
        <v>0</v>
      </c>
      <c r="AD90" s="14">
        <f t="shared" si="35"/>
        <v>0</v>
      </c>
      <c r="AE90" s="14">
        <f t="shared" si="35"/>
        <v>0</v>
      </c>
      <c r="AF90" s="14">
        <f t="shared" si="35"/>
        <v>0</v>
      </c>
      <c r="AG90" s="14">
        <f t="shared" si="35"/>
        <v>0</v>
      </c>
      <c r="AH90" s="14">
        <f t="shared" si="35"/>
        <v>0</v>
      </c>
      <c r="AI90" s="14">
        <f t="shared" si="35"/>
        <v>0</v>
      </c>
      <c r="AJ90" s="14">
        <f t="shared" si="35"/>
        <v>0</v>
      </c>
      <c r="AK90" s="14">
        <f t="shared" si="35"/>
        <v>0</v>
      </c>
      <c r="AL90" s="14">
        <f t="shared" si="35"/>
        <v>0</v>
      </c>
    </row>
    <row r="91" spans="1:38" ht="21" hidden="1" customHeight="1" outlineLevel="1" thickBot="1" x14ac:dyDescent="0.4">
      <c r="A91" s="5">
        <f t="shared" si="25"/>
        <v>0</v>
      </c>
      <c r="B91" s="5">
        <f t="shared" si="25"/>
        <v>0</v>
      </c>
      <c r="C91" s="5">
        <f t="shared" si="25"/>
        <v>1</v>
      </c>
      <c r="D91" s="5">
        <f t="shared" si="25"/>
        <v>0</v>
      </c>
      <c r="E91" s="6" t="str">
        <f t="shared" si="21"/>
        <v>(l)Ge[c]</v>
      </c>
      <c r="F91" s="14">
        <f t="shared" ref="F91:AL91" si="36">F15*$C$78</f>
        <v>1.8839062499999999E-6</v>
      </c>
      <c r="G91" s="14">
        <f t="shared" si="36"/>
        <v>4.7509375000000006E-6</v>
      </c>
      <c r="H91" s="14">
        <f t="shared" si="36"/>
        <v>1.4554062500000001E-5</v>
      </c>
      <c r="I91" s="14">
        <f t="shared" si="36"/>
        <v>5.8656250000000006E-5</v>
      </c>
      <c r="J91" s="14">
        <f t="shared" si="36"/>
        <v>2.6733749999999999E-4</v>
      </c>
      <c r="K91" s="14">
        <f t="shared" si="36"/>
        <v>4.5165625000000001E-2</v>
      </c>
      <c r="L91" s="14">
        <f t="shared" si="36"/>
        <v>0.105521875</v>
      </c>
      <c r="M91" s="14">
        <f t="shared" si="36"/>
        <v>0.19850625</v>
      </c>
      <c r="N91" s="14">
        <f t="shared" si="36"/>
        <v>0.30415625000000002</v>
      </c>
      <c r="O91" s="14">
        <f t="shared" si="36"/>
        <v>0.391125</v>
      </c>
      <c r="P91" s="14">
        <f t="shared" si="36"/>
        <v>0.44528125000000002</v>
      </c>
      <c r="Q91" s="14">
        <f t="shared" si="36"/>
        <v>0.4735625</v>
      </c>
      <c r="R91" s="14">
        <f t="shared" si="36"/>
        <v>0.48721874999999998</v>
      </c>
      <c r="S91" s="14">
        <f t="shared" si="36"/>
        <v>0.49368750000000006</v>
      </c>
      <c r="T91" s="14">
        <f t="shared" si="36"/>
        <v>0.49681250000000005</v>
      </c>
      <c r="U91" s="14">
        <f t="shared" si="36"/>
        <v>0.49834374999999997</v>
      </c>
      <c r="V91" s="14">
        <f t="shared" si="36"/>
        <v>0.49912499999999999</v>
      </c>
      <c r="W91" s="14">
        <f t="shared" si="36"/>
        <v>0.49950000000000006</v>
      </c>
      <c r="X91" s="14">
        <f t="shared" si="36"/>
        <v>0.49993750000000003</v>
      </c>
      <c r="Y91" s="14">
        <f t="shared" si="36"/>
        <v>0.5</v>
      </c>
      <c r="Z91" s="14">
        <f t="shared" si="36"/>
        <v>0.5</v>
      </c>
      <c r="AA91" s="14">
        <f t="shared" si="36"/>
        <v>0.5</v>
      </c>
      <c r="AB91" s="14">
        <f t="shared" si="36"/>
        <v>0</v>
      </c>
      <c r="AC91" s="14">
        <f t="shared" si="36"/>
        <v>0</v>
      </c>
      <c r="AD91" s="14">
        <f t="shared" si="36"/>
        <v>0</v>
      </c>
      <c r="AE91" s="14">
        <f t="shared" si="36"/>
        <v>0</v>
      </c>
      <c r="AF91" s="14">
        <f t="shared" si="36"/>
        <v>0</v>
      </c>
      <c r="AG91" s="14">
        <f t="shared" si="36"/>
        <v>0</v>
      </c>
      <c r="AH91" s="14">
        <f t="shared" si="36"/>
        <v>0</v>
      </c>
      <c r="AI91" s="14">
        <f t="shared" si="36"/>
        <v>0</v>
      </c>
      <c r="AJ91" s="14">
        <f t="shared" si="36"/>
        <v>0</v>
      </c>
      <c r="AK91" s="14">
        <f t="shared" si="36"/>
        <v>0</v>
      </c>
      <c r="AL91" s="14">
        <f t="shared" si="36"/>
        <v>0</v>
      </c>
    </row>
    <row r="92" spans="1:38" ht="21" hidden="1" customHeight="1" outlineLevel="1" thickBot="1" x14ac:dyDescent="0.4">
      <c r="A92" s="5">
        <f t="shared" si="25"/>
        <v>1</v>
      </c>
      <c r="B92" s="5">
        <f t="shared" si="25"/>
        <v>0</v>
      </c>
      <c r="C92" s="5">
        <f t="shared" si="25"/>
        <v>0</v>
      </c>
      <c r="D92" s="5">
        <f t="shared" si="25"/>
        <v>0</v>
      </c>
      <c r="E92" s="6" t="str">
        <f t="shared" si="21"/>
        <v>H (Ar)</v>
      </c>
      <c r="F92" s="14">
        <f t="shared" ref="F92:AL92" si="37">F16*$C$78</f>
        <v>-58.1875</v>
      </c>
      <c r="G92" s="14">
        <f t="shared" si="37"/>
        <v>-58.15625</v>
      </c>
      <c r="H92" s="14">
        <f t="shared" si="37"/>
        <v>-58.15625</v>
      </c>
      <c r="I92" s="14">
        <f t="shared" si="37"/>
        <v>-58.21875</v>
      </c>
      <c r="J92" s="14">
        <f t="shared" si="37"/>
        <v>-58.281249999999993</v>
      </c>
      <c r="K92" s="14">
        <f t="shared" si="37"/>
        <v>-58.65625</v>
      </c>
      <c r="L92" s="14">
        <f t="shared" si="37"/>
        <v>-58.781249999999993</v>
      </c>
      <c r="M92" s="14">
        <f t="shared" si="37"/>
        <v>-58.875</v>
      </c>
      <c r="N92" s="14">
        <f t="shared" si="37"/>
        <v>-59</v>
      </c>
      <c r="O92" s="14">
        <f t="shared" si="37"/>
        <v>-59.15625</v>
      </c>
      <c r="P92" s="14">
        <f t="shared" si="37"/>
        <v>-59.28125</v>
      </c>
      <c r="Q92" s="14">
        <f t="shared" si="37"/>
        <v>-59.406250000000007</v>
      </c>
      <c r="R92" s="14">
        <f t="shared" si="37"/>
        <v>-59.53125</v>
      </c>
      <c r="S92" s="14">
        <f t="shared" si="37"/>
        <v>-59.65625</v>
      </c>
      <c r="T92" s="14">
        <f t="shared" si="37"/>
        <v>-59.8125</v>
      </c>
      <c r="U92" s="14">
        <f t="shared" si="37"/>
        <v>-59.9375</v>
      </c>
      <c r="V92" s="14">
        <f t="shared" si="37"/>
        <v>-60.0625</v>
      </c>
      <c r="W92" s="14">
        <f t="shared" si="37"/>
        <v>-60.187500000000007</v>
      </c>
      <c r="X92" s="14">
        <f t="shared" si="37"/>
        <v>-60.71875</v>
      </c>
      <c r="Y92" s="14">
        <f t="shared" si="37"/>
        <v>-61.21875</v>
      </c>
      <c r="Z92" s="14">
        <f t="shared" si="37"/>
        <v>-61.687499999999993</v>
      </c>
      <c r="AA92" s="14">
        <f t="shared" si="37"/>
        <v>-62.125</v>
      </c>
      <c r="AB92" s="14">
        <f t="shared" si="37"/>
        <v>0</v>
      </c>
      <c r="AC92" s="14">
        <f t="shared" si="37"/>
        <v>0</v>
      </c>
      <c r="AD92" s="14">
        <f t="shared" si="37"/>
        <v>0</v>
      </c>
      <c r="AE92" s="14">
        <f t="shared" si="37"/>
        <v>0</v>
      </c>
      <c r="AF92" s="14">
        <f t="shared" si="37"/>
        <v>0</v>
      </c>
      <c r="AG92" s="14">
        <f t="shared" si="37"/>
        <v>0</v>
      </c>
      <c r="AH92" s="14">
        <f t="shared" si="37"/>
        <v>0</v>
      </c>
      <c r="AI92" s="14">
        <f t="shared" si="37"/>
        <v>0</v>
      </c>
      <c r="AJ92" s="14">
        <f t="shared" si="37"/>
        <v>0</v>
      </c>
      <c r="AK92" s="14">
        <f t="shared" si="37"/>
        <v>0</v>
      </c>
      <c r="AL92" s="14">
        <f t="shared" si="37"/>
        <v>0</v>
      </c>
    </row>
    <row r="93" spans="1:38" ht="21" hidden="1" customHeight="1" outlineLevel="1" thickBot="1" x14ac:dyDescent="0.4">
      <c r="A93" s="5">
        <f t="shared" si="25"/>
        <v>0</v>
      </c>
      <c r="B93" s="5">
        <f t="shared" si="25"/>
        <v>0</v>
      </c>
      <c r="C93" s="5">
        <f t="shared" si="25"/>
        <v>1</v>
      </c>
      <c r="D93" s="5">
        <f t="shared" si="25"/>
        <v>0</v>
      </c>
      <c r="E93" s="6" t="str">
        <f t="shared" si="21"/>
        <v>H (Ge)</v>
      </c>
      <c r="F93" s="14">
        <f t="shared" ref="F93:AL93" si="38">F17*$C$78</f>
        <v>-52.937500000000007</v>
      </c>
      <c r="G93" s="14">
        <f t="shared" si="38"/>
        <v>-50.09375</v>
      </c>
      <c r="H93" s="14">
        <f t="shared" si="38"/>
        <v>-46.84375</v>
      </c>
      <c r="I93" s="14">
        <f t="shared" si="38"/>
        <v>-42.875</v>
      </c>
      <c r="J93" s="14">
        <f t="shared" si="38"/>
        <v>-38.5</v>
      </c>
      <c r="K93" s="14">
        <f t="shared" si="38"/>
        <v>-23.368749999999999</v>
      </c>
      <c r="L93" s="14">
        <f t="shared" si="38"/>
        <v>-21.084375000000001</v>
      </c>
      <c r="M93" s="14">
        <f t="shared" si="38"/>
        <v>-19.574999999999999</v>
      </c>
      <c r="N93" s="14">
        <f t="shared" si="38"/>
        <v>-18.71875</v>
      </c>
      <c r="O93" s="14">
        <f t="shared" si="38"/>
        <v>-18.331249999999997</v>
      </c>
      <c r="P93" s="14">
        <f t="shared" si="38"/>
        <v>-18.221875000000001</v>
      </c>
      <c r="Q93" s="14">
        <f t="shared" si="38"/>
        <v>-18.256249999999998</v>
      </c>
      <c r="R93" s="14">
        <f t="shared" si="38"/>
        <v>-18.356249999999999</v>
      </c>
      <c r="S93" s="14">
        <f t="shared" si="38"/>
        <v>-18.487500000000001</v>
      </c>
      <c r="T93" s="14">
        <f t="shared" si="38"/>
        <v>-18.634374999999999</v>
      </c>
      <c r="U93" s="14">
        <f t="shared" si="38"/>
        <v>-18.784375000000001</v>
      </c>
      <c r="V93" s="14">
        <f t="shared" si="38"/>
        <v>-18.9375</v>
      </c>
      <c r="W93" s="14">
        <f t="shared" si="38"/>
        <v>-19.090624999999999</v>
      </c>
      <c r="X93" s="14">
        <f t="shared" si="38"/>
        <v>-19.703125</v>
      </c>
      <c r="Y93" s="14">
        <f t="shared" si="38"/>
        <v>-20.3</v>
      </c>
      <c r="Z93" s="14">
        <f t="shared" si="38"/>
        <v>-20.878125000000001</v>
      </c>
      <c r="AA93" s="14">
        <f t="shared" si="38"/>
        <v>-21.431249999999999</v>
      </c>
      <c r="AB93" s="14">
        <f t="shared" si="38"/>
        <v>0</v>
      </c>
      <c r="AC93" s="14">
        <f t="shared" si="38"/>
        <v>0</v>
      </c>
      <c r="AD93" s="14">
        <f t="shared" si="38"/>
        <v>0</v>
      </c>
      <c r="AE93" s="14">
        <f t="shared" si="38"/>
        <v>0</v>
      </c>
      <c r="AF93" s="14">
        <f t="shared" si="38"/>
        <v>0</v>
      </c>
      <c r="AG93" s="14">
        <f t="shared" si="38"/>
        <v>0</v>
      </c>
      <c r="AH93" s="14">
        <f t="shared" si="38"/>
        <v>0</v>
      </c>
      <c r="AI93" s="14">
        <f t="shared" si="38"/>
        <v>0</v>
      </c>
      <c r="AJ93" s="14">
        <f t="shared" si="38"/>
        <v>0</v>
      </c>
      <c r="AK93" s="14">
        <f t="shared" si="38"/>
        <v>0</v>
      </c>
      <c r="AL93" s="14">
        <f t="shared" si="38"/>
        <v>0</v>
      </c>
    </row>
    <row r="94" spans="1:38" ht="21" hidden="1" customHeight="1" outlineLevel="1" thickBot="1" x14ac:dyDescent="0.4">
      <c r="A94" s="5">
        <f t="shared" si="25"/>
        <v>0</v>
      </c>
      <c r="B94" s="5">
        <f t="shared" si="25"/>
        <v>1</v>
      </c>
      <c r="C94" s="5">
        <f t="shared" si="25"/>
        <v>0</v>
      </c>
      <c r="D94" s="5">
        <f t="shared" si="25"/>
        <v>0</v>
      </c>
      <c r="E94" s="6" t="str">
        <f t="shared" si="21"/>
        <v>H (Se)</v>
      </c>
      <c r="F94" s="14">
        <f t="shared" ref="F94:AL94" si="39">F18*$C$78</f>
        <v>-73.625</v>
      </c>
      <c r="G94" s="14">
        <f t="shared" si="39"/>
        <v>-69.75</v>
      </c>
      <c r="H94" s="14">
        <f t="shared" si="39"/>
        <v>-67.15625</v>
      </c>
      <c r="I94" s="14">
        <f t="shared" si="39"/>
        <v>-65.9375</v>
      </c>
      <c r="J94" s="14">
        <f t="shared" si="39"/>
        <v>-65.84375</v>
      </c>
      <c r="K94" s="14">
        <f t="shared" si="39"/>
        <v>-68.625</v>
      </c>
      <c r="L94" s="14">
        <f t="shared" si="39"/>
        <v>-69.21875</v>
      </c>
      <c r="M94" s="14">
        <f t="shared" si="39"/>
        <v>-69.78125</v>
      </c>
      <c r="N94" s="14">
        <f t="shared" si="39"/>
        <v>-70.40625</v>
      </c>
      <c r="O94" s="14">
        <f t="shared" si="39"/>
        <v>-71.125</v>
      </c>
      <c r="P94" s="14">
        <f t="shared" si="39"/>
        <v>-71.96875</v>
      </c>
      <c r="Q94" s="14">
        <f t="shared" si="39"/>
        <v>-72.84375</v>
      </c>
      <c r="R94" s="14">
        <f t="shared" si="39"/>
        <v>-73.75</v>
      </c>
      <c r="S94" s="14">
        <f t="shared" si="39"/>
        <v>-74.65625</v>
      </c>
      <c r="T94" s="14">
        <f t="shared" si="39"/>
        <v>-75.53125</v>
      </c>
      <c r="U94" s="14">
        <f t="shared" si="39"/>
        <v>-76.4375</v>
      </c>
      <c r="V94" s="14">
        <f t="shared" si="39"/>
        <v>-77.3125</v>
      </c>
      <c r="W94" s="14">
        <f t="shared" si="39"/>
        <v>-78.1875</v>
      </c>
      <c r="X94" s="14">
        <f t="shared" si="39"/>
        <v>-81.59375</v>
      </c>
      <c r="Y94" s="14">
        <f t="shared" si="39"/>
        <v>-84.875</v>
      </c>
      <c r="Z94" s="14">
        <f t="shared" si="39"/>
        <v>-88</v>
      </c>
      <c r="AA94" s="14">
        <f t="shared" si="39"/>
        <v>-91.03125</v>
      </c>
      <c r="AB94" s="14">
        <f t="shared" si="39"/>
        <v>0</v>
      </c>
      <c r="AC94" s="14">
        <f t="shared" si="39"/>
        <v>0</v>
      </c>
      <c r="AD94" s="14">
        <f t="shared" si="39"/>
        <v>0</v>
      </c>
      <c r="AE94" s="14">
        <f t="shared" si="39"/>
        <v>0</v>
      </c>
      <c r="AF94" s="14">
        <f t="shared" si="39"/>
        <v>0</v>
      </c>
      <c r="AG94" s="14">
        <f t="shared" si="39"/>
        <v>0</v>
      </c>
      <c r="AH94" s="14">
        <f t="shared" si="39"/>
        <v>0</v>
      </c>
      <c r="AI94" s="14">
        <f t="shared" si="39"/>
        <v>0</v>
      </c>
      <c r="AJ94" s="14">
        <f t="shared" si="39"/>
        <v>0</v>
      </c>
      <c r="AK94" s="14">
        <f t="shared" si="39"/>
        <v>0</v>
      </c>
      <c r="AL94" s="14">
        <f t="shared" si="39"/>
        <v>0</v>
      </c>
    </row>
    <row r="95" spans="1:38" ht="21" hidden="1" customHeight="1" outlineLevel="1" thickBot="1" x14ac:dyDescent="0.4">
      <c r="A95" s="5">
        <f t="shared" si="25"/>
        <v>0</v>
      </c>
      <c r="B95" s="5">
        <f t="shared" si="25"/>
        <v>0</v>
      </c>
      <c r="C95" s="5">
        <f t="shared" si="25"/>
        <v>0</v>
      </c>
      <c r="D95" s="5">
        <f t="shared" si="25"/>
        <v>0</v>
      </c>
      <c r="E95" s="6">
        <f t="shared" si="21"/>
        <v>0</v>
      </c>
      <c r="F95" s="14">
        <f t="shared" ref="F95:AL95" si="40">F19*$C$78</f>
        <v>0</v>
      </c>
      <c r="G95" s="14">
        <f t="shared" si="40"/>
        <v>0</v>
      </c>
      <c r="H95" s="14">
        <f t="shared" si="40"/>
        <v>0</v>
      </c>
      <c r="I95" s="14">
        <f t="shared" si="40"/>
        <v>0</v>
      </c>
      <c r="J95" s="14">
        <f t="shared" si="40"/>
        <v>0</v>
      </c>
      <c r="K95" s="14">
        <f t="shared" si="40"/>
        <v>0</v>
      </c>
      <c r="L95" s="14">
        <f t="shared" si="40"/>
        <v>0</v>
      </c>
      <c r="M95" s="14">
        <f t="shared" si="40"/>
        <v>0</v>
      </c>
      <c r="N95" s="14">
        <f t="shared" si="40"/>
        <v>0</v>
      </c>
      <c r="O95" s="14">
        <f t="shared" si="40"/>
        <v>0</v>
      </c>
      <c r="P95" s="14">
        <f t="shared" si="40"/>
        <v>0</v>
      </c>
      <c r="Q95" s="14">
        <f t="shared" si="40"/>
        <v>0</v>
      </c>
      <c r="R95" s="14">
        <f t="shared" si="40"/>
        <v>0</v>
      </c>
      <c r="S95" s="14">
        <f t="shared" si="40"/>
        <v>0</v>
      </c>
      <c r="T95" s="14">
        <f t="shared" si="40"/>
        <v>0</v>
      </c>
      <c r="U95" s="14">
        <f t="shared" si="40"/>
        <v>0</v>
      </c>
      <c r="V95" s="14">
        <f t="shared" si="40"/>
        <v>0</v>
      </c>
      <c r="W95" s="14">
        <f t="shared" si="40"/>
        <v>0</v>
      </c>
      <c r="X95" s="14">
        <f t="shared" si="40"/>
        <v>0</v>
      </c>
      <c r="Y95" s="14">
        <f t="shared" si="40"/>
        <v>0</v>
      </c>
      <c r="Z95" s="14">
        <f t="shared" si="40"/>
        <v>0</v>
      </c>
      <c r="AA95" s="14">
        <f t="shared" si="40"/>
        <v>0</v>
      </c>
      <c r="AB95" s="14">
        <f t="shared" si="40"/>
        <v>0</v>
      </c>
      <c r="AC95" s="14">
        <f t="shared" si="40"/>
        <v>0</v>
      </c>
      <c r="AD95" s="14">
        <f t="shared" si="40"/>
        <v>0</v>
      </c>
      <c r="AE95" s="14">
        <f t="shared" si="40"/>
        <v>0</v>
      </c>
      <c r="AF95" s="14">
        <f t="shared" si="40"/>
        <v>0</v>
      </c>
      <c r="AG95" s="14">
        <f t="shared" si="40"/>
        <v>0</v>
      </c>
      <c r="AH95" s="14">
        <f t="shared" si="40"/>
        <v>0</v>
      </c>
      <c r="AI95" s="14">
        <f t="shared" si="40"/>
        <v>0</v>
      </c>
      <c r="AJ95" s="14">
        <f t="shared" si="40"/>
        <v>0</v>
      </c>
      <c r="AK95" s="14">
        <f t="shared" si="40"/>
        <v>0</v>
      </c>
      <c r="AL95" s="14">
        <f t="shared" si="40"/>
        <v>0</v>
      </c>
    </row>
    <row r="96" spans="1:38" ht="21" hidden="1" customHeight="1" outlineLevel="1" thickBot="1" x14ac:dyDescent="0.4">
      <c r="A96" s="5">
        <f t="shared" si="25"/>
        <v>0</v>
      </c>
      <c r="B96" s="5">
        <f t="shared" si="25"/>
        <v>0</v>
      </c>
      <c r="C96" s="5">
        <f t="shared" si="25"/>
        <v>0</v>
      </c>
      <c r="D96" s="5">
        <f t="shared" si="25"/>
        <v>0</v>
      </c>
      <c r="E96" s="6">
        <f t="shared" si="21"/>
        <v>0</v>
      </c>
      <c r="F96" s="14">
        <f t="shared" ref="F96:AL96" si="41">F20*$C$78</f>
        <v>0</v>
      </c>
      <c r="G96" s="14">
        <f t="shared" si="41"/>
        <v>0</v>
      </c>
      <c r="H96" s="14">
        <f t="shared" si="41"/>
        <v>0</v>
      </c>
      <c r="I96" s="14">
        <f t="shared" si="41"/>
        <v>0</v>
      </c>
      <c r="J96" s="14">
        <f t="shared" si="41"/>
        <v>0</v>
      </c>
      <c r="K96" s="14">
        <f t="shared" si="41"/>
        <v>0</v>
      </c>
      <c r="L96" s="14">
        <f t="shared" si="41"/>
        <v>0</v>
      </c>
      <c r="M96" s="14">
        <f t="shared" si="41"/>
        <v>0</v>
      </c>
      <c r="N96" s="14">
        <f t="shared" si="41"/>
        <v>0</v>
      </c>
      <c r="O96" s="14">
        <f t="shared" si="41"/>
        <v>0</v>
      </c>
      <c r="P96" s="14">
        <f t="shared" si="41"/>
        <v>0</v>
      </c>
      <c r="Q96" s="14">
        <f t="shared" si="41"/>
        <v>0</v>
      </c>
      <c r="R96" s="14">
        <f t="shared" si="41"/>
        <v>0</v>
      </c>
      <c r="S96" s="14">
        <f t="shared" si="41"/>
        <v>0</v>
      </c>
      <c r="T96" s="14">
        <f t="shared" si="41"/>
        <v>0</v>
      </c>
      <c r="U96" s="14">
        <f t="shared" si="41"/>
        <v>0</v>
      </c>
      <c r="V96" s="14">
        <f t="shared" si="41"/>
        <v>0</v>
      </c>
      <c r="W96" s="14">
        <f t="shared" si="41"/>
        <v>0</v>
      </c>
      <c r="X96" s="14">
        <f t="shared" si="41"/>
        <v>0</v>
      </c>
      <c r="Y96" s="14">
        <f t="shared" si="41"/>
        <v>0</v>
      </c>
      <c r="Z96" s="14">
        <f t="shared" si="41"/>
        <v>0</v>
      </c>
      <c r="AA96" s="14">
        <f t="shared" si="41"/>
        <v>0</v>
      </c>
      <c r="AB96" s="14">
        <f t="shared" si="41"/>
        <v>0</v>
      </c>
      <c r="AC96" s="14">
        <f t="shared" si="41"/>
        <v>0</v>
      </c>
      <c r="AD96" s="14">
        <f t="shared" si="41"/>
        <v>0</v>
      </c>
      <c r="AE96" s="14">
        <f t="shared" si="41"/>
        <v>0</v>
      </c>
      <c r="AF96" s="14">
        <f t="shared" si="41"/>
        <v>0</v>
      </c>
      <c r="AG96" s="14">
        <f t="shared" si="41"/>
        <v>0</v>
      </c>
      <c r="AH96" s="14">
        <f t="shared" si="41"/>
        <v>0</v>
      </c>
      <c r="AI96" s="14">
        <f t="shared" si="41"/>
        <v>0</v>
      </c>
      <c r="AJ96" s="14">
        <f t="shared" si="41"/>
        <v>0</v>
      </c>
      <c r="AK96" s="14">
        <f t="shared" si="41"/>
        <v>0</v>
      </c>
      <c r="AL96" s="14">
        <f t="shared" si="41"/>
        <v>0</v>
      </c>
    </row>
    <row r="97" spans="1:54" ht="21" hidden="1" customHeight="1" outlineLevel="1" thickBot="1" x14ac:dyDescent="0.4">
      <c r="A97" s="5">
        <f t="shared" ref="A97:D109" si="42">A63</f>
        <v>0</v>
      </c>
      <c r="B97" s="5">
        <f t="shared" si="42"/>
        <v>0</v>
      </c>
      <c r="C97" s="5">
        <f t="shared" si="42"/>
        <v>0</v>
      </c>
      <c r="D97" s="5">
        <f t="shared" si="42"/>
        <v>0</v>
      </c>
      <c r="E97" s="6">
        <f t="shared" si="21"/>
        <v>0</v>
      </c>
      <c r="F97" s="14">
        <f t="shared" ref="F97:AL97" si="43">F21*$C$78</f>
        <v>0</v>
      </c>
      <c r="G97" s="14">
        <f t="shared" si="43"/>
        <v>0</v>
      </c>
      <c r="H97" s="14">
        <f t="shared" si="43"/>
        <v>0</v>
      </c>
      <c r="I97" s="14">
        <f t="shared" si="43"/>
        <v>0</v>
      </c>
      <c r="J97" s="14">
        <f t="shared" si="43"/>
        <v>0</v>
      </c>
      <c r="K97" s="14">
        <f t="shared" si="43"/>
        <v>0</v>
      </c>
      <c r="L97" s="14">
        <f t="shared" si="43"/>
        <v>0</v>
      </c>
      <c r="M97" s="14">
        <f t="shared" si="43"/>
        <v>0</v>
      </c>
      <c r="N97" s="14">
        <f t="shared" si="43"/>
        <v>0</v>
      </c>
      <c r="O97" s="14">
        <f t="shared" si="43"/>
        <v>0</v>
      </c>
      <c r="P97" s="14">
        <f t="shared" si="43"/>
        <v>0</v>
      </c>
      <c r="Q97" s="14">
        <f t="shared" si="43"/>
        <v>0</v>
      </c>
      <c r="R97" s="14">
        <f t="shared" si="43"/>
        <v>0</v>
      </c>
      <c r="S97" s="14">
        <f t="shared" si="43"/>
        <v>0</v>
      </c>
      <c r="T97" s="14">
        <f t="shared" si="43"/>
        <v>0</v>
      </c>
      <c r="U97" s="14">
        <f t="shared" si="43"/>
        <v>0</v>
      </c>
      <c r="V97" s="14">
        <f t="shared" si="43"/>
        <v>0</v>
      </c>
      <c r="W97" s="14">
        <f t="shared" si="43"/>
        <v>0</v>
      </c>
      <c r="X97" s="14">
        <f t="shared" si="43"/>
        <v>0</v>
      </c>
      <c r="Y97" s="14">
        <f t="shared" si="43"/>
        <v>0</v>
      </c>
      <c r="Z97" s="14">
        <f t="shared" si="43"/>
        <v>0</v>
      </c>
      <c r="AA97" s="14">
        <f t="shared" si="43"/>
        <v>0</v>
      </c>
      <c r="AB97" s="14">
        <f t="shared" si="43"/>
        <v>0</v>
      </c>
      <c r="AC97" s="14">
        <f t="shared" si="43"/>
        <v>0</v>
      </c>
      <c r="AD97" s="14">
        <f t="shared" si="43"/>
        <v>0</v>
      </c>
      <c r="AE97" s="14">
        <f t="shared" si="43"/>
        <v>0</v>
      </c>
      <c r="AF97" s="14">
        <f t="shared" si="43"/>
        <v>0</v>
      </c>
      <c r="AG97" s="14">
        <f t="shared" si="43"/>
        <v>0</v>
      </c>
      <c r="AH97" s="14">
        <f t="shared" si="43"/>
        <v>0</v>
      </c>
      <c r="AI97" s="14">
        <f t="shared" si="43"/>
        <v>0</v>
      </c>
      <c r="AJ97" s="14">
        <f t="shared" si="43"/>
        <v>0</v>
      </c>
      <c r="AK97" s="14">
        <f t="shared" si="43"/>
        <v>0</v>
      </c>
      <c r="AL97" s="14">
        <f t="shared" si="43"/>
        <v>0</v>
      </c>
    </row>
    <row r="98" spans="1:54" ht="21" hidden="1" customHeight="1" outlineLevel="1" thickBot="1" x14ac:dyDescent="0.4">
      <c r="A98" s="5">
        <f t="shared" si="42"/>
        <v>0</v>
      </c>
      <c r="B98" s="5">
        <f t="shared" si="42"/>
        <v>0</v>
      </c>
      <c r="C98" s="5">
        <f t="shared" si="42"/>
        <v>0</v>
      </c>
      <c r="D98" s="5">
        <f t="shared" si="42"/>
        <v>0</v>
      </c>
      <c r="E98" s="6">
        <f t="shared" si="21"/>
        <v>0</v>
      </c>
      <c r="F98" s="14">
        <f t="shared" ref="F98:AL98" si="44">F22*$C$78</f>
        <v>0</v>
      </c>
      <c r="G98" s="14">
        <f t="shared" si="44"/>
        <v>0</v>
      </c>
      <c r="H98" s="14">
        <f t="shared" si="44"/>
        <v>0</v>
      </c>
      <c r="I98" s="14">
        <f t="shared" si="44"/>
        <v>0</v>
      </c>
      <c r="J98" s="14">
        <f t="shared" si="44"/>
        <v>0</v>
      </c>
      <c r="K98" s="14">
        <f t="shared" si="44"/>
        <v>0</v>
      </c>
      <c r="L98" s="14">
        <f t="shared" si="44"/>
        <v>0</v>
      </c>
      <c r="M98" s="14">
        <f t="shared" si="44"/>
        <v>0</v>
      </c>
      <c r="N98" s="14">
        <f t="shared" si="44"/>
        <v>0</v>
      </c>
      <c r="O98" s="14">
        <f t="shared" si="44"/>
        <v>0</v>
      </c>
      <c r="P98" s="14">
        <f t="shared" si="44"/>
        <v>0</v>
      </c>
      <c r="Q98" s="14">
        <f t="shared" si="44"/>
        <v>0</v>
      </c>
      <c r="R98" s="14">
        <f t="shared" si="44"/>
        <v>0</v>
      </c>
      <c r="S98" s="14">
        <f t="shared" si="44"/>
        <v>0</v>
      </c>
      <c r="T98" s="14">
        <f t="shared" si="44"/>
        <v>0</v>
      </c>
      <c r="U98" s="14">
        <f t="shared" si="44"/>
        <v>0</v>
      </c>
      <c r="V98" s="14">
        <f t="shared" si="44"/>
        <v>0</v>
      </c>
      <c r="W98" s="14">
        <f t="shared" si="44"/>
        <v>0</v>
      </c>
      <c r="X98" s="14">
        <f t="shared" si="44"/>
        <v>0</v>
      </c>
      <c r="Y98" s="14">
        <f t="shared" si="44"/>
        <v>0</v>
      </c>
      <c r="Z98" s="14">
        <f t="shared" si="44"/>
        <v>0</v>
      </c>
      <c r="AA98" s="14">
        <f t="shared" si="44"/>
        <v>0</v>
      </c>
      <c r="AB98" s="14">
        <f t="shared" si="44"/>
        <v>0</v>
      </c>
      <c r="AC98" s="14">
        <f t="shared" si="44"/>
        <v>0</v>
      </c>
      <c r="AD98" s="14">
        <f t="shared" si="44"/>
        <v>0</v>
      </c>
      <c r="AE98" s="14">
        <f t="shared" si="44"/>
        <v>0</v>
      </c>
      <c r="AF98" s="14">
        <f t="shared" si="44"/>
        <v>0</v>
      </c>
      <c r="AG98" s="14">
        <f t="shared" si="44"/>
        <v>0</v>
      </c>
      <c r="AH98" s="14">
        <f t="shared" si="44"/>
        <v>0</v>
      </c>
      <c r="AI98" s="14">
        <f t="shared" si="44"/>
        <v>0</v>
      </c>
      <c r="AJ98" s="14">
        <f t="shared" si="44"/>
        <v>0</v>
      </c>
      <c r="AK98" s="14">
        <f t="shared" si="44"/>
        <v>0</v>
      </c>
      <c r="AL98" s="14">
        <f t="shared" si="44"/>
        <v>0</v>
      </c>
    </row>
    <row r="99" spans="1:54" ht="21" hidden="1" customHeight="1" outlineLevel="1" thickBot="1" x14ac:dyDescent="0.4">
      <c r="A99" s="5">
        <f t="shared" si="42"/>
        <v>0</v>
      </c>
      <c r="B99" s="5">
        <f t="shared" si="42"/>
        <v>0</v>
      </c>
      <c r="C99" s="5">
        <f t="shared" si="42"/>
        <v>0</v>
      </c>
      <c r="D99" s="5">
        <f t="shared" si="42"/>
        <v>0</v>
      </c>
      <c r="E99" s="6">
        <f t="shared" si="21"/>
        <v>0</v>
      </c>
      <c r="F99" s="14">
        <f t="shared" ref="F99:AL99" si="45">F23*$C$78</f>
        <v>0</v>
      </c>
      <c r="G99" s="14">
        <f t="shared" si="45"/>
        <v>0</v>
      </c>
      <c r="H99" s="14">
        <f t="shared" si="45"/>
        <v>0</v>
      </c>
      <c r="I99" s="14">
        <f t="shared" si="45"/>
        <v>0</v>
      </c>
      <c r="J99" s="14">
        <f t="shared" si="45"/>
        <v>0</v>
      </c>
      <c r="K99" s="14">
        <f t="shared" si="45"/>
        <v>0</v>
      </c>
      <c r="L99" s="14">
        <f t="shared" si="45"/>
        <v>0</v>
      </c>
      <c r="M99" s="14">
        <f t="shared" si="45"/>
        <v>0</v>
      </c>
      <c r="N99" s="14">
        <f t="shared" si="45"/>
        <v>0</v>
      </c>
      <c r="O99" s="14">
        <f t="shared" si="45"/>
        <v>0</v>
      </c>
      <c r="P99" s="14">
        <f t="shared" si="45"/>
        <v>0</v>
      </c>
      <c r="Q99" s="14">
        <f t="shared" si="45"/>
        <v>0</v>
      </c>
      <c r="R99" s="14">
        <f t="shared" si="45"/>
        <v>0</v>
      </c>
      <c r="S99" s="14">
        <f t="shared" si="45"/>
        <v>0</v>
      </c>
      <c r="T99" s="14">
        <f t="shared" si="45"/>
        <v>0</v>
      </c>
      <c r="U99" s="14">
        <f t="shared" si="45"/>
        <v>0</v>
      </c>
      <c r="V99" s="14">
        <f t="shared" si="45"/>
        <v>0</v>
      </c>
      <c r="W99" s="14">
        <f t="shared" si="45"/>
        <v>0</v>
      </c>
      <c r="X99" s="14">
        <f t="shared" si="45"/>
        <v>0</v>
      </c>
      <c r="Y99" s="14">
        <f t="shared" si="45"/>
        <v>0</v>
      </c>
      <c r="Z99" s="14">
        <f t="shared" si="45"/>
        <v>0</v>
      </c>
      <c r="AA99" s="14">
        <f t="shared" si="45"/>
        <v>0</v>
      </c>
      <c r="AB99" s="14">
        <f t="shared" si="45"/>
        <v>0</v>
      </c>
      <c r="AC99" s="14">
        <f t="shared" si="45"/>
        <v>0</v>
      </c>
      <c r="AD99" s="14">
        <f t="shared" si="45"/>
        <v>0</v>
      </c>
      <c r="AE99" s="14">
        <f t="shared" si="45"/>
        <v>0</v>
      </c>
      <c r="AF99" s="14">
        <f t="shared" si="45"/>
        <v>0</v>
      </c>
      <c r="AG99" s="14">
        <f t="shared" si="45"/>
        <v>0</v>
      </c>
      <c r="AH99" s="14">
        <f t="shared" si="45"/>
        <v>0</v>
      </c>
      <c r="AI99" s="14">
        <f t="shared" si="45"/>
        <v>0</v>
      </c>
      <c r="AJ99" s="14">
        <f t="shared" si="45"/>
        <v>0</v>
      </c>
      <c r="AK99" s="14">
        <f t="shared" si="45"/>
        <v>0</v>
      </c>
      <c r="AL99" s="14">
        <f t="shared" si="45"/>
        <v>0</v>
      </c>
    </row>
    <row r="100" spans="1:54" ht="21" hidden="1" customHeight="1" outlineLevel="1" thickBot="1" x14ac:dyDescent="0.4">
      <c r="A100" s="5">
        <f t="shared" si="42"/>
        <v>0</v>
      </c>
      <c r="B100" s="5">
        <f t="shared" si="42"/>
        <v>0</v>
      </c>
      <c r="C100" s="5">
        <f t="shared" si="42"/>
        <v>0</v>
      </c>
      <c r="D100" s="5">
        <f t="shared" si="42"/>
        <v>0</v>
      </c>
      <c r="E100" s="6">
        <f t="shared" si="21"/>
        <v>0</v>
      </c>
      <c r="F100" s="14">
        <f t="shared" ref="F100:AL100" si="46">F24*$C$78</f>
        <v>0</v>
      </c>
      <c r="G100" s="14">
        <f t="shared" si="46"/>
        <v>0</v>
      </c>
      <c r="H100" s="14">
        <f t="shared" si="46"/>
        <v>0</v>
      </c>
      <c r="I100" s="14">
        <f t="shared" si="46"/>
        <v>0</v>
      </c>
      <c r="J100" s="14">
        <f t="shared" si="46"/>
        <v>0</v>
      </c>
      <c r="K100" s="14">
        <f t="shared" si="46"/>
        <v>0</v>
      </c>
      <c r="L100" s="14">
        <f t="shared" si="46"/>
        <v>0</v>
      </c>
      <c r="M100" s="14">
        <f t="shared" si="46"/>
        <v>0</v>
      </c>
      <c r="N100" s="14">
        <f t="shared" si="46"/>
        <v>0</v>
      </c>
      <c r="O100" s="14">
        <f t="shared" si="46"/>
        <v>0</v>
      </c>
      <c r="P100" s="14">
        <f t="shared" si="46"/>
        <v>0</v>
      </c>
      <c r="Q100" s="14">
        <f t="shared" si="46"/>
        <v>0</v>
      </c>
      <c r="R100" s="14">
        <f t="shared" si="46"/>
        <v>0</v>
      </c>
      <c r="S100" s="14">
        <f t="shared" si="46"/>
        <v>0</v>
      </c>
      <c r="T100" s="14">
        <f t="shared" si="46"/>
        <v>0</v>
      </c>
      <c r="U100" s="14">
        <f t="shared" si="46"/>
        <v>0</v>
      </c>
      <c r="V100" s="14">
        <f t="shared" si="46"/>
        <v>0</v>
      </c>
      <c r="W100" s="14">
        <f t="shared" si="46"/>
        <v>0</v>
      </c>
      <c r="X100" s="14">
        <f t="shared" si="46"/>
        <v>0</v>
      </c>
      <c r="Y100" s="14">
        <f t="shared" si="46"/>
        <v>0</v>
      </c>
      <c r="Z100" s="14">
        <f t="shared" si="46"/>
        <v>0</v>
      </c>
      <c r="AA100" s="14">
        <f t="shared" si="46"/>
        <v>0</v>
      </c>
      <c r="AB100" s="14">
        <f t="shared" si="46"/>
        <v>0</v>
      </c>
      <c r="AC100" s="14">
        <f t="shared" si="46"/>
        <v>0</v>
      </c>
      <c r="AD100" s="14">
        <f t="shared" si="46"/>
        <v>0</v>
      </c>
      <c r="AE100" s="14">
        <f t="shared" si="46"/>
        <v>0</v>
      </c>
      <c r="AF100" s="14">
        <f t="shared" si="46"/>
        <v>0</v>
      </c>
      <c r="AG100" s="14">
        <f t="shared" si="46"/>
        <v>0</v>
      </c>
      <c r="AH100" s="14">
        <f t="shared" si="46"/>
        <v>0</v>
      </c>
      <c r="AI100" s="14">
        <f t="shared" si="46"/>
        <v>0</v>
      </c>
      <c r="AJ100" s="14">
        <f t="shared" si="46"/>
        <v>0</v>
      </c>
      <c r="AK100" s="14">
        <f t="shared" si="46"/>
        <v>0</v>
      </c>
      <c r="AL100" s="14">
        <f t="shared" si="46"/>
        <v>0</v>
      </c>
    </row>
    <row r="101" spans="1:54" ht="21" hidden="1" customHeight="1" outlineLevel="1" thickBot="1" x14ac:dyDescent="0.4">
      <c r="A101" s="5">
        <f t="shared" si="42"/>
        <v>0</v>
      </c>
      <c r="B101" s="5">
        <f t="shared" si="42"/>
        <v>0</v>
      </c>
      <c r="C101" s="5">
        <f t="shared" si="42"/>
        <v>0</v>
      </c>
      <c r="D101" s="5">
        <f t="shared" si="42"/>
        <v>0</v>
      </c>
      <c r="E101" s="6">
        <f t="shared" si="21"/>
        <v>0</v>
      </c>
      <c r="F101" s="14">
        <f t="shared" ref="F101:AL101" si="47">F25*$C$78</f>
        <v>0</v>
      </c>
      <c r="G101" s="14">
        <f t="shared" si="47"/>
        <v>0</v>
      </c>
      <c r="H101" s="14">
        <f t="shared" si="47"/>
        <v>0</v>
      </c>
      <c r="I101" s="14">
        <f t="shared" si="47"/>
        <v>0</v>
      </c>
      <c r="J101" s="14">
        <f t="shared" si="47"/>
        <v>0</v>
      </c>
      <c r="K101" s="14">
        <f t="shared" si="47"/>
        <v>0</v>
      </c>
      <c r="L101" s="14">
        <f t="shared" si="47"/>
        <v>0</v>
      </c>
      <c r="M101" s="14">
        <f t="shared" si="47"/>
        <v>0</v>
      </c>
      <c r="N101" s="14">
        <f t="shared" si="47"/>
        <v>0</v>
      </c>
      <c r="O101" s="14">
        <f t="shared" si="47"/>
        <v>0</v>
      </c>
      <c r="P101" s="14">
        <f t="shared" si="47"/>
        <v>0</v>
      </c>
      <c r="Q101" s="14">
        <f t="shared" si="47"/>
        <v>0</v>
      </c>
      <c r="R101" s="14">
        <f t="shared" si="47"/>
        <v>0</v>
      </c>
      <c r="S101" s="14">
        <f t="shared" si="47"/>
        <v>0</v>
      </c>
      <c r="T101" s="14">
        <f t="shared" si="47"/>
        <v>0</v>
      </c>
      <c r="U101" s="14">
        <f t="shared" si="47"/>
        <v>0</v>
      </c>
      <c r="V101" s="14">
        <f t="shared" si="47"/>
        <v>0</v>
      </c>
      <c r="W101" s="14">
        <f t="shared" si="47"/>
        <v>0</v>
      </c>
      <c r="X101" s="14">
        <f t="shared" si="47"/>
        <v>0</v>
      </c>
      <c r="Y101" s="14">
        <f t="shared" si="47"/>
        <v>0</v>
      </c>
      <c r="Z101" s="14">
        <f t="shared" si="47"/>
        <v>0</v>
      </c>
      <c r="AA101" s="14">
        <f t="shared" si="47"/>
        <v>0</v>
      </c>
      <c r="AB101" s="14">
        <f t="shared" si="47"/>
        <v>0</v>
      </c>
      <c r="AC101" s="14">
        <f t="shared" si="47"/>
        <v>0</v>
      </c>
      <c r="AD101" s="14">
        <f t="shared" si="47"/>
        <v>0</v>
      </c>
      <c r="AE101" s="14">
        <f t="shared" si="47"/>
        <v>0</v>
      </c>
      <c r="AF101" s="14">
        <f t="shared" si="47"/>
        <v>0</v>
      </c>
      <c r="AG101" s="14">
        <f t="shared" si="47"/>
        <v>0</v>
      </c>
      <c r="AH101" s="14">
        <f t="shared" si="47"/>
        <v>0</v>
      </c>
      <c r="AI101" s="14">
        <f t="shared" si="47"/>
        <v>0</v>
      </c>
      <c r="AJ101" s="14">
        <f t="shared" si="47"/>
        <v>0</v>
      </c>
      <c r="AK101" s="14">
        <f t="shared" si="47"/>
        <v>0</v>
      </c>
      <c r="AL101" s="14">
        <f t="shared" si="47"/>
        <v>0</v>
      </c>
    </row>
    <row r="102" spans="1:54" ht="21" hidden="1" customHeight="1" outlineLevel="1" thickBot="1" x14ac:dyDescent="0.4">
      <c r="A102" s="5">
        <f t="shared" si="42"/>
        <v>0</v>
      </c>
      <c r="B102" s="5">
        <f t="shared" si="42"/>
        <v>0</v>
      </c>
      <c r="C102" s="5">
        <f t="shared" si="42"/>
        <v>0</v>
      </c>
      <c r="D102" s="5">
        <f t="shared" si="42"/>
        <v>0</v>
      </c>
      <c r="E102" s="6">
        <f t="shared" si="21"/>
        <v>0</v>
      </c>
      <c r="F102" s="14">
        <f t="shared" ref="F102:AL102" si="48">F26*$C$78</f>
        <v>0</v>
      </c>
      <c r="G102" s="14">
        <f t="shared" si="48"/>
        <v>0</v>
      </c>
      <c r="H102" s="14">
        <f t="shared" si="48"/>
        <v>0</v>
      </c>
      <c r="I102" s="14">
        <f t="shared" si="48"/>
        <v>0</v>
      </c>
      <c r="J102" s="14">
        <f t="shared" si="48"/>
        <v>0</v>
      </c>
      <c r="K102" s="14">
        <f t="shared" si="48"/>
        <v>0</v>
      </c>
      <c r="L102" s="14">
        <f t="shared" si="48"/>
        <v>0</v>
      </c>
      <c r="M102" s="14">
        <f t="shared" si="48"/>
        <v>0</v>
      </c>
      <c r="N102" s="14">
        <f t="shared" si="48"/>
        <v>0</v>
      </c>
      <c r="O102" s="14">
        <f t="shared" si="48"/>
        <v>0</v>
      </c>
      <c r="P102" s="14">
        <f t="shared" si="48"/>
        <v>0</v>
      </c>
      <c r="Q102" s="14">
        <f t="shared" si="48"/>
        <v>0</v>
      </c>
      <c r="R102" s="14">
        <f t="shared" si="48"/>
        <v>0</v>
      </c>
      <c r="S102" s="14">
        <f t="shared" si="48"/>
        <v>0</v>
      </c>
      <c r="T102" s="14">
        <f t="shared" si="48"/>
        <v>0</v>
      </c>
      <c r="U102" s="14">
        <f t="shared" si="48"/>
        <v>0</v>
      </c>
      <c r="V102" s="14">
        <f t="shared" si="48"/>
        <v>0</v>
      </c>
      <c r="W102" s="14">
        <f t="shared" si="48"/>
        <v>0</v>
      </c>
      <c r="X102" s="14">
        <f t="shared" si="48"/>
        <v>0</v>
      </c>
      <c r="Y102" s="14">
        <f t="shared" si="48"/>
        <v>0</v>
      </c>
      <c r="Z102" s="14">
        <f t="shared" si="48"/>
        <v>0</v>
      </c>
      <c r="AA102" s="14">
        <f t="shared" si="48"/>
        <v>0</v>
      </c>
      <c r="AB102" s="14">
        <f t="shared" si="48"/>
        <v>0</v>
      </c>
      <c r="AC102" s="14">
        <f t="shared" si="48"/>
        <v>0</v>
      </c>
      <c r="AD102" s="14">
        <f t="shared" si="48"/>
        <v>0</v>
      </c>
      <c r="AE102" s="14">
        <f t="shared" si="48"/>
        <v>0</v>
      </c>
      <c r="AF102" s="14">
        <f t="shared" si="48"/>
        <v>0</v>
      </c>
      <c r="AG102" s="14">
        <f t="shared" si="48"/>
        <v>0</v>
      </c>
      <c r="AH102" s="14">
        <f t="shared" si="48"/>
        <v>0</v>
      </c>
      <c r="AI102" s="14">
        <f t="shared" si="48"/>
        <v>0</v>
      </c>
      <c r="AJ102" s="14">
        <f t="shared" si="48"/>
        <v>0</v>
      </c>
      <c r="AK102" s="14">
        <f t="shared" si="48"/>
        <v>0</v>
      </c>
      <c r="AL102" s="14">
        <f t="shared" si="48"/>
        <v>0</v>
      </c>
    </row>
    <row r="103" spans="1:54" ht="21" hidden="1" customHeight="1" outlineLevel="1" thickBot="1" x14ac:dyDescent="0.4">
      <c r="A103" s="5">
        <f t="shared" si="42"/>
        <v>0</v>
      </c>
      <c r="B103" s="5">
        <f t="shared" si="42"/>
        <v>0</v>
      </c>
      <c r="C103" s="5">
        <f t="shared" si="42"/>
        <v>0</v>
      </c>
      <c r="D103" s="5">
        <f t="shared" si="42"/>
        <v>0</v>
      </c>
      <c r="E103" s="6">
        <f t="shared" si="21"/>
        <v>0</v>
      </c>
      <c r="F103" s="14">
        <f t="shared" ref="F103:AL103" si="49">F27*$C$78</f>
        <v>0</v>
      </c>
      <c r="G103" s="14">
        <f t="shared" si="49"/>
        <v>0</v>
      </c>
      <c r="H103" s="14">
        <f t="shared" si="49"/>
        <v>0</v>
      </c>
      <c r="I103" s="14">
        <f t="shared" si="49"/>
        <v>0</v>
      </c>
      <c r="J103" s="14">
        <f t="shared" si="49"/>
        <v>0</v>
      </c>
      <c r="K103" s="14">
        <f t="shared" si="49"/>
        <v>0</v>
      </c>
      <c r="L103" s="14">
        <f t="shared" si="49"/>
        <v>0</v>
      </c>
      <c r="M103" s="14">
        <f t="shared" si="49"/>
        <v>0</v>
      </c>
      <c r="N103" s="14">
        <f t="shared" si="49"/>
        <v>0</v>
      </c>
      <c r="O103" s="14">
        <f t="shared" si="49"/>
        <v>0</v>
      </c>
      <c r="P103" s="14">
        <f t="shared" si="49"/>
        <v>0</v>
      </c>
      <c r="Q103" s="14">
        <f t="shared" si="49"/>
        <v>0</v>
      </c>
      <c r="R103" s="14">
        <f t="shared" si="49"/>
        <v>0</v>
      </c>
      <c r="S103" s="14">
        <f t="shared" si="49"/>
        <v>0</v>
      </c>
      <c r="T103" s="14">
        <f t="shared" si="49"/>
        <v>0</v>
      </c>
      <c r="U103" s="14">
        <f t="shared" si="49"/>
        <v>0</v>
      </c>
      <c r="V103" s="14">
        <f t="shared" si="49"/>
        <v>0</v>
      </c>
      <c r="W103" s="14">
        <f t="shared" si="49"/>
        <v>0</v>
      </c>
      <c r="X103" s="14">
        <f t="shared" si="49"/>
        <v>0</v>
      </c>
      <c r="Y103" s="14">
        <f t="shared" si="49"/>
        <v>0</v>
      </c>
      <c r="Z103" s="14">
        <f t="shared" si="49"/>
        <v>0</v>
      </c>
      <c r="AA103" s="14">
        <f t="shared" si="49"/>
        <v>0</v>
      </c>
      <c r="AB103" s="14">
        <f t="shared" si="49"/>
        <v>0</v>
      </c>
      <c r="AC103" s="14">
        <f t="shared" si="49"/>
        <v>0</v>
      </c>
      <c r="AD103" s="14">
        <f t="shared" si="49"/>
        <v>0</v>
      </c>
      <c r="AE103" s="14">
        <f t="shared" si="49"/>
        <v>0</v>
      </c>
      <c r="AF103" s="14">
        <f t="shared" si="49"/>
        <v>0</v>
      </c>
      <c r="AG103" s="14">
        <f t="shared" si="49"/>
        <v>0</v>
      </c>
      <c r="AH103" s="14">
        <f t="shared" si="49"/>
        <v>0</v>
      </c>
      <c r="AI103" s="14">
        <f t="shared" si="49"/>
        <v>0</v>
      </c>
      <c r="AJ103" s="14">
        <f t="shared" si="49"/>
        <v>0</v>
      </c>
      <c r="AK103" s="14">
        <f t="shared" si="49"/>
        <v>0</v>
      </c>
      <c r="AL103" s="14">
        <f t="shared" si="49"/>
        <v>0</v>
      </c>
    </row>
    <row r="104" spans="1:54" ht="21" hidden="1" customHeight="1" outlineLevel="1" thickBot="1" x14ac:dyDescent="0.4">
      <c r="A104" s="5">
        <f t="shared" si="42"/>
        <v>0</v>
      </c>
      <c r="B104" s="5">
        <f t="shared" si="42"/>
        <v>0</v>
      </c>
      <c r="C104" s="5">
        <f t="shared" si="42"/>
        <v>0</v>
      </c>
      <c r="D104" s="5">
        <f t="shared" si="42"/>
        <v>0</v>
      </c>
      <c r="E104" s="6">
        <f t="shared" si="21"/>
        <v>0</v>
      </c>
      <c r="F104" s="14">
        <f t="shared" ref="F104:AL104" si="50">F28*$C$78</f>
        <v>0</v>
      </c>
      <c r="G104" s="14">
        <f t="shared" si="50"/>
        <v>0</v>
      </c>
      <c r="H104" s="14">
        <f t="shared" si="50"/>
        <v>0</v>
      </c>
      <c r="I104" s="14">
        <f t="shared" si="50"/>
        <v>0</v>
      </c>
      <c r="J104" s="14">
        <f t="shared" si="50"/>
        <v>0</v>
      </c>
      <c r="K104" s="14">
        <f t="shared" si="50"/>
        <v>0</v>
      </c>
      <c r="L104" s="14">
        <f t="shared" si="50"/>
        <v>0</v>
      </c>
      <c r="M104" s="14">
        <f t="shared" si="50"/>
        <v>0</v>
      </c>
      <c r="N104" s="14">
        <f t="shared" si="50"/>
        <v>0</v>
      </c>
      <c r="O104" s="14">
        <f t="shared" si="50"/>
        <v>0</v>
      </c>
      <c r="P104" s="14">
        <f t="shared" si="50"/>
        <v>0</v>
      </c>
      <c r="Q104" s="14">
        <f t="shared" si="50"/>
        <v>0</v>
      </c>
      <c r="R104" s="14">
        <f t="shared" si="50"/>
        <v>0</v>
      </c>
      <c r="S104" s="14">
        <f t="shared" si="50"/>
        <v>0</v>
      </c>
      <c r="T104" s="14">
        <f t="shared" si="50"/>
        <v>0</v>
      </c>
      <c r="U104" s="14">
        <f t="shared" si="50"/>
        <v>0</v>
      </c>
      <c r="V104" s="14">
        <f t="shared" si="50"/>
        <v>0</v>
      </c>
      <c r="W104" s="14">
        <f t="shared" si="50"/>
        <v>0</v>
      </c>
      <c r="X104" s="14">
        <f t="shared" si="50"/>
        <v>0</v>
      </c>
      <c r="Y104" s="14">
        <f t="shared" si="50"/>
        <v>0</v>
      </c>
      <c r="Z104" s="14">
        <f t="shared" si="50"/>
        <v>0</v>
      </c>
      <c r="AA104" s="14">
        <f t="shared" si="50"/>
        <v>0</v>
      </c>
      <c r="AB104" s="14">
        <f t="shared" si="50"/>
        <v>0</v>
      </c>
      <c r="AC104" s="14">
        <f t="shared" si="50"/>
        <v>0</v>
      </c>
      <c r="AD104" s="14">
        <f t="shared" si="50"/>
        <v>0</v>
      </c>
      <c r="AE104" s="14">
        <f t="shared" si="50"/>
        <v>0</v>
      </c>
      <c r="AF104" s="14">
        <f t="shared" si="50"/>
        <v>0</v>
      </c>
      <c r="AG104" s="14">
        <f t="shared" si="50"/>
        <v>0</v>
      </c>
      <c r="AH104" s="14">
        <f t="shared" si="50"/>
        <v>0</v>
      </c>
      <c r="AI104" s="14">
        <f t="shared" si="50"/>
        <v>0</v>
      </c>
      <c r="AJ104" s="14">
        <f t="shared" si="50"/>
        <v>0</v>
      </c>
      <c r="AK104" s="14">
        <f t="shared" si="50"/>
        <v>0</v>
      </c>
      <c r="AL104" s="14">
        <f t="shared" si="50"/>
        <v>0</v>
      </c>
    </row>
    <row r="105" spans="1:54" ht="21" hidden="1" customHeight="1" outlineLevel="1" thickBot="1" x14ac:dyDescent="0.4">
      <c r="A105" s="5">
        <f t="shared" si="42"/>
        <v>0</v>
      </c>
      <c r="B105" s="5">
        <f t="shared" si="42"/>
        <v>0</v>
      </c>
      <c r="C105" s="5">
        <f t="shared" si="42"/>
        <v>0</v>
      </c>
      <c r="D105" s="5">
        <f t="shared" si="42"/>
        <v>0</v>
      </c>
      <c r="E105" s="6">
        <f t="shared" si="21"/>
        <v>0</v>
      </c>
      <c r="F105" s="14">
        <f t="shared" ref="F105:AL105" si="51">F29*$C$78</f>
        <v>0</v>
      </c>
      <c r="G105" s="14">
        <f t="shared" si="51"/>
        <v>0</v>
      </c>
      <c r="H105" s="14">
        <f t="shared" si="51"/>
        <v>0</v>
      </c>
      <c r="I105" s="14">
        <f t="shared" si="51"/>
        <v>0</v>
      </c>
      <c r="J105" s="14">
        <f t="shared" si="51"/>
        <v>0</v>
      </c>
      <c r="K105" s="14">
        <f t="shared" si="51"/>
        <v>0</v>
      </c>
      <c r="L105" s="14">
        <f t="shared" si="51"/>
        <v>0</v>
      </c>
      <c r="M105" s="14">
        <f t="shared" si="51"/>
        <v>0</v>
      </c>
      <c r="N105" s="14">
        <f t="shared" si="51"/>
        <v>0</v>
      </c>
      <c r="O105" s="14">
        <f t="shared" si="51"/>
        <v>0</v>
      </c>
      <c r="P105" s="14">
        <f t="shared" si="51"/>
        <v>0</v>
      </c>
      <c r="Q105" s="14">
        <f t="shared" si="51"/>
        <v>0</v>
      </c>
      <c r="R105" s="14">
        <f t="shared" si="51"/>
        <v>0</v>
      </c>
      <c r="S105" s="14">
        <f t="shared" si="51"/>
        <v>0</v>
      </c>
      <c r="T105" s="14">
        <f t="shared" si="51"/>
        <v>0</v>
      </c>
      <c r="U105" s="14">
        <f t="shared" si="51"/>
        <v>0</v>
      </c>
      <c r="V105" s="14">
        <f t="shared" si="51"/>
        <v>0</v>
      </c>
      <c r="W105" s="14">
        <f t="shared" si="51"/>
        <v>0</v>
      </c>
      <c r="X105" s="14">
        <f t="shared" si="51"/>
        <v>0</v>
      </c>
      <c r="Y105" s="14">
        <f t="shared" si="51"/>
        <v>0</v>
      </c>
      <c r="Z105" s="14">
        <f t="shared" si="51"/>
        <v>0</v>
      </c>
      <c r="AA105" s="14">
        <f t="shared" si="51"/>
        <v>0</v>
      </c>
      <c r="AB105" s="14">
        <f t="shared" si="51"/>
        <v>0</v>
      </c>
      <c r="AC105" s="14">
        <f t="shared" si="51"/>
        <v>0</v>
      </c>
      <c r="AD105" s="14">
        <f t="shared" si="51"/>
        <v>0</v>
      </c>
      <c r="AE105" s="14">
        <f t="shared" si="51"/>
        <v>0</v>
      </c>
      <c r="AF105" s="14">
        <f t="shared" si="51"/>
        <v>0</v>
      </c>
      <c r="AG105" s="14">
        <f t="shared" si="51"/>
        <v>0</v>
      </c>
      <c r="AH105" s="14">
        <f t="shared" si="51"/>
        <v>0</v>
      </c>
      <c r="AI105" s="14">
        <f t="shared" si="51"/>
        <v>0</v>
      </c>
      <c r="AJ105" s="14">
        <f t="shared" si="51"/>
        <v>0</v>
      </c>
      <c r="AK105" s="14">
        <f t="shared" si="51"/>
        <v>0</v>
      </c>
      <c r="AL105" s="14">
        <f t="shared" si="51"/>
        <v>0</v>
      </c>
    </row>
    <row r="106" spans="1:54" ht="21" hidden="1" customHeight="1" outlineLevel="1" thickBot="1" x14ac:dyDescent="0.4">
      <c r="A106" s="5">
        <f t="shared" si="42"/>
        <v>0</v>
      </c>
      <c r="B106" s="5">
        <f t="shared" si="42"/>
        <v>0</v>
      </c>
      <c r="C106" s="5">
        <f t="shared" si="42"/>
        <v>0</v>
      </c>
      <c r="D106" s="5">
        <f t="shared" si="42"/>
        <v>0</v>
      </c>
      <c r="E106" s="6">
        <f t="shared" si="21"/>
        <v>0</v>
      </c>
      <c r="F106" s="14">
        <f t="shared" ref="F106:AL106" si="52">F30*$C$78</f>
        <v>0</v>
      </c>
      <c r="G106" s="14">
        <f t="shared" si="52"/>
        <v>0</v>
      </c>
      <c r="H106" s="14">
        <f t="shared" si="52"/>
        <v>0</v>
      </c>
      <c r="I106" s="14">
        <f t="shared" si="52"/>
        <v>0</v>
      </c>
      <c r="J106" s="14">
        <f t="shared" si="52"/>
        <v>0</v>
      </c>
      <c r="K106" s="14">
        <f t="shared" si="52"/>
        <v>0</v>
      </c>
      <c r="L106" s="14">
        <f t="shared" si="52"/>
        <v>0</v>
      </c>
      <c r="M106" s="14">
        <f t="shared" si="52"/>
        <v>0</v>
      </c>
      <c r="N106" s="14">
        <f t="shared" si="52"/>
        <v>0</v>
      </c>
      <c r="O106" s="14">
        <f t="shared" si="52"/>
        <v>0</v>
      </c>
      <c r="P106" s="14">
        <f t="shared" si="52"/>
        <v>0</v>
      </c>
      <c r="Q106" s="14">
        <f t="shared" si="52"/>
        <v>0</v>
      </c>
      <c r="R106" s="14">
        <f t="shared" si="52"/>
        <v>0</v>
      </c>
      <c r="S106" s="14">
        <f t="shared" si="52"/>
        <v>0</v>
      </c>
      <c r="T106" s="14">
        <f t="shared" si="52"/>
        <v>0</v>
      </c>
      <c r="U106" s="14">
        <f t="shared" si="52"/>
        <v>0</v>
      </c>
      <c r="V106" s="14">
        <f t="shared" si="52"/>
        <v>0</v>
      </c>
      <c r="W106" s="14">
        <f t="shared" si="52"/>
        <v>0</v>
      </c>
      <c r="X106" s="14">
        <f t="shared" si="52"/>
        <v>0</v>
      </c>
      <c r="Y106" s="14">
        <f t="shared" si="52"/>
        <v>0</v>
      </c>
      <c r="Z106" s="14">
        <f t="shared" si="52"/>
        <v>0</v>
      </c>
      <c r="AA106" s="14">
        <f t="shared" si="52"/>
        <v>0</v>
      </c>
      <c r="AB106" s="14">
        <f t="shared" si="52"/>
        <v>0</v>
      </c>
      <c r="AC106" s="14">
        <f t="shared" si="52"/>
        <v>0</v>
      </c>
      <c r="AD106" s="14">
        <f t="shared" si="52"/>
        <v>0</v>
      </c>
      <c r="AE106" s="14">
        <f t="shared" si="52"/>
        <v>0</v>
      </c>
      <c r="AF106" s="14">
        <f t="shared" si="52"/>
        <v>0</v>
      </c>
      <c r="AG106" s="14">
        <f t="shared" si="52"/>
        <v>0</v>
      </c>
      <c r="AH106" s="14">
        <f t="shared" si="52"/>
        <v>0</v>
      </c>
      <c r="AI106" s="14">
        <f t="shared" si="52"/>
        <v>0</v>
      </c>
      <c r="AJ106" s="14">
        <f t="shared" si="52"/>
        <v>0</v>
      </c>
      <c r="AK106" s="14">
        <f t="shared" si="52"/>
        <v>0</v>
      </c>
      <c r="AL106" s="14">
        <f t="shared" si="52"/>
        <v>0</v>
      </c>
    </row>
    <row r="107" spans="1:54" ht="21" hidden="1" customHeight="1" outlineLevel="1" thickBot="1" x14ac:dyDescent="0.4">
      <c r="A107" s="5">
        <f t="shared" si="42"/>
        <v>0</v>
      </c>
      <c r="B107" s="5">
        <f t="shared" si="42"/>
        <v>0</v>
      </c>
      <c r="C107" s="5">
        <f t="shared" si="42"/>
        <v>0</v>
      </c>
      <c r="D107" s="5">
        <f t="shared" si="42"/>
        <v>0</v>
      </c>
      <c r="E107" s="6">
        <f t="shared" si="21"/>
        <v>0</v>
      </c>
      <c r="F107" s="14">
        <f t="shared" ref="F107:AL107" si="53">F31*$C$78</f>
        <v>0</v>
      </c>
      <c r="G107" s="14">
        <f t="shared" si="53"/>
        <v>0</v>
      </c>
      <c r="H107" s="14">
        <f t="shared" si="53"/>
        <v>0</v>
      </c>
      <c r="I107" s="14">
        <f t="shared" si="53"/>
        <v>0</v>
      </c>
      <c r="J107" s="14">
        <f t="shared" si="53"/>
        <v>0</v>
      </c>
      <c r="K107" s="14">
        <f t="shared" si="53"/>
        <v>0</v>
      </c>
      <c r="L107" s="14">
        <f t="shared" si="53"/>
        <v>0</v>
      </c>
      <c r="M107" s="14">
        <f t="shared" si="53"/>
        <v>0</v>
      </c>
      <c r="N107" s="14">
        <f t="shared" si="53"/>
        <v>0</v>
      </c>
      <c r="O107" s="14">
        <f t="shared" si="53"/>
        <v>0</v>
      </c>
      <c r="P107" s="14">
        <f t="shared" si="53"/>
        <v>0</v>
      </c>
      <c r="Q107" s="14">
        <f t="shared" si="53"/>
        <v>0</v>
      </c>
      <c r="R107" s="14">
        <f t="shared" si="53"/>
        <v>0</v>
      </c>
      <c r="S107" s="14">
        <f t="shared" si="53"/>
        <v>0</v>
      </c>
      <c r="T107" s="14">
        <f t="shared" si="53"/>
        <v>0</v>
      </c>
      <c r="U107" s="14">
        <f t="shared" si="53"/>
        <v>0</v>
      </c>
      <c r="V107" s="14">
        <f t="shared" si="53"/>
        <v>0</v>
      </c>
      <c r="W107" s="14">
        <f t="shared" si="53"/>
        <v>0</v>
      </c>
      <c r="X107" s="14">
        <f t="shared" si="53"/>
        <v>0</v>
      </c>
      <c r="Y107" s="14">
        <f t="shared" si="53"/>
        <v>0</v>
      </c>
      <c r="Z107" s="14">
        <f t="shared" si="53"/>
        <v>0</v>
      </c>
      <c r="AA107" s="14">
        <f t="shared" si="53"/>
        <v>0</v>
      </c>
      <c r="AB107" s="14">
        <f t="shared" si="53"/>
        <v>0</v>
      </c>
      <c r="AC107" s="14">
        <f t="shared" si="53"/>
        <v>0</v>
      </c>
      <c r="AD107" s="14">
        <f t="shared" si="53"/>
        <v>0</v>
      </c>
      <c r="AE107" s="14">
        <f t="shared" si="53"/>
        <v>0</v>
      </c>
      <c r="AF107" s="14">
        <f t="shared" si="53"/>
        <v>0</v>
      </c>
      <c r="AG107" s="14">
        <f t="shared" si="53"/>
        <v>0</v>
      </c>
      <c r="AH107" s="14">
        <f t="shared" si="53"/>
        <v>0</v>
      </c>
      <c r="AI107" s="14">
        <f t="shared" si="53"/>
        <v>0</v>
      </c>
      <c r="AJ107" s="14">
        <f t="shared" si="53"/>
        <v>0</v>
      </c>
      <c r="AK107" s="14">
        <f t="shared" si="53"/>
        <v>0</v>
      </c>
      <c r="AL107" s="14">
        <f t="shared" si="53"/>
        <v>0</v>
      </c>
    </row>
    <row r="108" spans="1:54" ht="21" hidden="1" customHeight="1" outlineLevel="1" thickBot="1" x14ac:dyDescent="0.4">
      <c r="A108" s="5">
        <f t="shared" si="42"/>
        <v>0</v>
      </c>
      <c r="B108" s="5">
        <f t="shared" si="42"/>
        <v>0</v>
      </c>
      <c r="C108" s="5">
        <f t="shared" si="42"/>
        <v>0</v>
      </c>
      <c r="D108" s="5">
        <f t="shared" si="42"/>
        <v>0</v>
      </c>
      <c r="E108" s="6">
        <f t="shared" si="21"/>
        <v>0</v>
      </c>
      <c r="F108" s="14">
        <f t="shared" ref="F108:AL108" si="54">F32*$C$78</f>
        <v>0</v>
      </c>
      <c r="G108" s="14">
        <f t="shared" si="54"/>
        <v>0</v>
      </c>
      <c r="H108" s="14">
        <f t="shared" si="54"/>
        <v>0</v>
      </c>
      <c r="I108" s="14">
        <f t="shared" si="54"/>
        <v>0</v>
      </c>
      <c r="J108" s="14">
        <f t="shared" si="54"/>
        <v>0</v>
      </c>
      <c r="K108" s="14">
        <f t="shared" si="54"/>
        <v>0</v>
      </c>
      <c r="L108" s="14">
        <f t="shared" si="54"/>
        <v>0</v>
      </c>
      <c r="M108" s="14">
        <f t="shared" si="54"/>
        <v>0</v>
      </c>
      <c r="N108" s="14">
        <f t="shared" si="54"/>
        <v>0</v>
      </c>
      <c r="O108" s="14">
        <f t="shared" si="54"/>
        <v>0</v>
      </c>
      <c r="P108" s="14">
        <f t="shared" si="54"/>
        <v>0</v>
      </c>
      <c r="Q108" s="14">
        <f t="shared" si="54"/>
        <v>0</v>
      </c>
      <c r="R108" s="14">
        <f t="shared" si="54"/>
        <v>0</v>
      </c>
      <c r="S108" s="14">
        <f t="shared" si="54"/>
        <v>0</v>
      </c>
      <c r="T108" s="14">
        <f t="shared" si="54"/>
        <v>0</v>
      </c>
      <c r="U108" s="14">
        <f t="shared" si="54"/>
        <v>0</v>
      </c>
      <c r="V108" s="14">
        <f t="shared" si="54"/>
        <v>0</v>
      </c>
      <c r="W108" s="14">
        <f t="shared" si="54"/>
        <v>0</v>
      </c>
      <c r="X108" s="14">
        <f t="shared" si="54"/>
        <v>0</v>
      </c>
      <c r="Y108" s="14">
        <f t="shared" si="54"/>
        <v>0</v>
      </c>
      <c r="Z108" s="14">
        <f t="shared" si="54"/>
        <v>0</v>
      </c>
      <c r="AA108" s="14">
        <f t="shared" si="54"/>
        <v>0</v>
      </c>
      <c r="AB108" s="14">
        <f t="shared" si="54"/>
        <v>0</v>
      </c>
      <c r="AC108" s="14">
        <f t="shared" si="54"/>
        <v>0</v>
      </c>
      <c r="AD108" s="14">
        <f t="shared" si="54"/>
        <v>0</v>
      </c>
      <c r="AE108" s="14">
        <f t="shared" si="54"/>
        <v>0</v>
      </c>
      <c r="AF108" s="14">
        <f t="shared" si="54"/>
        <v>0</v>
      </c>
      <c r="AG108" s="14">
        <f t="shared" si="54"/>
        <v>0</v>
      </c>
      <c r="AH108" s="14">
        <f t="shared" si="54"/>
        <v>0</v>
      </c>
      <c r="AI108" s="14">
        <f t="shared" si="54"/>
        <v>0</v>
      </c>
      <c r="AJ108" s="14">
        <f t="shared" si="54"/>
        <v>0</v>
      </c>
      <c r="AK108" s="14">
        <f t="shared" si="54"/>
        <v>0</v>
      </c>
      <c r="AL108" s="14">
        <f t="shared" si="54"/>
        <v>0</v>
      </c>
    </row>
    <row r="109" spans="1:54" ht="21" hidden="1" customHeight="1" outlineLevel="1" thickBot="1" x14ac:dyDescent="0.4">
      <c r="A109" s="5">
        <f t="shared" si="42"/>
        <v>0</v>
      </c>
      <c r="B109" s="5">
        <f t="shared" si="42"/>
        <v>0</v>
      </c>
      <c r="C109" s="5">
        <f t="shared" si="42"/>
        <v>0</v>
      </c>
      <c r="D109" s="5">
        <f t="shared" si="42"/>
        <v>0</v>
      </c>
      <c r="E109" s="6">
        <f t="shared" si="21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</row>
    <row r="111" spans="1:54" ht="21" customHeight="1" collapsed="1" x14ac:dyDescent="0.35"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</row>
    <row r="112" spans="1:54" ht="21" customHeight="1" thickBot="1" x14ac:dyDescent="0.45">
      <c r="A112" s="75"/>
      <c r="B112" s="75"/>
      <c r="C112" s="75"/>
      <c r="D112" s="75"/>
      <c r="E112" s="74" t="s">
        <v>24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9" ht="21" customHeight="1" outlineLevel="1" thickTop="1" thickBot="1" x14ac:dyDescent="0.4">
      <c r="A113" s="140" t="s">
        <v>10</v>
      </c>
      <c r="B113" s="141"/>
      <c r="C113" s="23" t="s">
        <v>11</v>
      </c>
      <c r="D113" s="15" t="s">
        <v>12</v>
      </c>
      <c r="E113" s="15"/>
      <c r="F113" s="4">
        <f t="shared" ref="F113:AL113" si="55">F3</f>
        <v>273.10000000000002</v>
      </c>
      <c r="G113" s="4">
        <f t="shared" si="55"/>
        <v>293.3</v>
      </c>
      <c r="H113" s="4">
        <f t="shared" si="55"/>
        <v>313.5</v>
      </c>
      <c r="I113" s="4">
        <f t="shared" si="55"/>
        <v>333.7</v>
      </c>
      <c r="J113" s="4">
        <f t="shared" si="55"/>
        <v>353.9</v>
      </c>
      <c r="K113" s="4">
        <f t="shared" si="55"/>
        <v>434.7</v>
      </c>
      <c r="L113" s="4">
        <f t="shared" si="55"/>
        <v>454.9</v>
      </c>
      <c r="M113" s="4">
        <f t="shared" si="55"/>
        <v>475.1</v>
      </c>
      <c r="N113" s="4">
        <f t="shared" si="55"/>
        <v>495.2</v>
      </c>
      <c r="O113" s="4">
        <f t="shared" si="55"/>
        <v>515.4</v>
      </c>
      <c r="P113" s="4">
        <f t="shared" si="55"/>
        <v>535.6</v>
      </c>
      <c r="Q113" s="4">
        <f t="shared" si="55"/>
        <v>555.79999999999995</v>
      </c>
      <c r="R113" s="4">
        <f t="shared" si="55"/>
        <v>576</v>
      </c>
      <c r="S113" s="4">
        <f t="shared" si="55"/>
        <v>596.20000000000005</v>
      </c>
      <c r="T113" s="4">
        <f t="shared" si="55"/>
        <v>616.4</v>
      </c>
      <c r="U113" s="4">
        <f t="shared" si="55"/>
        <v>636.6</v>
      </c>
      <c r="V113" s="4">
        <f t="shared" si="55"/>
        <v>656.8</v>
      </c>
      <c r="W113" s="4">
        <f t="shared" si="55"/>
        <v>677</v>
      </c>
      <c r="X113" s="4">
        <f t="shared" si="55"/>
        <v>757.7</v>
      </c>
      <c r="Y113" s="4">
        <f t="shared" si="55"/>
        <v>838.5</v>
      </c>
      <c r="Z113" s="4">
        <f t="shared" si="55"/>
        <v>919.2</v>
      </c>
      <c r="AA113" s="4">
        <f t="shared" si="55"/>
        <v>1000</v>
      </c>
      <c r="AB113" s="4">
        <f t="shared" si="55"/>
        <v>0</v>
      </c>
      <c r="AC113" s="4">
        <f t="shared" si="55"/>
        <v>0</v>
      </c>
      <c r="AD113" s="4">
        <f t="shared" si="55"/>
        <v>0</v>
      </c>
      <c r="AE113" s="4">
        <f t="shared" si="55"/>
        <v>0</v>
      </c>
      <c r="AF113" s="4">
        <f t="shared" si="55"/>
        <v>0</v>
      </c>
      <c r="AG113" s="4">
        <f t="shared" si="55"/>
        <v>0</v>
      </c>
      <c r="AH113" s="4">
        <f t="shared" si="55"/>
        <v>0</v>
      </c>
      <c r="AI113" s="4">
        <f t="shared" si="55"/>
        <v>0</v>
      </c>
      <c r="AJ113" s="4">
        <f t="shared" si="55"/>
        <v>0</v>
      </c>
      <c r="AK113" s="4">
        <f t="shared" si="55"/>
        <v>0</v>
      </c>
      <c r="AL113" s="4">
        <f t="shared" si="55"/>
        <v>0</v>
      </c>
    </row>
    <row r="114" spans="1:39" ht="21" customHeight="1" outlineLevel="1" thickTop="1" thickBot="1" x14ac:dyDescent="0.4">
      <c r="A114" s="21">
        <f>$A$2</f>
        <v>700</v>
      </c>
      <c r="B114" s="50">
        <f ca="1">MIN(MIN(F114:AL115),MIN(F41:AL41))</f>
        <v>-420.32313921787591</v>
      </c>
      <c r="C114" s="24">
        <f>COUNTA(E114:E121)+1</f>
        <v>5</v>
      </c>
      <c r="E114" s="17" t="s">
        <v>35</v>
      </c>
      <c r="F114" s="52">
        <f ca="1">F$113*$B$2*SUMPRODUCT(F$84:F$91,F$50:F$57)/1000</f>
        <v>-118.71261861858054</v>
      </c>
      <c r="G114" s="52">
        <f t="shared" ref="G114:AL114" ca="1" si="56">G$113*$B$2*SUMPRODUCT(G$84:G$91,G$50:G$57)/1000</f>
        <v>-120.7389420475556</v>
      </c>
      <c r="H114" s="52">
        <f t="shared" ca="1" si="56"/>
        <v>-123.10007850606294</v>
      </c>
      <c r="I114" s="52">
        <f t="shared" ca="1" si="56"/>
        <v>-125.88153060332675</v>
      </c>
      <c r="J114" s="52">
        <f t="shared" ca="1" si="56"/>
        <v>-129.25102128622936</v>
      </c>
      <c r="K114" s="52">
        <f t="shared" ca="1" si="56"/>
        <v>-146.08333058409522</v>
      </c>
      <c r="L114" s="52">
        <f t="shared" ca="1" si="56"/>
        <v>-151.18332469683455</v>
      </c>
      <c r="M114" s="52">
        <f t="shared" ca="1" si="56"/>
        <v>-157.05564013848053</v>
      </c>
      <c r="N114" s="52">
        <f t="shared" ca="1" si="56"/>
        <v>-163.80903002438845</v>
      </c>
      <c r="O114" s="52">
        <f t="shared" ca="1" si="56"/>
        <v>-171.43590274669373</v>
      </c>
      <c r="P114" s="52">
        <f t="shared" ca="1" si="56"/>
        <v>-179.80315444371192</v>
      </c>
      <c r="Q114" s="52">
        <f t="shared" ca="1" si="56"/>
        <v>-188.57811924408358</v>
      </c>
      <c r="R114" s="52">
        <f t="shared" ca="1" si="56"/>
        <v>-197.66919538194188</v>
      </c>
      <c r="S114" s="52">
        <f t="shared" ca="1" si="56"/>
        <v>-206.96207761380688</v>
      </c>
      <c r="T114" s="52">
        <f t="shared" ca="1" si="56"/>
        <v>-216.37127495349259</v>
      </c>
      <c r="U114" s="52">
        <f t="shared" ca="1" si="56"/>
        <v>-226.01883270381796</v>
      </c>
      <c r="V114" s="52">
        <f t="shared" ca="1" si="56"/>
        <v>-235.75052137219026</v>
      </c>
      <c r="W114" s="52">
        <f t="shared" ca="1" si="56"/>
        <v>-245.64072448759993</v>
      </c>
      <c r="X114" s="52">
        <f t="shared" ca="1" si="56"/>
        <v>-286.45356128246726</v>
      </c>
      <c r="Y114" s="52">
        <f t="shared" ca="1" si="56"/>
        <v>-329.31369783256116</v>
      </c>
      <c r="Z114" s="52">
        <f t="shared" ca="1" si="56"/>
        <v>-373.88882629028967</v>
      </c>
      <c r="AA114" s="52">
        <f t="shared" ca="1" si="56"/>
        <v>-420.32313921787591</v>
      </c>
      <c r="AB114" s="52">
        <f t="shared" ca="1" si="56"/>
        <v>0</v>
      </c>
      <c r="AC114" s="52">
        <f t="shared" ca="1" si="56"/>
        <v>0</v>
      </c>
      <c r="AD114" s="52">
        <f t="shared" ca="1" si="56"/>
        <v>0</v>
      </c>
      <c r="AE114" s="52">
        <f t="shared" ca="1" si="56"/>
        <v>0</v>
      </c>
      <c r="AF114" s="52">
        <f t="shared" ca="1" si="56"/>
        <v>0</v>
      </c>
      <c r="AG114" s="52">
        <f t="shared" ca="1" si="56"/>
        <v>0</v>
      </c>
      <c r="AH114" s="52">
        <f t="shared" ca="1" si="56"/>
        <v>0</v>
      </c>
      <c r="AI114" s="52">
        <f t="shared" ca="1" si="56"/>
        <v>0</v>
      </c>
      <c r="AJ114" s="52">
        <f t="shared" ca="1" si="56"/>
        <v>0</v>
      </c>
      <c r="AK114" s="52">
        <f t="shared" ca="1" si="56"/>
        <v>0</v>
      </c>
      <c r="AL114" s="52">
        <f t="shared" ca="1" si="56"/>
        <v>0</v>
      </c>
    </row>
    <row r="115" spans="1:39" ht="21" customHeight="1" outlineLevel="1" thickBot="1" x14ac:dyDescent="0.4">
      <c r="A115" s="22">
        <f>$A$114</f>
        <v>700</v>
      </c>
      <c r="B115" s="51">
        <f ca="1">MAX(MAX(F114:AL115),MAX(F41:AL41))</f>
        <v>32</v>
      </c>
      <c r="C115" s="25">
        <f xml:space="preserve"> COUNTIF(F113:AL113,"&lt;&gt;"&amp;0)</f>
        <v>22</v>
      </c>
      <c r="E115" s="17" t="s">
        <v>14</v>
      </c>
      <c r="F115" s="14">
        <v>0</v>
      </c>
      <c r="G115" s="14">
        <v>1</v>
      </c>
      <c r="H115" s="14">
        <v>2</v>
      </c>
      <c r="I115" s="14">
        <v>3</v>
      </c>
      <c r="J115" s="14">
        <v>4</v>
      </c>
      <c r="K115" s="14">
        <v>5</v>
      </c>
      <c r="L115" s="14">
        <v>6</v>
      </c>
      <c r="M115" s="14">
        <v>7</v>
      </c>
      <c r="N115" s="14">
        <v>8</v>
      </c>
      <c r="O115" s="14">
        <v>9</v>
      </c>
      <c r="P115" s="14">
        <v>10</v>
      </c>
      <c r="Q115" s="14">
        <v>11</v>
      </c>
      <c r="R115" s="14">
        <v>12</v>
      </c>
      <c r="S115" s="14">
        <v>13</v>
      </c>
      <c r="T115" s="14">
        <v>14</v>
      </c>
      <c r="U115" s="14">
        <v>15</v>
      </c>
      <c r="V115" s="14">
        <v>16</v>
      </c>
      <c r="W115" s="14">
        <v>17</v>
      </c>
      <c r="X115" s="14">
        <v>18</v>
      </c>
      <c r="Y115" s="14">
        <v>19</v>
      </c>
      <c r="Z115" s="14">
        <v>20</v>
      </c>
      <c r="AA115" s="14">
        <v>21</v>
      </c>
      <c r="AB115" s="14">
        <v>22</v>
      </c>
      <c r="AC115" s="14">
        <v>23</v>
      </c>
      <c r="AD115" s="14">
        <v>24</v>
      </c>
      <c r="AE115" s="14">
        <v>25</v>
      </c>
      <c r="AF115" s="14">
        <v>26</v>
      </c>
      <c r="AG115" s="14">
        <v>27</v>
      </c>
      <c r="AH115" s="14">
        <v>28</v>
      </c>
      <c r="AI115" s="14">
        <v>29</v>
      </c>
      <c r="AJ115" s="14">
        <v>30</v>
      </c>
      <c r="AK115" s="14">
        <v>31</v>
      </c>
      <c r="AL115" s="14">
        <v>32</v>
      </c>
    </row>
    <row r="116" spans="1:39" ht="21" customHeight="1" outlineLevel="1" thickBot="1" x14ac:dyDescent="0.4">
      <c r="E116" s="17" t="s">
        <v>15</v>
      </c>
      <c r="F116" s="14">
        <f ca="1">F$113*$B$2*SUMPRODUCT(F$83,F$49)/1000</f>
        <v>-26.425154293125008</v>
      </c>
      <c r="G116" s="14">
        <f t="shared" ref="G116:AL116" ca="1" si="57">G$113*$B$2*SUMPRODUCT(G$83,G$49)/1000</f>
        <v>-28.364464649062501</v>
      </c>
      <c r="H116" s="14">
        <f t="shared" ca="1" si="57"/>
        <v>-30.317966817187507</v>
      </c>
      <c r="I116" s="14">
        <f t="shared" ca="1" si="57"/>
        <v>-32.3061508434375</v>
      </c>
      <c r="J116" s="14">
        <f t="shared" ca="1" si="57"/>
        <v>-34.298533692187497</v>
      </c>
      <c r="K116" s="14">
        <f t="shared" ca="1" si="57"/>
        <v>-42.400411140937507</v>
      </c>
      <c r="L116" s="14">
        <f t="shared" ca="1" si="57"/>
        <v>-44.465265250312498</v>
      </c>
      <c r="M116" s="14">
        <f t="shared" ca="1" si="57"/>
        <v>-46.513828136250005</v>
      </c>
      <c r="N116" s="14">
        <f t="shared" ca="1" si="57"/>
        <v>-48.58461672</v>
      </c>
      <c r="O116" s="14">
        <f t="shared" ca="1" si="57"/>
        <v>-50.700376355625004</v>
      </c>
      <c r="P116" s="14">
        <f t="shared" ca="1" si="57"/>
        <v>-52.798800258749999</v>
      </c>
      <c r="Q116" s="14">
        <f t="shared" ca="1" si="57"/>
        <v>-54.905621806875004</v>
      </c>
      <c r="R116" s="14">
        <f t="shared" ca="1" si="57"/>
        <v>-57.020840999999997</v>
      </c>
      <c r="S116" s="14">
        <f t="shared" ca="1" si="57"/>
        <v>-59.144457838125021</v>
      </c>
      <c r="T116" s="14">
        <f t="shared" ca="1" si="57"/>
        <v>-61.30850393250001</v>
      </c>
      <c r="U116" s="14">
        <f t="shared" ca="1" si="57"/>
        <v>-63.44996576625001</v>
      </c>
      <c r="V116" s="14">
        <f t="shared" ca="1" si="57"/>
        <v>-65.599825245000005</v>
      </c>
      <c r="W116" s="14">
        <f t="shared" ca="1" si="57"/>
        <v>-67.75808236875001</v>
      </c>
      <c r="X116" s="14">
        <f t="shared" ca="1" si="57"/>
        <v>-76.50436994343751</v>
      </c>
      <c r="Y116" s="14">
        <f t="shared" ca="1" si="57"/>
        <v>-85.359852885937514</v>
      </c>
      <c r="Z116" s="14">
        <f t="shared" ca="1" si="57"/>
        <v>-94.291668134999995</v>
      </c>
      <c r="AA116" s="14">
        <f t="shared" ca="1" si="57"/>
        <v>-103.30766249999999</v>
      </c>
      <c r="AB116" s="14">
        <f t="shared" ca="1" si="57"/>
        <v>0</v>
      </c>
      <c r="AC116" s="14">
        <f t="shared" ca="1" si="57"/>
        <v>0</v>
      </c>
      <c r="AD116" s="14">
        <f t="shared" ca="1" si="57"/>
        <v>0</v>
      </c>
      <c r="AE116" s="14">
        <f t="shared" ca="1" si="57"/>
        <v>0</v>
      </c>
      <c r="AF116" s="14">
        <f t="shared" ca="1" si="57"/>
        <v>0</v>
      </c>
      <c r="AG116" s="14">
        <f t="shared" ca="1" si="57"/>
        <v>0</v>
      </c>
      <c r="AH116" s="14">
        <f t="shared" ca="1" si="57"/>
        <v>0</v>
      </c>
      <c r="AI116" s="14">
        <f t="shared" ca="1" si="57"/>
        <v>0</v>
      </c>
      <c r="AJ116" s="14">
        <f t="shared" ca="1" si="57"/>
        <v>0</v>
      </c>
      <c r="AK116" s="14">
        <f t="shared" ca="1" si="57"/>
        <v>0</v>
      </c>
      <c r="AL116" s="14">
        <f t="shared" ca="1" si="57"/>
        <v>0</v>
      </c>
    </row>
    <row r="117" spans="1:39" ht="21" customHeight="1" outlineLevel="1" thickBot="1" x14ac:dyDescent="0.4">
      <c r="E117" s="17" t="s">
        <v>36</v>
      </c>
      <c r="F117" s="14">
        <f ca="1">F115+F114</f>
        <v>-118.71261861858054</v>
      </c>
      <c r="G117" s="14">
        <f t="shared" ref="G117:AL117" ca="1" si="58">G115+G114</f>
        <v>-119.7389420475556</v>
      </c>
      <c r="H117" s="14">
        <f t="shared" ca="1" si="58"/>
        <v>-121.10007850606294</v>
      </c>
      <c r="I117" s="14">
        <f t="shared" ca="1" si="58"/>
        <v>-122.88153060332675</v>
      </c>
      <c r="J117" s="14">
        <f t="shared" ca="1" si="58"/>
        <v>-125.25102128622936</v>
      </c>
      <c r="K117" s="14">
        <f t="shared" ca="1" si="58"/>
        <v>-141.08333058409522</v>
      </c>
      <c r="L117" s="14">
        <f t="shared" ca="1" si="58"/>
        <v>-145.18332469683455</v>
      </c>
      <c r="M117" s="14">
        <f t="shared" ca="1" si="58"/>
        <v>-150.05564013848053</v>
      </c>
      <c r="N117" s="14">
        <f t="shared" ca="1" si="58"/>
        <v>-155.80903002438845</v>
      </c>
      <c r="O117" s="14">
        <f t="shared" ca="1" si="58"/>
        <v>-162.43590274669373</v>
      </c>
      <c r="P117" s="14">
        <f t="shared" ca="1" si="58"/>
        <v>-169.80315444371192</v>
      </c>
      <c r="Q117" s="14">
        <f t="shared" ca="1" si="58"/>
        <v>-177.57811924408358</v>
      </c>
      <c r="R117" s="14">
        <f t="shared" ca="1" si="58"/>
        <v>-185.66919538194188</v>
      </c>
      <c r="S117" s="14">
        <f t="shared" ca="1" si="58"/>
        <v>-193.96207761380688</v>
      </c>
      <c r="T117" s="14">
        <f t="shared" ca="1" si="58"/>
        <v>-202.37127495349259</v>
      </c>
      <c r="U117" s="14">
        <f t="shared" ca="1" si="58"/>
        <v>-211.01883270381796</v>
      </c>
      <c r="V117" s="14">
        <f t="shared" ca="1" si="58"/>
        <v>-219.75052137219026</v>
      </c>
      <c r="W117" s="14">
        <f t="shared" ca="1" si="58"/>
        <v>-228.64072448759993</v>
      </c>
      <c r="X117" s="14">
        <f t="shared" ca="1" si="58"/>
        <v>-268.45356128246726</v>
      </c>
      <c r="Y117" s="14">
        <f t="shared" ca="1" si="58"/>
        <v>-310.31369783256116</v>
      </c>
      <c r="Z117" s="14">
        <f t="shared" ca="1" si="58"/>
        <v>-353.88882629028967</v>
      </c>
      <c r="AA117" s="14">
        <f t="shared" ca="1" si="58"/>
        <v>-399.32313921787591</v>
      </c>
      <c r="AB117" s="14">
        <f t="shared" ca="1" si="58"/>
        <v>22</v>
      </c>
      <c r="AC117" s="14">
        <f t="shared" ca="1" si="58"/>
        <v>23</v>
      </c>
      <c r="AD117" s="14">
        <f t="shared" ca="1" si="58"/>
        <v>24</v>
      </c>
      <c r="AE117" s="14">
        <f t="shared" ca="1" si="58"/>
        <v>25</v>
      </c>
      <c r="AF117" s="14">
        <f t="shared" ca="1" si="58"/>
        <v>26</v>
      </c>
      <c r="AG117" s="14">
        <f t="shared" ca="1" si="58"/>
        <v>27</v>
      </c>
      <c r="AH117" s="14">
        <f t="shared" ca="1" si="58"/>
        <v>28</v>
      </c>
      <c r="AI117" s="14">
        <f t="shared" ca="1" si="58"/>
        <v>29</v>
      </c>
      <c r="AJ117" s="14">
        <f t="shared" ca="1" si="58"/>
        <v>30</v>
      </c>
      <c r="AK117" s="14">
        <f t="shared" ca="1" si="58"/>
        <v>31</v>
      </c>
      <c r="AL117" s="14">
        <f t="shared" ca="1" si="58"/>
        <v>32</v>
      </c>
    </row>
    <row r="118" spans="1:39" ht="21" customHeight="1" outlineLevel="1" x14ac:dyDescent="0.35"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</row>
    <row r="119" spans="1:39" ht="21" customHeight="1" outlineLevel="1" x14ac:dyDescent="0.35"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</row>
    <row r="120" spans="1:39" ht="21" customHeight="1" outlineLevel="1" x14ac:dyDescent="0.35"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</row>
    <row r="121" spans="1:39" ht="21" customHeight="1" outlineLevel="1" thickBot="1" x14ac:dyDescent="0.4"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</row>
    <row r="122" spans="1:39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293.3</v>
      </c>
      <c r="H122" s="4">
        <f ca="1"/>
        <v>313.5</v>
      </c>
      <c r="I122" s="4">
        <f ca="1"/>
        <v>333.7</v>
      </c>
      <c r="J122" s="4">
        <f ca="1"/>
        <v>353.9</v>
      </c>
      <c r="K122" s="4">
        <f ca="1"/>
        <v>434.7</v>
      </c>
      <c r="L122" s="4">
        <f ca="1"/>
        <v>454.9</v>
      </c>
      <c r="M122" s="4">
        <f ca="1"/>
        <v>475.1</v>
      </c>
      <c r="N122" s="4">
        <f ca="1"/>
        <v>495.2</v>
      </c>
      <c r="O122" s="4">
        <f ca="1"/>
        <v>515.4</v>
      </c>
      <c r="P122" s="4">
        <f ca="1"/>
        <v>535.6</v>
      </c>
      <c r="Q122" s="4">
        <f ca="1"/>
        <v>555.79999999999995</v>
      </c>
      <c r="R122" s="4">
        <f ca="1"/>
        <v>576</v>
      </c>
      <c r="S122" s="4">
        <f ca="1"/>
        <v>596.20000000000005</v>
      </c>
      <c r="T122" s="20">
        <f ca="1"/>
        <v>616.4</v>
      </c>
      <c r="U122" s="65">
        <f ca="1"/>
        <v>636.6</v>
      </c>
      <c r="V122" s="66">
        <f ca="1"/>
        <v>656.8</v>
      </c>
      <c r="W122" s="68">
        <f ca="1"/>
        <v>677</v>
      </c>
      <c r="X122" s="62">
        <f ca="1"/>
        <v>757.7</v>
      </c>
      <c r="Y122" s="4">
        <f ca="1"/>
        <v>838.5</v>
      </c>
      <c r="Z122" s="4">
        <f ca="1"/>
        <v>919.2</v>
      </c>
      <c r="AA122" s="4">
        <f ca="1"/>
        <v>1000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9" ht="21" customHeight="1" outlineLevel="1" thickTop="1" thickBot="1" x14ac:dyDescent="0.4">
      <c r="E123" s="17" t="str">
        <f ca="1"/>
        <v xml:space="preserve">Раствор 1(тв): </v>
      </c>
      <c r="F123" s="55">
        <f ca="1"/>
        <v>-118.71261861858054</v>
      </c>
      <c r="G123" s="55">
        <f ca="1"/>
        <v>-120.7389420475556</v>
      </c>
      <c r="H123" s="55">
        <f ca="1"/>
        <v>-123.10007850606294</v>
      </c>
      <c r="I123" s="55">
        <f ca="1"/>
        <v>-125.88153060332675</v>
      </c>
      <c r="J123" s="55">
        <f ca="1"/>
        <v>-129.25102128622936</v>
      </c>
      <c r="K123" s="55">
        <f ca="1"/>
        <v>-146.08333058409522</v>
      </c>
      <c r="L123" s="55">
        <f ca="1"/>
        <v>-151.18332469683455</v>
      </c>
      <c r="M123" s="55">
        <f ca="1"/>
        <v>-157.05564013848053</v>
      </c>
      <c r="N123" s="55">
        <f ca="1"/>
        <v>-163.80903002438845</v>
      </c>
      <c r="O123" s="55">
        <f ca="1"/>
        <v>-171.43590274669373</v>
      </c>
      <c r="P123" s="55">
        <f ca="1"/>
        <v>-179.80315444371192</v>
      </c>
      <c r="Q123" s="55">
        <f ca="1"/>
        <v>-188.57811924408358</v>
      </c>
      <c r="R123" s="55">
        <f ca="1"/>
        <v>-197.66919538194188</v>
      </c>
      <c r="S123" s="55">
        <f ca="1"/>
        <v>-206.96207761380688</v>
      </c>
      <c r="T123" s="55">
        <f ca="1"/>
        <v>-216.37127495349259</v>
      </c>
      <c r="U123" s="55">
        <f ca="1"/>
        <v>-226.01883270381796</v>
      </c>
      <c r="V123" s="55">
        <f ca="1"/>
        <v>-235.75052137219026</v>
      </c>
      <c r="W123" s="55">
        <f ca="1"/>
        <v>-245.64072448759993</v>
      </c>
      <c r="X123" s="55">
        <f ca="1"/>
        <v>-286.45356128246726</v>
      </c>
      <c r="Y123" s="55">
        <f ca="1"/>
        <v>-329.31369783256116</v>
      </c>
      <c r="Z123" s="55">
        <f ca="1"/>
        <v>-373.88882629028967</v>
      </c>
      <c r="AA123" s="55">
        <f ca="1"/>
        <v>-420.32313921787591</v>
      </c>
      <c r="AB123" s="55" t="e">
        <f ca="1"/>
        <v>#N/A</v>
      </c>
      <c r="AC123" s="55" t="e">
        <f ca="1"/>
        <v>#N/A</v>
      </c>
      <c r="AD123" s="55" t="e">
        <f ca="1"/>
        <v>#N/A</v>
      </c>
      <c r="AE123" s="55" t="e">
        <f ca="1"/>
        <v>#N/A</v>
      </c>
      <c r="AF123" s="55" t="e">
        <f ca="1"/>
        <v>#N/A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9" ht="21" customHeight="1" outlineLevel="1" thickBot="1" x14ac:dyDescent="0.4">
      <c r="E124" s="17" t="str">
        <f ca="1"/>
        <v xml:space="preserve">Газовая без Ar: </v>
      </c>
      <c r="F124" s="55">
        <f ca="1"/>
        <v>0</v>
      </c>
      <c r="G124" s="55">
        <f ca="1"/>
        <v>1</v>
      </c>
      <c r="H124" s="55">
        <f ca="1"/>
        <v>2</v>
      </c>
      <c r="I124" s="55">
        <f ca="1"/>
        <v>3</v>
      </c>
      <c r="J124" s="55">
        <f ca="1"/>
        <v>4</v>
      </c>
      <c r="K124" s="55">
        <f ca="1"/>
        <v>5</v>
      </c>
      <c r="L124" s="55">
        <f ca="1"/>
        <v>6</v>
      </c>
      <c r="M124" s="55">
        <f ca="1"/>
        <v>7</v>
      </c>
      <c r="N124" s="55">
        <f ca="1"/>
        <v>8</v>
      </c>
      <c r="O124" s="55">
        <f ca="1"/>
        <v>9</v>
      </c>
      <c r="P124" s="55">
        <f ca="1"/>
        <v>10</v>
      </c>
      <c r="Q124" s="55">
        <f ca="1"/>
        <v>11</v>
      </c>
      <c r="R124" s="55">
        <f ca="1"/>
        <v>12</v>
      </c>
      <c r="S124" s="55">
        <f ca="1"/>
        <v>13</v>
      </c>
      <c r="T124" s="55">
        <f ca="1"/>
        <v>14</v>
      </c>
      <c r="U124" s="55">
        <f ca="1"/>
        <v>15</v>
      </c>
      <c r="V124" s="55">
        <f ca="1"/>
        <v>16</v>
      </c>
      <c r="W124" s="55">
        <f ca="1"/>
        <v>17</v>
      </c>
      <c r="X124" s="55">
        <f ca="1"/>
        <v>18</v>
      </c>
      <c r="Y124" s="55">
        <f ca="1"/>
        <v>19</v>
      </c>
      <c r="Z124" s="55">
        <f ca="1"/>
        <v>20</v>
      </c>
      <c r="AA124" s="55">
        <f ca="1"/>
        <v>21</v>
      </c>
      <c r="AB124" s="55" t="e">
        <f ca="1"/>
        <v>#N/A</v>
      </c>
      <c r="AC124" s="55" t="e">
        <f ca="1"/>
        <v>#N/A</v>
      </c>
      <c r="AD124" s="55" t="e">
        <f ca="1"/>
        <v>#N/A</v>
      </c>
      <c r="AE124" s="55" t="e">
        <f ca="1"/>
        <v>#N/A</v>
      </c>
      <c r="AF124" s="55" t="e">
        <f ca="1"/>
        <v>#N/A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9" ht="21" customHeight="1" outlineLevel="1" thickBot="1" x14ac:dyDescent="0.4">
      <c r="E125" s="17" t="str">
        <f ca="1"/>
        <v xml:space="preserve">Газовая: </v>
      </c>
      <c r="F125" s="55">
        <f ca="1"/>
        <v>-26.425154293125008</v>
      </c>
      <c r="G125" s="55">
        <f ca="1"/>
        <v>-28.364464649062501</v>
      </c>
      <c r="H125" s="55">
        <f ca="1"/>
        <v>-30.317966817187507</v>
      </c>
      <c r="I125" s="55">
        <f ca="1"/>
        <v>-32.3061508434375</v>
      </c>
      <c r="J125" s="55">
        <f ca="1"/>
        <v>-34.298533692187497</v>
      </c>
      <c r="K125" s="55">
        <f ca="1"/>
        <v>-42.400411140937507</v>
      </c>
      <c r="L125" s="55">
        <f ca="1"/>
        <v>-44.465265250312498</v>
      </c>
      <c r="M125" s="55">
        <f ca="1"/>
        <v>-46.513828136250005</v>
      </c>
      <c r="N125" s="55">
        <f ca="1"/>
        <v>-48.58461672</v>
      </c>
      <c r="O125" s="55">
        <f ca="1"/>
        <v>-50.700376355625004</v>
      </c>
      <c r="P125" s="55">
        <f ca="1"/>
        <v>-52.798800258749999</v>
      </c>
      <c r="Q125" s="55">
        <f ca="1"/>
        <v>-54.905621806875004</v>
      </c>
      <c r="R125" s="55">
        <f ca="1"/>
        <v>-57.020840999999997</v>
      </c>
      <c r="S125" s="55">
        <f ca="1"/>
        <v>-59.144457838125021</v>
      </c>
      <c r="T125" s="55">
        <f ca="1"/>
        <v>-61.30850393250001</v>
      </c>
      <c r="U125" s="55">
        <f ca="1"/>
        <v>-63.44996576625001</v>
      </c>
      <c r="V125" s="55">
        <f ca="1"/>
        <v>-65.599825245000005</v>
      </c>
      <c r="W125" s="55">
        <f ca="1"/>
        <v>-67.75808236875001</v>
      </c>
      <c r="X125" s="55">
        <f ca="1"/>
        <v>-76.50436994343751</v>
      </c>
      <c r="Y125" s="55">
        <f ca="1"/>
        <v>-85.359852885937514</v>
      </c>
      <c r="Z125" s="55">
        <f ca="1"/>
        <v>-94.291668134999995</v>
      </c>
      <c r="AA125" s="55">
        <f ca="1"/>
        <v>-103.30766249999999</v>
      </c>
      <c r="AB125" s="55" t="e">
        <f ca="1"/>
        <v>#N/A</v>
      </c>
      <c r="AC125" s="55" t="e">
        <f ca="1"/>
        <v>#N/A</v>
      </c>
      <c r="AD125" s="55" t="e">
        <f ca="1"/>
        <v>#N/A</v>
      </c>
      <c r="AE125" s="55" t="e">
        <f ca="1"/>
        <v>#N/A</v>
      </c>
      <c r="AF125" s="55" t="e">
        <f ca="1"/>
        <v>#N/A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9" ht="21" customHeight="1" outlineLevel="1" thickBot="1" x14ac:dyDescent="0.4">
      <c r="E126" s="17" t="str">
        <f ca="1"/>
        <v xml:space="preserve">Раствор 1 + газовая без Ar: </v>
      </c>
      <c r="F126" s="55">
        <f ca="1"/>
        <v>-118.71261861858054</v>
      </c>
      <c r="G126" s="55">
        <f ca="1"/>
        <v>-119.7389420475556</v>
      </c>
      <c r="H126" s="55">
        <f ca="1"/>
        <v>-121.10007850606294</v>
      </c>
      <c r="I126" s="55">
        <f ca="1"/>
        <v>-122.88153060332675</v>
      </c>
      <c r="J126" s="55">
        <f ca="1"/>
        <v>-125.25102128622936</v>
      </c>
      <c r="K126" s="55">
        <f ca="1"/>
        <v>-141.08333058409522</v>
      </c>
      <c r="L126" s="55">
        <f ca="1"/>
        <v>-145.18332469683455</v>
      </c>
      <c r="M126" s="55">
        <f ca="1"/>
        <v>-150.05564013848053</v>
      </c>
      <c r="N126" s="55">
        <f ca="1"/>
        <v>-155.80903002438845</v>
      </c>
      <c r="O126" s="55">
        <f ca="1"/>
        <v>-162.43590274669373</v>
      </c>
      <c r="P126" s="55">
        <f ca="1"/>
        <v>-169.80315444371192</v>
      </c>
      <c r="Q126" s="55">
        <f ca="1"/>
        <v>-177.57811924408358</v>
      </c>
      <c r="R126" s="55">
        <f ca="1"/>
        <v>-185.66919538194188</v>
      </c>
      <c r="S126" s="55">
        <f ca="1"/>
        <v>-193.96207761380688</v>
      </c>
      <c r="T126" s="55">
        <f ca="1"/>
        <v>-202.37127495349259</v>
      </c>
      <c r="U126" s="55">
        <f ca="1"/>
        <v>-211.01883270381796</v>
      </c>
      <c r="V126" s="55">
        <f ca="1"/>
        <v>-219.75052137219026</v>
      </c>
      <c r="W126" s="55">
        <f ca="1"/>
        <v>-228.64072448759993</v>
      </c>
      <c r="X126" s="55">
        <f ca="1"/>
        <v>-268.45356128246726</v>
      </c>
      <c r="Y126" s="55">
        <f ca="1"/>
        <v>-310.31369783256116</v>
      </c>
      <c r="Z126" s="55">
        <f ca="1"/>
        <v>-353.88882629028967</v>
      </c>
      <c r="AA126" s="55">
        <f ca="1"/>
        <v>-399.32313921787591</v>
      </c>
      <c r="AB126" s="55" t="e">
        <f ca="1"/>
        <v>#N/A</v>
      </c>
      <c r="AC126" s="55" t="e">
        <f ca="1"/>
        <v>#N/A</v>
      </c>
      <c r="AD126" s="55" t="e">
        <f ca="1"/>
        <v>#N/A</v>
      </c>
      <c r="AE126" s="55" t="e">
        <f ca="1"/>
        <v>#N/A</v>
      </c>
      <c r="AF126" s="55" t="e">
        <f ca="1"/>
        <v>#N/A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9" ht="21" customHeight="1" outlineLevel="1" thickBot="1" x14ac:dyDescent="0.4">
      <c r="E127" s="17" t="e">
        <f ca="1"/>
        <v>#N/A</v>
      </c>
      <c r="F127" s="55" t="e">
        <f ca="1"/>
        <v>#N/A</v>
      </c>
      <c r="G127" s="55" t="e">
        <f ca="1"/>
        <v>#N/A</v>
      </c>
      <c r="H127" s="55" t="e">
        <f ca="1"/>
        <v>#N/A</v>
      </c>
      <c r="I127" s="55" t="e">
        <f ca="1"/>
        <v>#N/A</v>
      </c>
      <c r="J127" s="55" t="e">
        <f ca="1"/>
        <v>#N/A</v>
      </c>
      <c r="K127" s="55" t="e">
        <f ca="1"/>
        <v>#N/A</v>
      </c>
      <c r="L127" s="55" t="e">
        <f ca="1"/>
        <v>#N/A</v>
      </c>
      <c r="M127" s="55" t="e">
        <f ca="1"/>
        <v>#N/A</v>
      </c>
      <c r="N127" s="55" t="e">
        <f ca="1"/>
        <v>#N/A</v>
      </c>
      <c r="O127" s="55" t="e">
        <f ca="1"/>
        <v>#N/A</v>
      </c>
      <c r="P127" s="55" t="e">
        <f ca="1"/>
        <v>#N/A</v>
      </c>
      <c r="Q127" s="55" t="e">
        <f ca="1"/>
        <v>#N/A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9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13:B113"/>
    <mergeCell ref="A1:BB1"/>
  </mergeCells>
  <conditionalFormatting sqref="A4:D33">
    <cfRule type="cellIs" dxfId="12" priority="66" operator="equal">
      <formula>0</formula>
    </cfRule>
  </conditionalFormatting>
  <conditionalFormatting sqref="A80:D109">
    <cfRule type="cellIs" dxfId="11" priority="64" operator="equal">
      <formula>0</formula>
    </cfRule>
  </conditionalFormatting>
  <conditionalFormatting sqref="F32:AL32">
    <cfRule type="colorScale" priority="52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AK7">
    <cfRule type="colorScale" priority="25">
      <colorScale>
        <cfvo type="min"/>
        <cfvo type="max"/>
        <color rgb="FFFFEF9C"/>
        <color rgb="FF63BE7B"/>
      </colorScale>
    </cfRule>
  </conditionalFormatting>
  <conditionalFormatting sqref="F4:AK4">
    <cfRule type="colorScale" priority="24">
      <colorScale>
        <cfvo type="min"/>
        <cfvo type="max"/>
        <color rgb="FFFFEF9C"/>
        <color rgb="FF63BE7B"/>
      </colorScale>
    </cfRule>
  </conditionalFormatting>
  <conditionalFormatting sqref="F5:AK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AK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AK8">
    <cfRule type="colorScale" priority="19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AK9">
    <cfRule type="colorScale" priority="18">
      <colorScale>
        <cfvo type="min"/>
        <cfvo type="max"/>
        <color rgb="FFFFEF9C"/>
        <color rgb="FF63BE7B"/>
      </colorScale>
    </cfRule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AK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AK11">
    <cfRule type="colorScale" priority="16">
      <colorScale>
        <cfvo type="min"/>
        <cfvo type="max"/>
        <color rgb="FFFFEF9C"/>
        <color rgb="FF63BE7B"/>
      </colorScale>
    </cfRule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AK12">
    <cfRule type="colorScale" priority="15">
      <colorScale>
        <cfvo type="min"/>
        <cfvo type="max"/>
        <color rgb="FFFFEF9C"/>
        <color rgb="FF63BE7B"/>
      </colorScale>
    </cfRule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AK13">
    <cfRule type="colorScale" priority="14">
      <colorScale>
        <cfvo type="min"/>
        <cfvo type="max"/>
        <color rgb="FFFFEF9C"/>
        <color rgb="FF63BE7B"/>
      </colorScale>
    </cfRule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AK14">
    <cfRule type="colorScale" priority="13">
      <colorScale>
        <cfvo type="min"/>
        <cfvo type="max"/>
        <color rgb="FFFFEF9C"/>
        <color rgb="FF63BE7B"/>
      </colorScale>
    </cfRule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AK15">
    <cfRule type="colorScale" priority="12">
      <colorScale>
        <cfvo type="min"/>
        <cfvo type="max"/>
        <color rgb="FFFFEF9C"/>
        <color rgb="FF63BE7B"/>
      </colorScale>
    </cfRule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AK16">
    <cfRule type="colorScale" priority="11">
      <colorScale>
        <cfvo type="min"/>
        <cfvo type="max"/>
        <color rgb="FFFFEF9C"/>
        <color rgb="FF63BE7B"/>
      </colorScale>
    </cfRule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AK17">
    <cfRule type="colorScale" priority="10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AK18">
    <cfRule type="colorScale" priority="9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AK19">
    <cfRule type="colorScale" priority="8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10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19D5A7E-518A-40C7-85F9-06AF713815A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ALL!F29:AK29</xm:f>
              <xm:sqref>AL29</xm:sqref>
            </x14:sparkline>
            <x14:sparkline>
              <xm:f>ALL!F30:AK30</xm:f>
              <xm:sqref>AL30</xm:sqref>
            </x14:sparkline>
            <x14:sparkline>
              <xm:f>ALL!F31:AK31</xm:f>
              <xm:sqref>AL31</xm:sqref>
            </x14:sparkline>
            <x14:sparkline>
              <xm:f>ALL!F32:AK32</xm:f>
              <xm:sqref>AL32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BB136"/>
  <sheetViews>
    <sheetView topLeftCell="A44" zoomScale="85" zoomScaleNormal="85" zoomScaleSheetLayoutView="25" workbookViewId="0">
      <selection activeCell="AY114" sqref="AY114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143" t="s">
        <v>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/>
      <c r="AT1" s="143"/>
      <c r="AU1" s="143"/>
      <c r="AV1" s="143"/>
      <c r="AW1" s="143"/>
      <c r="AX1" s="143"/>
      <c r="AY1" s="143"/>
      <c r="AZ1" s="143"/>
      <c r="BA1" s="143"/>
      <c r="BB1" s="143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20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 t="s">
        <v>79</v>
      </c>
      <c r="F3" s="3">
        <v>273.10000000000002</v>
      </c>
      <c r="G3" s="3">
        <v>353.9</v>
      </c>
      <c r="H3" s="3">
        <v>434.7</v>
      </c>
      <c r="I3" s="3">
        <v>515.4</v>
      </c>
      <c r="J3" s="3">
        <v>596.20000000000005</v>
      </c>
      <c r="K3" s="3">
        <v>616.4</v>
      </c>
      <c r="L3" s="3">
        <v>636.6</v>
      </c>
      <c r="M3" s="3">
        <v>656.8</v>
      </c>
      <c r="N3" s="3">
        <v>677</v>
      </c>
      <c r="O3" s="3">
        <v>697.1</v>
      </c>
      <c r="P3" s="3">
        <v>717.3</v>
      </c>
      <c r="Q3" s="3">
        <v>737.5</v>
      </c>
      <c r="R3" s="3">
        <v>757.7</v>
      </c>
      <c r="S3" s="3">
        <v>777.9</v>
      </c>
      <c r="T3" s="3">
        <v>798.1</v>
      </c>
      <c r="U3" s="3">
        <v>818.3</v>
      </c>
      <c r="V3" s="3">
        <v>838.5</v>
      </c>
      <c r="W3" s="3">
        <v>858.7</v>
      </c>
      <c r="X3" s="3">
        <v>878.9</v>
      </c>
      <c r="Y3" s="4">
        <v>899</v>
      </c>
      <c r="Z3" s="4">
        <v>919.2</v>
      </c>
      <c r="AA3" s="4">
        <v>1000</v>
      </c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4</v>
      </c>
      <c r="C4" s="44">
        <f t="shared" si="0"/>
        <v>3</v>
      </c>
      <c r="D4" s="44">
        <f t="shared" si="0"/>
        <v>0</v>
      </c>
      <c r="E4" s="6" t="s">
        <v>80</v>
      </c>
      <c r="F4" s="49">
        <v>1.6880000000000001E-12</v>
      </c>
      <c r="G4" s="49">
        <v>2.4017000000000002E-11</v>
      </c>
      <c r="H4" s="49">
        <v>1.0867E-10</v>
      </c>
      <c r="I4" s="49">
        <v>3.1420999999999999E-10</v>
      </c>
      <c r="J4" s="49">
        <v>9.3474000000000002E-10</v>
      </c>
      <c r="K4" s="49">
        <v>1.126E-9</v>
      </c>
      <c r="L4" s="49">
        <v>1.4882999999999999E-9</v>
      </c>
      <c r="M4" s="49">
        <v>1.3916E-9</v>
      </c>
      <c r="N4" s="49">
        <v>9.1682000000000005E-10</v>
      </c>
      <c r="O4" s="49">
        <v>9.6391999999999994E-11</v>
      </c>
      <c r="P4" s="49">
        <v>2.7370000000000001E-5</v>
      </c>
      <c r="Q4" s="49">
        <v>6.3547999999999999E-3</v>
      </c>
      <c r="R4" s="49">
        <v>7.9120999999999997E-2</v>
      </c>
      <c r="S4" s="49">
        <v>7.9999000000000001E-2</v>
      </c>
      <c r="T4" s="49">
        <v>0.08</v>
      </c>
      <c r="U4" s="49">
        <v>8.0001000000000003E-2</v>
      </c>
      <c r="V4" s="49">
        <v>8.0002000000000004E-2</v>
      </c>
      <c r="W4" s="49">
        <v>8.0005999999999994E-2</v>
      </c>
      <c r="X4" s="49">
        <v>8.0014000000000002E-2</v>
      </c>
      <c r="Y4" s="55">
        <v>8.0033000000000007E-2</v>
      </c>
      <c r="Z4" s="55">
        <v>8.0075999999999994E-2</v>
      </c>
      <c r="AA4" s="55">
        <v>8.1759999999999999E-2</v>
      </c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5</v>
      </c>
      <c r="C5" s="44">
        <f t="shared" si="0"/>
        <v>4</v>
      </c>
      <c r="D5" s="44">
        <f t="shared" si="0"/>
        <v>0</v>
      </c>
      <c r="E5" s="6" t="s">
        <v>81</v>
      </c>
      <c r="F5" s="49">
        <v>1.5381000000000001E-12</v>
      </c>
      <c r="G5" s="49">
        <v>3.1208999999999999E-11</v>
      </c>
      <c r="H5" s="49">
        <v>1.9100999999999999E-10</v>
      </c>
      <c r="I5" s="49">
        <v>7.3943999999999998E-10</v>
      </c>
      <c r="J5" s="49">
        <v>3.9514000000000002E-9</v>
      </c>
      <c r="K5" s="49">
        <v>6.4348000000000002E-9</v>
      </c>
      <c r="L5" s="49">
        <v>1.3008999999999999E-8</v>
      </c>
      <c r="M5" s="49">
        <v>2.5351E-8</v>
      </c>
      <c r="N5" s="49">
        <v>6.8684999999999996E-8</v>
      </c>
      <c r="O5" s="49">
        <v>4.2212999999999998E-7</v>
      </c>
      <c r="P5" s="49">
        <v>3.6378000000000001E-2</v>
      </c>
      <c r="Q5" s="49">
        <v>4.8994999999999997E-2</v>
      </c>
      <c r="R5" s="49">
        <v>5.8631999999999998E-4</v>
      </c>
      <c r="S5" s="49">
        <v>4.4288000000000001E-7</v>
      </c>
      <c r="T5" s="49">
        <v>1.3381999999999999E-7</v>
      </c>
      <c r="U5" s="49">
        <v>5.6266000000000002E-8</v>
      </c>
      <c r="V5" s="49">
        <v>2.6082999999999999E-8</v>
      </c>
      <c r="W5" s="49">
        <v>1.3621E-8</v>
      </c>
      <c r="X5" s="49">
        <v>8.5926999999999999E-9</v>
      </c>
      <c r="Y5" s="55">
        <v>4.3988999999999998E-9</v>
      </c>
      <c r="Z5" s="55">
        <v>2.1421999999999999E-9</v>
      </c>
      <c r="AA5" s="55">
        <v>6.0282999999999997E-10</v>
      </c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2</v>
      </c>
      <c r="C6" s="44">
        <f t="shared" si="0"/>
        <v>1</v>
      </c>
      <c r="D6" s="44">
        <f t="shared" si="0"/>
        <v>0</v>
      </c>
      <c r="E6" s="6" t="s">
        <v>46</v>
      </c>
      <c r="F6" s="49">
        <v>0.16</v>
      </c>
      <c r="G6" s="49">
        <v>0.16</v>
      </c>
      <c r="H6" s="49">
        <v>0.16</v>
      </c>
      <c r="I6" s="49">
        <v>0.16</v>
      </c>
      <c r="J6" s="49">
        <v>0.16</v>
      </c>
      <c r="K6" s="49">
        <v>0.16</v>
      </c>
      <c r="L6" s="49">
        <v>0.16</v>
      </c>
      <c r="M6" s="49">
        <v>0.16</v>
      </c>
      <c r="N6" s="49">
        <v>0.16</v>
      </c>
      <c r="O6" s="49">
        <v>0.16</v>
      </c>
      <c r="P6" s="49">
        <v>0.1236</v>
      </c>
      <c r="Q6" s="49">
        <v>0.10465000000000001</v>
      </c>
      <c r="R6" s="49">
        <v>8.0293000000000003E-2</v>
      </c>
      <c r="S6" s="49">
        <v>0.08</v>
      </c>
      <c r="T6" s="49">
        <v>7.9999000000000001E-2</v>
      </c>
      <c r="U6" s="49">
        <v>7.9996999999999999E-2</v>
      </c>
      <c r="V6" s="49">
        <v>7.9992999999999995E-2</v>
      </c>
      <c r="W6" s="49">
        <v>7.9982999999999999E-2</v>
      </c>
      <c r="X6" s="49">
        <v>7.9958000000000001E-2</v>
      </c>
      <c r="Y6" s="55">
        <v>7.9901E-2</v>
      </c>
      <c r="Z6" s="55">
        <v>7.9771999999999996E-2</v>
      </c>
      <c r="AA6" s="55">
        <v>7.4720999999999996E-2</v>
      </c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1</v>
      </c>
      <c r="C7" s="44">
        <f t="shared" si="0"/>
        <v>1</v>
      </c>
      <c r="D7" s="44">
        <f t="shared" si="0"/>
        <v>0</v>
      </c>
      <c r="E7" s="6" t="s">
        <v>39</v>
      </c>
      <c r="F7" s="49">
        <v>0.16</v>
      </c>
      <c r="G7" s="49">
        <v>0.16</v>
      </c>
      <c r="H7" s="49">
        <v>0.16</v>
      </c>
      <c r="I7" s="49">
        <v>0.16</v>
      </c>
      <c r="J7" s="49">
        <v>0.16</v>
      </c>
      <c r="K7" s="49">
        <v>0.16</v>
      </c>
      <c r="L7" s="49">
        <v>0.16</v>
      </c>
      <c r="M7" s="49">
        <v>0.16</v>
      </c>
      <c r="N7" s="49">
        <v>0.16</v>
      </c>
      <c r="O7" s="49">
        <v>0.16</v>
      </c>
      <c r="P7" s="49">
        <v>5.0812999999999997E-2</v>
      </c>
      <c r="Q7" s="49">
        <v>3.0737000000000001E-4</v>
      </c>
      <c r="R7" s="49">
        <v>3.0769000000000002E-7</v>
      </c>
      <c r="S7" s="49">
        <v>7.1432999999999995E-10</v>
      </c>
      <c r="T7" s="49">
        <v>3.6143999999999998E-9</v>
      </c>
      <c r="U7" s="49">
        <v>5.4865E-9</v>
      </c>
      <c r="V7" s="49">
        <v>5.2828E-9</v>
      </c>
      <c r="W7" s="49">
        <v>4.4753E-9</v>
      </c>
      <c r="X7" s="49">
        <v>4.0423000000000004E-9</v>
      </c>
      <c r="Y7" s="55">
        <v>2.6203000000000001E-9</v>
      </c>
      <c r="Z7" s="55">
        <v>1.5176E-9</v>
      </c>
      <c r="AA7" s="55">
        <v>6.8446000000000003E-10</v>
      </c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7</v>
      </c>
      <c r="C8" s="44">
        <f t="shared" si="0"/>
        <v>0</v>
      </c>
      <c r="D8" s="44">
        <f t="shared" si="0"/>
        <v>0</v>
      </c>
      <c r="E8" s="6" t="s">
        <v>53</v>
      </c>
      <c r="F8" s="49">
        <v>0</v>
      </c>
      <c r="G8" s="49">
        <v>0</v>
      </c>
      <c r="H8" s="49">
        <v>0</v>
      </c>
      <c r="I8" s="49">
        <v>1.7357E-34</v>
      </c>
      <c r="J8" s="49">
        <v>3.0869999999999998E-28</v>
      </c>
      <c r="K8" s="49">
        <v>6.2228000000000003E-27</v>
      </c>
      <c r="L8" s="49">
        <v>1.0345000000000001E-25</v>
      </c>
      <c r="M8" s="49">
        <v>1.4437E-24</v>
      </c>
      <c r="N8" s="49">
        <v>1.7176E-23</v>
      </c>
      <c r="O8" s="49">
        <v>1.7664999999999999E-22</v>
      </c>
      <c r="P8" s="49">
        <v>1.6209000000000001E-21</v>
      </c>
      <c r="Q8" s="49">
        <v>1.6736E-20</v>
      </c>
      <c r="R8" s="49">
        <v>1.645E-19</v>
      </c>
      <c r="S8" s="49">
        <v>1.6065000000000001E-18</v>
      </c>
      <c r="T8" s="49">
        <v>1.4519000000000001E-17</v>
      </c>
      <c r="U8" s="49">
        <v>1.2263000000000001E-16</v>
      </c>
      <c r="V8" s="49">
        <v>9.7497999999999992E-16</v>
      </c>
      <c r="W8" s="49">
        <v>7.3444E-15</v>
      </c>
      <c r="X8" s="49">
        <v>5.2733999999999999E-14</v>
      </c>
      <c r="Y8" s="55">
        <v>3.6285999999999998E-13</v>
      </c>
      <c r="Z8" s="55">
        <v>2.4051999999999999E-12</v>
      </c>
      <c r="AA8" s="55">
        <v>3.5008000000000002E-9</v>
      </c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6</v>
      </c>
      <c r="C9" s="44">
        <f t="shared" si="0"/>
        <v>0</v>
      </c>
      <c r="D9" s="44">
        <f t="shared" si="0"/>
        <v>0</v>
      </c>
      <c r="E9" s="6" t="s">
        <v>51</v>
      </c>
      <c r="F9" s="49">
        <v>0</v>
      </c>
      <c r="G9" s="49">
        <v>0</v>
      </c>
      <c r="H9" s="49">
        <v>0</v>
      </c>
      <c r="I9" s="49">
        <v>3.7200000000000002E-30</v>
      </c>
      <c r="J9" s="49">
        <v>1.1679000000000001E-24</v>
      </c>
      <c r="K9" s="49">
        <v>1.6382E-23</v>
      </c>
      <c r="L9" s="49">
        <v>1.9391999999999999E-22</v>
      </c>
      <c r="M9" s="49">
        <v>1.9677E-21</v>
      </c>
      <c r="N9" s="49">
        <v>1.7350000000000001E-20</v>
      </c>
      <c r="O9" s="49">
        <v>1.3457E-19</v>
      </c>
      <c r="P9" s="49">
        <v>9.4361999999999999E-19</v>
      </c>
      <c r="Q9" s="49">
        <v>7.3002000000000006E-18</v>
      </c>
      <c r="R9" s="49">
        <v>5.4006000000000001E-17</v>
      </c>
      <c r="S9" s="49">
        <v>3.9637000000000002E-16</v>
      </c>
      <c r="T9" s="49">
        <v>2.7161000000000001E-15</v>
      </c>
      <c r="U9" s="49">
        <v>1.7527999999999999E-14</v>
      </c>
      <c r="V9" s="49">
        <v>1.0719E-13</v>
      </c>
      <c r="W9" s="49">
        <v>6.2481999999999996E-13</v>
      </c>
      <c r="X9" s="49">
        <v>3.4897999999999999E-12</v>
      </c>
      <c r="Y9" s="55">
        <v>1.8764999999999999E-11</v>
      </c>
      <c r="Z9" s="55">
        <v>9.7580999999999996E-11</v>
      </c>
      <c r="AA9" s="55">
        <v>5.5392999999999998E-8</v>
      </c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5</v>
      </c>
      <c r="C10" s="44">
        <f t="shared" si="0"/>
        <v>0</v>
      </c>
      <c r="D10" s="44">
        <f t="shared" si="0"/>
        <v>0</v>
      </c>
      <c r="E10" s="6" t="s">
        <v>50</v>
      </c>
      <c r="F10" s="49">
        <v>0</v>
      </c>
      <c r="G10" s="49">
        <v>0</v>
      </c>
      <c r="H10" s="49">
        <v>6.2204000000000002E-34</v>
      </c>
      <c r="I10" s="49">
        <v>7.3199000000000005E-27</v>
      </c>
      <c r="J10" s="49">
        <v>1.0145000000000001E-21</v>
      </c>
      <c r="K10" s="49">
        <v>1.1992000000000001E-20</v>
      </c>
      <c r="L10" s="49">
        <v>1.2093999999999999E-19</v>
      </c>
      <c r="M10" s="49">
        <v>1.0558999999999999E-18</v>
      </c>
      <c r="N10" s="49">
        <v>8.0830999999999998E-18</v>
      </c>
      <c r="O10" s="49">
        <v>5.4881000000000002E-17</v>
      </c>
      <c r="P10" s="49">
        <v>3.3849999999999998E-16</v>
      </c>
      <c r="Q10" s="49">
        <v>2.2411999999999998E-15</v>
      </c>
      <c r="R10" s="49">
        <v>1.4152E-14</v>
      </c>
      <c r="S10" s="49">
        <v>8.7949999999999994E-14</v>
      </c>
      <c r="T10" s="49">
        <v>5.1176000000000003E-13</v>
      </c>
      <c r="U10" s="49">
        <v>2.8099999999999999E-12</v>
      </c>
      <c r="V10" s="49">
        <v>1.4645000000000002E-11</v>
      </c>
      <c r="W10" s="49">
        <v>7.2831000000000004E-11</v>
      </c>
      <c r="X10" s="49">
        <v>3.4731000000000001E-10</v>
      </c>
      <c r="Y10" s="55">
        <v>1.5951E-9</v>
      </c>
      <c r="Z10" s="55">
        <v>7.0852000000000003E-9</v>
      </c>
      <c r="AA10" s="55">
        <v>2.1295999999999999E-6</v>
      </c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4</v>
      </c>
      <c r="C11" s="44">
        <f t="shared" si="0"/>
        <v>0</v>
      </c>
      <c r="D11" s="44">
        <f t="shared" si="0"/>
        <v>0</v>
      </c>
      <c r="E11" s="6" t="s">
        <v>49</v>
      </c>
      <c r="F11" s="49">
        <v>0</v>
      </c>
      <c r="G11" s="49">
        <v>0</v>
      </c>
      <c r="H11" s="49">
        <v>1.0329E-31</v>
      </c>
      <c r="I11" s="49">
        <v>2.6072999999999999E-25</v>
      </c>
      <c r="J11" s="49">
        <v>1.1713E-20</v>
      </c>
      <c r="K11" s="49">
        <v>1.0937000000000001E-19</v>
      </c>
      <c r="L11" s="49">
        <v>8.8435999999999997E-19</v>
      </c>
      <c r="M11" s="49">
        <v>6.2750000000000001E-18</v>
      </c>
      <c r="N11" s="49">
        <v>3.9528000000000001E-17</v>
      </c>
      <c r="O11" s="49">
        <v>2.2335000000000002E-16</v>
      </c>
      <c r="P11" s="49">
        <v>1.1553000000000001E-15</v>
      </c>
      <c r="Q11" s="49">
        <v>6.2573000000000001E-15</v>
      </c>
      <c r="R11" s="49">
        <v>3.2312999999999999E-14</v>
      </c>
      <c r="S11" s="49">
        <v>1.6328000000000001E-13</v>
      </c>
      <c r="T11" s="49">
        <v>7.7624000000000003E-13</v>
      </c>
      <c r="U11" s="49">
        <v>3.4961E-12</v>
      </c>
      <c r="V11" s="49">
        <v>1.4994999999999999E-11</v>
      </c>
      <c r="W11" s="49">
        <v>6.1540999999999997E-11</v>
      </c>
      <c r="X11" s="49">
        <v>2.4273E-10</v>
      </c>
      <c r="Y11" s="55">
        <v>9.2372999999999997E-10</v>
      </c>
      <c r="Z11" s="55">
        <v>3.4045E-9</v>
      </c>
      <c r="AA11" s="55">
        <v>4.8808999999999997E-7</v>
      </c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3</v>
      </c>
      <c r="C12" s="44">
        <f t="shared" si="0"/>
        <v>0</v>
      </c>
      <c r="D12" s="44">
        <f t="shared" si="0"/>
        <v>0</v>
      </c>
      <c r="E12" s="6" t="s">
        <v>48</v>
      </c>
      <c r="F12" s="49">
        <v>0</v>
      </c>
      <c r="G12" s="49">
        <v>2.7002000000000002E-36</v>
      </c>
      <c r="H12" s="49">
        <v>8.0344000000000001E-28</v>
      </c>
      <c r="I12" s="49">
        <v>5.0715999999999996E-22</v>
      </c>
      <c r="J12" s="49">
        <v>8.2863999999999993E-18</v>
      </c>
      <c r="K12" s="49">
        <v>6.2630999999999999E-17</v>
      </c>
      <c r="L12" s="49">
        <v>4.1549000000000002E-16</v>
      </c>
      <c r="M12" s="49">
        <v>2.4484999999999999E-15</v>
      </c>
      <c r="N12" s="49">
        <v>1.2954E-14</v>
      </c>
      <c r="O12" s="49">
        <v>6.2109000000000003E-14</v>
      </c>
      <c r="P12" s="49">
        <v>2.7439000000000001E-13</v>
      </c>
      <c r="Q12" s="49">
        <v>1.2371000000000001E-12</v>
      </c>
      <c r="R12" s="49">
        <v>5.3116999999999997E-12</v>
      </c>
      <c r="S12" s="49">
        <v>2.2169000000000001E-11</v>
      </c>
      <c r="T12" s="49">
        <v>8.7407999999999994E-11</v>
      </c>
      <c r="U12" s="49">
        <v>3.2755000000000002E-10</v>
      </c>
      <c r="V12" s="49">
        <v>1.1720000000000001E-9</v>
      </c>
      <c r="W12" s="49">
        <v>4.0216000000000003E-9</v>
      </c>
      <c r="X12" s="49">
        <v>1.3284E-8</v>
      </c>
      <c r="Y12" s="55">
        <v>4.2389999999999998E-8</v>
      </c>
      <c r="Z12" s="55">
        <v>1.3112E-7</v>
      </c>
      <c r="AA12" s="55">
        <v>9.3438000000000002E-6</v>
      </c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2</v>
      </c>
      <c r="C13" s="44">
        <f t="shared" si="0"/>
        <v>0</v>
      </c>
      <c r="D13" s="44">
        <f t="shared" si="0"/>
        <v>0</v>
      </c>
      <c r="E13" s="6" t="s">
        <v>52</v>
      </c>
      <c r="F13" s="49">
        <v>1.7012999999999999E-36</v>
      </c>
      <c r="G13" s="49">
        <v>2.2943999999999999E-26</v>
      </c>
      <c r="H13" s="49">
        <v>5.2738000000000002E-20</v>
      </c>
      <c r="I13" s="49">
        <v>1.2123999999999999E-15</v>
      </c>
      <c r="J13" s="49">
        <v>1.8039E-12</v>
      </c>
      <c r="K13" s="49">
        <v>8.2828000000000002E-12</v>
      </c>
      <c r="L13" s="49">
        <v>3.4486E-11</v>
      </c>
      <c r="M13" s="49">
        <v>1.3137000000000001E-10</v>
      </c>
      <c r="N13" s="49">
        <v>4.6152000000000003E-10</v>
      </c>
      <c r="O13" s="49">
        <v>1.5057999999999999E-9</v>
      </c>
      <c r="P13" s="49">
        <v>4.6168E-9</v>
      </c>
      <c r="Q13" s="49">
        <v>1.4248E-8</v>
      </c>
      <c r="R13" s="49">
        <v>4.2289000000000002E-8</v>
      </c>
      <c r="S13" s="49">
        <v>1.2242999999999999E-7</v>
      </c>
      <c r="T13" s="49">
        <v>3.3939999999999998E-7</v>
      </c>
      <c r="U13" s="49">
        <v>9.0484000000000005E-7</v>
      </c>
      <c r="V13" s="49">
        <v>2.3281000000000002E-6</v>
      </c>
      <c r="W13" s="49">
        <v>5.7991000000000001E-6</v>
      </c>
      <c r="X13" s="49">
        <v>1.4025E-5</v>
      </c>
      <c r="Y13" s="55">
        <v>3.3022999999999999E-5</v>
      </c>
      <c r="Z13" s="55">
        <v>7.5883000000000005E-5</v>
      </c>
      <c r="AA13" s="55">
        <v>1.7390999999999999E-3</v>
      </c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1</v>
      </c>
      <c r="C14" s="44">
        <f t="shared" si="0"/>
        <v>0</v>
      </c>
      <c r="D14" s="44">
        <f t="shared" si="0"/>
        <v>0</v>
      </c>
      <c r="E14" s="6" t="s">
        <v>2</v>
      </c>
      <c r="F14" s="49">
        <v>0</v>
      </c>
      <c r="G14" s="49">
        <v>1.4729999999999999E-35</v>
      </c>
      <c r="H14" s="49">
        <v>7.7269999999999998E-28</v>
      </c>
      <c r="I14" s="49">
        <v>1.5352999999999999E-22</v>
      </c>
      <c r="J14" s="49">
        <v>1.1133000000000001E-18</v>
      </c>
      <c r="K14" s="49">
        <v>7.1330000000000005E-18</v>
      </c>
      <c r="L14" s="49">
        <v>4.0607999999999998E-17</v>
      </c>
      <c r="M14" s="49">
        <v>2.0767000000000001E-16</v>
      </c>
      <c r="N14" s="49">
        <v>9.6315000000000008E-16</v>
      </c>
      <c r="O14" s="49">
        <v>4.0859000000000004E-15</v>
      </c>
      <c r="P14" s="49">
        <v>1.6018000000000001E-14</v>
      </c>
      <c r="Q14" s="49">
        <v>6.0298999999999996E-14</v>
      </c>
      <c r="R14" s="49">
        <v>2.1380000000000001E-13</v>
      </c>
      <c r="S14" s="49">
        <v>7.2132E-13</v>
      </c>
      <c r="T14" s="49">
        <v>2.3009E-12</v>
      </c>
      <c r="U14" s="49">
        <v>6.9719000000000002E-12</v>
      </c>
      <c r="V14" s="49">
        <v>2.015E-11</v>
      </c>
      <c r="W14" s="49">
        <v>5.5747000000000001E-11</v>
      </c>
      <c r="X14" s="49">
        <v>1.4813999999999999E-10</v>
      </c>
      <c r="Y14" s="55">
        <v>3.7928999999999999E-10</v>
      </c>
      <c r="Z14" s="55">
        <v>9.382699999999999E-10</v>
      </c>
      <c r="AA14" s="55">
        <v>2.6289000000000001E-8</v>
      </c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1</v>
      </c>
      <c r="B15" s="44">
        <f t="shared" si="0"/>
        <v>0</v>
      </c>
      <c r="C15" s="44">
        <f t="shared" si="0"/>
        <v>0</v>
      </c>
      <c r="D15" s="44">
        <f t="shared" si="0"/>
        <v>0</v>
      </c>
      <c r="E15" s="6" t="s">
        <v>1</v>
      </c>
      <c r="F15" s="49">
        <v>0.2</v>
      </c>
      <c r="G15" s="49">
        <v>0.2</v>
      </c>
      <c r="H15" s="49">
        <v>0.2</v>
      </c>
      <c r="I15" s="49">
        <v>0.2</v>
      </c>
      <c r="J15" s="49">
        <v>0.2</v>
      </c>
      <c r="K15" s="49">
        <v>0.2</v>
      </c>
      <c r="L15" s="49">
        <v>0.2</v>
      </c>
      <c r="M15" s="49">
        <v>0.2</v>
      </c>
      <c r="N15" s="49">
        <v>0.2</v>
      </c>
      <c r="O15" s="49">
        <v>0.2</v>
      </c>
      <c r="P15" s="49">
        <v>0.2</v>
      </c>
      <c r="Q15" s="49">
        <v>0.2</v>
      </c>
      <c r="R15" s="49">
        <v>0.2</v>
      </c>
      <c r="S15" s="49">
        <v>0.2</v>
      </c>
      <c r="T15" s="49">
        <v>0.2</v>
      </c>
      <c r="U15" s="49">
        <v>0.2</v>
      </c>
      <c r="V15" s="49">
        <v>0.2</v>
      </c>
      <c r="W15" s="49">
        <v>0.2</v>
      </c>
      <c r="X15" s="49">
        <v>0.2</v>
      </c>
      <c r="Y15" s="55">
        <v>0.2</v>
      </c>
      <c r="Z15" s="55">
        <v>0.2</v>
      </c>
      <c r="AA15" s="55">
        <v>0.2</v>
      </c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1</v>
      </c>
      <c r="B16" s="44">
        <f t="shared" si="0"/>
        <v>0</v>
      </c>
      <c r="C16" s="44">
        <f t="shared" si="0"/>
        <v>0</v>
      </c>
      <c r="D16" s="44">
        <f t="shared" si="0"/>
        <v>0</v>
      </c>
      <c r="E16" s="6" t="s">
        <v>28</v>
      </c>
      <c r="F16" s="49">
        <v>-18.62</v>
      </c>
      <c r="G16" s="49">
        <v>-18.649999999999999</v>
      </c>
      <c r="H16" s="49">
        <v>-18.77</v>
      </c>
      <c r="I16" s="49">
        <v>-18.93</v>
      </c>
      <c r="J16" s="49">
        <v>-19.09</v>
      </c>
      <c r="K16" s="49">
        <v>-19.14</v>
      </c>
      <c r="L16" s="49">
        <v>-19.18</v>
      </c>
      <c r="M16" s="49">
        <v>-19.22</v>
      </c>
      <c r="N16" s="49">
        <v>-19.260000000000002</v>
      </c>
      <c r="O16" s="49">
        <v>-19.3</v>
      </c>
      <c r="P16" s="49">
        <v>-19.350000000000001</v>
      </c>
      <c r="Q16" s="49">
        <v>-19.39</v>
      </c>
      <c r="R16" s="49">
        <v>-19.43</v>
      </c>
      <c r="S16" s="49">
        <v>-19.47</v>
      </c>
      <c r="T16" s="49">
        <v>-19.510000000000002</v>
      </c>
      <c r="U16" s="49">
        <v>-19.55</v>
      </c>
      <c r="V16" s="49">
        <v>-19.59</v>
      </c>
      <c r="W16" s="49">
        <v>-19.62</v>
      </c>
      <c r="X16" s="49">
        <v>-19.66</v>
      </c>
      <c r="Y16" s="55">
        <v>-19.7</v>
      </c>
      <c r="Z16" s="55">
        <v>-19.739999999999998</v>
      </c>
      <c r="AA16" s="55">
        <v>-19.89</v>
      </c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1</v>
      </c>
      <c r="D17" s="44">
        <f t="shared" si="0"/>
        <v>0</v>
      </c>
      <c r="E17" s="6" t="s">
        <v>6</v>
      </c>
      <c r="F17" s="49">
        <v>-16.29</v>
      </c>
      <c r="G17" s="49">
        <v>-13.81</v>
      </c>
      <c r="H17" s="49">
        <v>-12.4</v>
      </c>
      <c r="I17" s="49">
        <v>-11.54</v>
      </c>
      <c r="J17" s="49">
        <v>-10.99</v>
      </c>
      <c r="K17" s="49">
        <v>-10.89</v>
      </c>
      <c r="L17" s="49">
        <v>-10.79</v>
      </c>
      <c r="M17" s="49">
        <v>-10.71</v>
      </c>
      <c r="N17" s="49">
        <v>-10.63</v>
      </c>
      <c r="O17" s="49">
        <v>-10.56</v>
      </c>
      <c r="P17" s="49">
        <v>-10.5</v>
      </c>
      <c r="Q17" s="49">
        <v>-10.52</v>
      </c>
      <c r="R17" s="49">
        <v>-10.56</v>
      </c>
      <c r="S17" s="49">
        <v>-10.64</v>
      </c>
      <c r="T17" s="49">
        <v>-10.73</v>
      </c>
      <c r="U17" s="49">
        <v>-10.82</v>
      </c>
      <c r="V17" s="49">
        <v>-10.93</v>
      </c>
      <c r="W17" s="49">
        <v>-11.04</v>
      </c>
      <c r="X17" s="49">
        <v>-11.17</v>
      </c>
      <c r="Y17" s="55">
        <v>-11.31</v>
      </c>
      <c r="Z17" s="55">
        <v>-11.46</v>
      </c>
      <c r="AA17" s="55">
        <v>-12.14</v>
      </c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1</v>
      </c>
      <c r="C18" s="44">
        <f t="shared" si="0"/>
        <v>0</v>
      </c>
      <c r="D18" s="44">
        <f t="shared" si="0"/>
        <v>0</v>
      </c>
      <c r="E18" s="6" t="s">
        <v>7</v>
      </c>
      <c r="F18" s="49">
        <v>-23.52</v>
      </c>
      <c r="G18" s="49">
        <v>-19.13</v>
      </c>
      <c r="H18" s="49">
        <v>-16.48</v>
      </c>
      <c r="I18" s="49">
        <v>-14.74</v>
      </c>
      <c r="J18" s="49">
        <v>-13.53</v>
      </c>
      <c r="K18" s="49">
        <v>-13.28</v>
      </c>
      <c r="L18" s="49">
        <v>-13.06</v>
      </c>
      <c r="M18" s="49">
        <v>-12.85</v>
      </c>
      <c r="N18" s="49">
        <v>-12.66</v>
      </c>
      <c r="O18" s="49">
        <v>-12.48</v>
      </c>
      <c r="P18" s="49">
        <v>-12.31</v>
      </c>
      <c r="Q18" s="49">
        <v>-12.11</v>
      </c>
      <c r="R18" s="49">
        <v>-11.92</v>
      </c>
      <c r="S18" s="49">
        <v>-11.73</v>
      </c>
      <c r="T18" s="49">
        <v>-11.54</v>
      </c>
      <c r="U18" s="49">
        <v>-11.36</v>
      </c>
      <c r="V18" s="49">
        <v>-11.18</v>
      </c>
      <c r="W18" s="49">
        <v>-11</v>
      </c>
      <c r="X18" s="49">
        <v>-10.83</v>
      </c>
      <c r="Y18" s="55">
        <v>-10.66</v>
      </c>
      <c r="Z18" s="55">
        <v>-10.49</v>
      </c>
      <c r="AA18" s="55">
        <v>-9.8290000000000006</v>
      </c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0</v>
      </c>
      <c r="D19" s="44">
        <f t="shared" si="0"/>
        <v>0</v>
      </c>
      <c r="E19" s="6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0</v>
      </c>
      <c r="D20" s="44">
        <f t="shared" si="1"/>
        <v>0</v>
      </c>
      <c r="E20" s="6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v>13</v>
      </c>
      <c r="E34" s="11" t="str">
        <f ca="1">OFFSET($E$3:$AL$3,$D34,0)</f>
        <v>H (Ar)</v>
      </c>
      <c r="F34" s="14">
        <f t="shared" ref="F34:AL37" ca="1" si="3">OFFSET($E$3:$AL$3,$D34,0)</f>
        <v>-18.62</v>
      </c>
      <c r="G34" s="14">
        <f t="shared" ca="1" si="3"/>
        <v>-18.649999999999999</v>
      </c>
      <c r="H34" s="14">
        <f t="shared" ca="1" si="3"/>
        <v>-18.77</v>
      </c>
      <c r="I34" s="14">
        <f t="shared" ca="1" si="3"/>
        <v>-18.93</v>
      </c>
      <c r="J34" s="14">
        <f t="shared" ca="1" si="3"/>
        <v>-19.09</v>
      </c>
      <c r="K34" s="14">
        <f t="shared" ca="1" si="3"/>
        <v>-19.14</v>
      </c>
      <c r="L34" s="14">
        <f t="shared" ca="1" si="3"/>
        <v>-19.18</v>
      </c>
      <c r="M34" s="14">
        <f t="shared" ca="1" si="3"/>
        <v>-19.22</v>
      </c>
      <c r="N34" s="14">
        <f t="shared" ca="1" si="3"/>
        <v>-19.260000000000002</v>
      </c>
      <c r="O34" s="14">
        <f t="shared" ca="1" si="3"/>
        <v>-19.3</v>
      </c>
      <c r="P34" s="14">
        <f t="shared" ca="1" si="3"/>
        <v>-19.350000000000001</v>
      </c>
      <c r="Q34" s="14">
        <f t="shared" ca="1" si="3"/>
        <v>-19.39</v>
      </c>
      <c r="R34" s="14">
        <f t="shared" ca="1" si="3"/>
        <v>-19.43</v>
      </c>
      <c r="S34" s="14">
        <f t="shared" ca="1" si="3"/>
        <v>-19.47</v>
      </c>
      <c r="T34" s="14">
        <f t="shared" ca="1" si="3"/>
        <v>-19.510000000000002</v>
      </c>
      <c r="U34" s="14">
        <f t="shared" ca="1" si="3"/>
        <v>-19.55</v>
      </c>
      <c r="V34" s="14">
        <f t="shared" ca="1" si="3"/>
        <v>-19.59</v>
      </c>
      <c r="W34" s="14">
        <f t="shared" ca="1" si="3"/>
        <v>-19.62</v>
      </c>
      <c r="X34" s="14">
        <f t="shared" ca="1" si="3"/>
        <v>-19.66</v>
      </c>
      <c r="Y34" s="14">
        <f t="shared" ca="1" si="3"/>
        <v>-19.7</v>
      </c>
      <c r="Z34" s="14">
        <f t="shared" ca="1" si="3"/>
        <v>-19.739999999999998</v>
      </c>
      <c r="AA34" s="14">
        <f t="shared" ca="1" si="3"/>
        <v>-19.89</v>
      </c>
      <c r="AB34" s="14">
        <f t="shared" ca="1" si="3"/>
        <v>0</v>
      </c>
      <c r="AC34" s="14">
        <f t="shared" ca="1" si="3"/>
        <v>0</v>
      </c>
      <c r="AD34" s="14">
        <f t="shared" ca="1" si="3"/>
        <v>0</v>
      </c>
      <c r="AE34" s="14">
        <f t="shared" ca="1" si="3"/>
        <v>0</v>
      </c>
      <c r="AF34" s="14">
        <f t="shared" ca="1" si="3"/>
        <v>0</v>
      </c>
      <c r="AG34" s="14">
        <f t="shared" ca="1" si="3"/>
        <v>0</v>
      </c>
      <c r="AH34" s="14">
        <f t="shared" ca="1" si="3"/>
        <v>0</v>
      </c>
      <c r="AI34" s="14">
        <f t="shared" ca="1" si="3"/>
        <v>0</v>
      </c>
      <c r="AJ34" s="14">
        <f t="shared" ca="1" si="3"/>
        <v>0</v>
      </c>
      <c r="AK34" s="14">
        <f t="shared" ca="1" si="3"/>
        <v>0</v>
      </c>
      <c r="AL34" s="14">
        <f t="shared" ca="1" si="3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v>20</v>
      </c>
      <c r="E35" s="11">
        <f t="shared" ref="E35:E37" ca="1" si="4">OFFSET($E$3:$AL$3,$D35,0)</f>
        <v>0</v>
      </c>
      <c r="F35" s="14">
        <f t="shared" ca="1" si="3"/>
        <v>0</v>
      </c>
      <c r="G35" s="14">
        <f t="shared" ca="1" si="3"/>
        <v>0</v>
      </c>
      <c r="H35" s="14">
        <f t="shared" ca="1" si="3"/>
        <v>0</v>
      </c>
      <c r="I35" s="14">
        <f t="shared" ca="1" si="3"/>
        <v>0</v>
      </c>
      <c r="J35" s="14">
        <f t="shared" ca="1" si="3"/>
        <v>0</v>
      </c>
      <c r="K35" s="14">
        <f t="shared" ca="1" si="3"/>
        <v>0</v>
      </c>
      <c r="L35" s="14">
        <f t="shared" ca="1" si="3"/>
        <v>0</v>
      </c>
      <c r="M35" s="14">
        <f t="shared" ca="1" si="3"/>
        <v>0</v>
      </c>
      <c r="N35" s="14">
        <f t="shared" ca="1" si="3"/>
        <v>0</v>
      </c>
      <c r="O35" s="14">
        <f t="shared" ca="1" si="3"/>
        <v>0</v>
      </c>
      <c r="P35" s="14">
        <f t="shared" ca="1" si="3"/>
        <v>0</v>
      </c>
      <c r="Q35" s="14">
        <f t="shared" ca="1" si="3"/>
        <v>0</v>
      </c>
      <c r="R35" s="14">
        <f t="shared" ca="1" si="3"/>
        <v>0</v>
      </c>
      <c r="S35" s="14">
        <f t="shared" ca="1" si="3"/>
        <v>0</v>
      </c>
      <c r="T35" s="14">
        <f t="shared" ca="1" si="3"/>
        <v>0</v>
      </c>
      <c r="U35" s="14">
        <f t="shared" ca="1" si="3"/>
        <v>0</v>
      </c>
      <c r="V35" s="14">
        <f t="shared" ca="1" si="3"/>
        <v>0</v>
      </c>
      <c r="W35" s="14">
        <f t="shared" ca="1" si="3"/>
        <v>0</v>
      </c>
      <c r="X35" s="14">
        <f t="shared" ca="1" si="3"/>
        <v>0</v>
      </c>
      <c r="Y35" s="14">
        <f t="shared" ca="1" si="3"/>
        <v>0</v>
      </c>
      <c r="Z35" s="14">
        <f t="shared" ca="1" si="3"/>
        <v>0</v>
      </c>
      <c r="AA35" s="14">
        <f t="shared" ca="1" si="3"/>
        <v>0</v>
      </c>
      <c r="AB35" s="14">
        <f t="shared" ca="1" si="3"/>
        <v>0</v>
      </c>
      <c r="AC35" s="14">
        <f t="shared" ca="1" si="3"/>
        <v>0</v>
      </c>
      <c r="AD35" s="14">
        <f t="shared" ca="1" si="3"/>
        <v>0</v>
      </c>
      <c r="AE35" s="14">
        <f t="shared" ca="1" si="3"/>
        <v>0</v>
      </c>
      <c r="AF35" s="14">
        <f t="shared" ca="1" si="3"/>
        <v>0</v>
      </c>
      <c r="AG35" s="14">
        <f t="shared" ca="1" si="3"/>
        <v>0</v>
      </c>
      <c r="AH35" s="14">
        <f t="shared" ca="1" si="3"/>
        <v>0</v>
      </c>
      <c r="AI35" s="14">
        <f t="shared" ca="1" si="3"/>
        <v>0</v>
      </c>
      <c r="AJ35" s="14">
        <f t="shared" ca="1" si="3"/>
        <v>0</v>
      </c>
      <c r="AK35" s="14">
        <f t="shared" ca="1" si="3"/>
        <v>0</v>
      </c>
      <c r="AL35" s="14">
        <f t="shared" ca="1" si="3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v>14</v>
      </c>
      <c r="E36" s="11" t="str">
        <f t="shared" ca="1" si="4"/>
        <v>H (Ge)</v>
      </c>
      <c r="F36" s="14">
        <f t="shared" ca="1" si="3"/>
        <v>-16.29</v>
      </c>
      <c r="G36" s="14">
        <f t="shared" ca="1" si="3"/>
        <v>-13.81</v>
      </c>
      <c r="H36" s="14">
        <f t="shared" ca="1" si="3"/>
        <v>-12.4</v>
      </c>
      <c r="I36" s="14">
        <f t="shared" ca="1" si="3"/>
        <v>-11.54</v>
      </c>
      <c r="J36" s="14">
        <f t="shared" ca="1" si="3"/>
        <v>-10.99</v>
      </c>
      <c r="K36" s="14">
        <f t="shared" ca="1" si="3"/>
        <v>-10.89</v>
      </c>
      <c r="L36" s="14">
        <f t="shared" ca="1" si="3"/>
        <v>-10.79</v>
      </c>
      <c r="M36" s="14">
        <f t="shared" ca="1" si="3"/>
        <v>-10.71</v>
      </c>
      <c r="N36" s="14">
        <f t="shared" ca="1" si="3"/>
        <v>-10.63</v>
      </c>
      <c r="O36" s="14">
        <f t="shared" ca="1" si="3"/>
        <v>-10.56</v>
      </c>
      <c r="P36" s="14">
        <f t="shared" ca="1" si="3"/>
        <v>-10.5</v>
      </c>
      <c r="Q36" s="14">
        <f t="shared" ca="1" si="3"/>
        <v>-10.52</v>
      </c>
      <c r="R36" s="14">
        <f t="shared" ca="1" si="3"/>
        <v>-10.56</v>
      </c>
      <c r="S36" s="14">
        <f t="shared" ca="1" si="3"/>
        <v>-10.64</v>
      </c>
      <c r="T36" s="14">
        <f t="shared" ca="1" si="3"/>
        <v>-10.73</v>
      </c>
      <c r="U36" s="14">
        <f t="shared" ca="1" si="3"/>
        <v>-10.82</v>
      </c>
      <c r="V36" s="14">
        <f t="shared" ca="1" si="3"/>
        <v>-10.93</v>
      </c>
      <c r="W36" s="14">
        <f t="shared" ca="1" si="3"/>
        <v>-11.04</v>
      </c>
      <c r="X36" s="14">
        <f t="shared" ca="1" si="3"/>
        <v>-11.17</v>
      </c>
      <c r="Y36" s="14">
        <f t="shared" ca="1" si="3"/>
        <v>-11.31</v>
      </c>
      <c r="Z36" s="14">
        <f t="shared" ca="1" si="3"/>
        <v>-11.46</v>
      </c>
      <c r="AA36" s="14">
        <f t="shared" ca="1" si="3"/>
        <v>-12.14</v>
      </c>
      <c r="AB36" s="14">
        <f t="shared" ca="1" si="3"/>
        <v>0</v>
      </c>
      <c r="AC36" s="14">
        <f t="shared" ca="1" si="3"/>
        <v>0</v>
      </c>
      <c r="AD36" s="14">
        <f t="shared" ca="1" si="3"/>
        <v>0</v>
      </c>
      <c r="AE36" s="14">
        <f t="shared" ca="1" si="3"/>
        <v>0</v>
      </c>
      <c r="AF36" s="14">
        <f t="shared" ca="1" si="3"/>
        <v>0</v>
      </c>
      <c r="AG36" s="14">
        <f t="shared" ca="1" si="3"/>
        <v>0</v>
      </c>
      <c r="AH36" s="14">
        <f t="shared" ca="1" si="3"/>
        <v>0</v>
      </c>
      <c r="AI36" s="14">
        <f t="shared" ca="1" si="3"/>
        <v>0</v>
      </c>
      <c r="AJ36" s="14">
        <f t="shared" ca="1" si="3"/>
        <v>0</v>
      </c>
      <c r="AK36" s="14">
        <f t="shared" ca="1" si="3"/>
        <v>0</v>
      </c>
      <c r="AL36" s="14">
        <f t="shared" ca="1" si="3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ref="D37" si="5">MATCH(C37,$E$4:$E$33)</f>
        <v>15</v>
      </c>
      <c r="E37" s="11" t="str">
        <f t="shared" ca="1" si="4"/>
        <v>H (Se)</v>
      </c>
      <c r="F37" s="14">
        <f t="shared" ca="1" si="3"/>
        <v>-23.52</v>
      </c>
      <c r="G37" s="14">
        <f t="shared" ca="1" si="3"/>
        <v>-19.13</v>
      </c>
      <c r="H37" s="14">
        <f t="shared" ca="1" si="3"/>
        <v>-16.48</v>
      </c>
      <c r="I37" s="14">
        <f t="shared" ca="1" si="3"/>
        <v>-14.74</v>
      </c>
      <c r="J37" s="14">
        <f t="shared" ca="1" si="3"/>
        <v>-13.53</v>
      </c>
      <c r="K37" s="14">
        <f t="shared" ca="1" si="3"/>
        <v>-13.28</v>
      </c>
      <c r="L37" s="14">
        <f t="shared" ca="1" si="3"/>
        <v>-13.06</v>
      </c>
      <c r="M37" s="14">
        <f t="shared" ca="1" si="3"/>
        <v>-12.85</v>
      </c>
      <c r="N37" s="14">
        <f t="shared" ca="1" si="3"/>
        <v>-12.66</v>
      </c>
      <c r="O37" s="14">
        <f t="shared" ca="1" si="3"/>
        <v>-12.48</v>
      </c>
      <c r="P37" s="14">
        <f t="shared" ca="1" si="3"/>
        <v>-12.31</v>
      </c>
      <c r="Q37" s="14">
        <f t="shared" ca="1" si="3"/>
        <v>-12.11</v>
      </c>
      <c r="R37" s="14">
        <f t="shared" ca="1" si="3"/>
        <v>-11.92</v>
      </c>
      <c r="S37" s="14">
        <f t="shared" ca="1" si="3"/>
        <v>-11.73</v>
      </c>
      <c r="T37" s="14">
        <f t="shared" ca="1" si="3"/>
        <v>-11.54</v>
      </c>
      <c r="U37" s="14">
        <f t="shared" ca="1" si="3"/>
        <v>-11.36</v>
      </c>
      <c r="V37" s="14">
        <f t="shared" ca="1" si="3"/>
        <v>-11.18</v>
      </c>
      <c r="W37" s="14">
        <f t="shared" ca="1" si="3"/>
        <v>-11</v>
      </c>
      <c r="X37" s="14">
        <f t="shared" ca="1" si="3"/>
        <v>-10.83</v>
      </c>
      <c r="Y37" s="14">
        <f t="shared" ca="1" si="3"/>
        <v>-10.66</v>
      </c>
      <c r="Z37" s="14">
        <f t="shared" ca="1" si="3"/>
        <v>-10.49</v>
      </c>
      <c r="AA37" s="14">
        <f t="shared" ca="1" si="3"/>
        <v>-9.8290000000000006</v>
      </c>
      <c r="AB37" s="14">
        <f t="shared" ca="1" si="3"/>
        <v>0</v>
      </c>
      <c r="AC37" s="14">
        <f t="shared" ca="1" si="3"/>
        <v>0</v>
      </c>
      <c r="AD37" s="14">
        <f t="shared" ca="1" si="3"/>
        <v>0</v>
      </c>
      <c r="AE37" s="14">
        <f t="shared" ca="1" si="3"/>
        <v>0</v>
      </c>
      <c r="AF37" s="14">
        <f t="shared" ca="1" si="3"/>
        <v>0</v>
      </c>
      <c r="AG37" s="14">
        <f t="shared" ca="1" si="3"/>
        <v>0</v>
      </c>
      <c r="AH37" s="14">
        <f t="shared" ca="1" si="3"/>
        <v>0</v>
      </c>
      <c r="AI37" s="14">
        <f t="shared" ca="1" si="3"/>
        <v>0</v>
      </c>
      <c r="AJ37" s="14">
        <f t="shared" ca="1" si="3"/>
        <v>0</v>
      </c>
      <c r="AK37" s="14">
        <f t="shared" ca="1" si="3"/>
        <v>0</v>
      </c>
      <c r="AL37" s="14">
        <f t="shared" ca="1" si="3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21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6">G3</f>
        <v>353.9</v>
      </c>
      <c r="H40" s="8">
        <f t="shared" si="6"/>
        <v>434.7</v>
      </c>
      <c r="I40" s="8">
        <f t="shared" si="6"/>
        <v>515.4</v>
      </c>
      <c r="J40" s="8">
        <f t="shared" si="6"/>
        <v>596.20000000000005</v>
      </c>
      <c r="K40" s="8">
        <f t="shared" si="6"/>
        <v>616.4</v>
      </c>
      <c r="L40" s="8">
        <f t="shared" si="6"/>
        <v>636.6</v>
      </c>
      <c r="M40" s="8">
        <f t="shared" si="6"/>
        <v>656.8</v>
      </c>
      <c r="N40" s="8">
        <f t="shared" si="6"/>
        <v>677</v>
      </c>
      <c r="O40" s="8">
        <f t="shared" si="6"/>
        <v>697.1</v>
      </c>
      <c r="P40" s="8">
        <f t="shared" si="6"/>
        <v>717.3</v>
      </c>
      <c r="Q40" s="8">
        <f t="shared" si="6"/>
        <v>737.5</v>
      </c>
      <c r="R40" s="8">
        <f t="shared" si="6"/>
        <v>757.7</v>
      </c>
      <c r="S40" s="8">
        <f t="shared" si="6"/>
        <v>777.9</v>
      </c>
      <c r="T40" s="8">
        <f t="shared" si="6"/>
        <v>798.1</v>
      </c>
      <c r="U40" s="8">
        <f t="shared" si="6"/>
        <v>818.3</v>
      </c>
      <c r="V40" s="8">
        <f t="shared" si="6"/>
        <v>838.5</v>
      </c>
      <c r="W40" s="8">
        <f t="shared" si="6"/>
        <v>858.7</v>
      </c>
      <c r="X40" s="8">
        <f t="shared" si="6"/>
        <v>878.9</v>
      </c>
      <c r="Y40" s="8">
        <f t="shared" si="6"/>
        <v>899</v>
      </c>
      <c r="Z40" s="8">
        <f t="shared" si="6"/>
        <v>919.2</v>
      </c>
      <c r="AA40" s="8">
        <f t="shared" si="6"/>
        <v>1000</v>
      </c>
      <c r="AB40" s="8">
        <f t="shared" si="6"/>
        <v>0</v>
      </c>
      <c r="AC40" s="8">
        <f t="shared" si="6"/>
        <v>0</v>
      </c>
      <c r="AD40" s="8">
        <f t="shared" si="6"/>
        <v>0</v>
      </c>
      <c r="AE40" s="8">
        <f t="shared" si="6"/>
        <v>0</v>
      </c>
      <c r="AF40" s="8">
        <f t="shared" si="6"/>
        <v>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hidden="1" customHeight="1" outlineLevel="1" thickTop="1" x14ac:dyDescent="0.35">
      <c r="A41" s="9">
        <f t="array" ref="A41">Values!D3:G3/Values!$E$3</f>
        <v>0.625</v>
      </c>
      <c r="B41" s="9">
        <f t="array" ref="B41">Values!E3:H3/Values!$E$3</f>
        <v>1</v>
      </c>
      <c r="C41" s="9">
        <f t="array" ref="C41">Values!F3:I3/Values!$E$3</f>
        <v>0</v>
      </c>
      <c r="D41" s="9">
        <f t="array" ref="D41">Values!G3:J3/Values!$E$3</f>
        <v>1.5</v>
      </c>
      <c r="E41" s="9">
        <f>SUM(A41:D41)</f>
        <v>3.125</v>
      </c>
      <c r="F41" s="10">
        <f t="shared" ref="F41:AL41" ca="1" si="7">($B$41*H.Ge+$C$41*H.Ga+$D$41*H.Se)*F$40*$B$2/1000</f>
        <v>-117.09948072150002</v>
      </c>
      <c r="G41" s="10">
        <f t="shared" ca="1" si="7"/>
        <v>-125.07102838275001</v>
      </c>
      <c r="H41" s="10">
        <f t="shared" ca="1" si="7"/>
        <v>-134.16330412799999</v>
      </c>
      <c r="I41" s="10">
        <f t="shared" ca="1" si="7"/>
        <v>-144.20011954500001</v>
      </c>
      <c r="J41" s="10">
        <f t="shared" ca="1" si="7"/>
        <v>-155.08302679650001</v>
      </c>
      <c r="K41" s="10">
        <f t="shared" ca="1" si="7"/>
        <v>-157.90303081799999</v>
      </c>
      <c r="L41" s="10">
        <f t="shared" ca="1" si="7"/>
        <v>-160.80166506600003</v>
      </c>
      <c r="M41" s="10">
        <f t="shared" ca="1" si="7"/>
        <v>-163.74699354599997</v>
      </c>
      <c r="N41" s="10">
        <f t="shared" ca="1" si="7"/>
        <v>-166.72850673000002</v>
      </c>
      <c r="O41" s="10">
        <f t="shared" ca="1" si="7"/>
        <v>-169.70799117600001</v>
      </c>
      <c r="P41" s="10">
        <f t="shared" ca="1" si="7"/>
        <v>-172.74699497025</v>
      </c>
      <c r="Q41" s="10">
        <f t="shared" ca="1" si="7"/>
        <v>-175.89480646875001</v>
      </c>
      <c r="R41" s="10">
        <f t="shared" ca="1" si="7"/>
        <v>-179.16906072600003</v>
      </c>
      <c r="S41" s="10">
        <f t="shared" ca="1" si="7"/>
        <v>-182.61973204425001</v>
      </c>
      <c r="T41" s="10">
        <f t="shared" ca="1" si="7"/>
        <v>-186.06790069800002</v>
      </c>
      <c r="U41" s="10">
        <f t="shared" ca="1" si="7"/>
        <v>-189.55262405100001</v>
      </c>
      <c r="V41" s="10">
        <f t="shared" ca="1" si="7"/>
        <v>-193.116318525</v>
      </c>
      <c r="W41" s="10">
        <f t="shared" ca="1" si="7"/>
        <v>-196.62626807100003</v>
      </c>
      <c r="X41" s="10">
        <f t="shared" ca="1" si="7"/>
        <v>-200.33823918075001</v>
      </c>
      <c r="Y41" s="10">
        <f t="shared" ca="1" si="7"/>
        <v>-204.06027915000001</v>
      </c>
      <c r="Z41" s="10">
        <f t="shared" ca="1" si="7"/>
        <v>-207.84291103800001</v>
      </c>
      <c r="AA41" s="10">
        <f t="shared" ca="1" si="7"/>
        <v>-223.52286075000004</v>
      </c>
      <c r="AB41" s="10">
        <f t="shared" ca="1" si="7"/>
        <v>0</v>
      </c>
      <c r="AC41" s="10">
        <f t="shared" ca="1" si="7"/>
        <v>0</v>
      </c>
      <c r="AD41" s="10">
        <f t="shared" ca="1" si="7"/>
        <v>0</v>
      </c>
      <c r="AE41" s="10">
        <f t="shared" ca="1" si="7"/>
        <v>0</v>
      </c>
      <c r="AF41" s="10">
        <f t="shared" ca="1" si="7"/>
        <v>0</v>
      </c>
      <c r="AG41" s="10">
        <f t="shared" ca="1" si="7"/>
        <v>0</v>
      </c>
      <c r="AH41" s="10">
        <f t="shared" ca="1" si="7"/>
        <v>0</v>
      </c>
      <c r="AI41" s="10">
        <f t="shared" ca="1" si="7"/>
        <v>0</v>
      </c>
      <c r="AJ41" s="10">
        <f t="shared" ca="1" si="7"/>
        <v>0</v>
      </c>
      <c r="AK41" s="10">
        <f t="shared" ca="1" si="7"/>
        <v>0</v>
      </c>
      <c r="AL41" s="10">
        <f t="shared" ca="1" si="7"/>
        <v>0</v>
      </c>
    </row>
    <row r="42" spans="1:54" ht="176.25" hidden="1" customHeight="1" outlineLevel="1" x14ac:dyDescent="0.35">
      <c r="U42" s="55"/>
      <c r="V42" s="55"/>
      <c r="W42" s="55"/>
    </row>
    <row r="43" spans="1:54" ht="21" customHeight="1" collapsed="1" thickTop="1" x14ac:dyDescent="0.35">
      <c r="U43" s="55"/>
      <c r="V43" s="55"/>
      <c r="W43" s="55"/>
    </row>
    <row r="44" spans="1:54" ht="21" customHeight="1" x14ac:dyDescent="0.4">
      <c r="A44" s="75"/>
      <c r="B44" s="75"/>
      <c r="C44" s="75"/>
      <c r="D44" s="75"/>
      <c r="E44" s="74" t="s">
        <v>22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8">E3</f>
        <v>Temperature,К Pressure, at</v>
      </c>
      <c r="F45" s="3">
        <f t="shared" si="8"/>
        <v>273.10000000000002</v>
      </c>
      <c r="G45" s="3">
        <f t="shared" si="8"/>
        <v>353.9</v>
      </c>
      <c r="H45" s="3">
        <f t="shared" si="8"/>
        <v>434.7</v>
      </c>
      <c r="I45" s="3">
        <f t="shared" si="8"/>
        <v>515.4</v>
      </c>
      <c r="J45" s="3">
        <f t="shared" si="8"/>
        <v>596.20000000000005</v>
      </c>
      <c r="K45" s="3">
        <f t="shared" si="8"/>
        <v>616.4</v>
      </c>
      <c r="L45" s="3">
        <f t="shared" si="8"/>
        <v>636.6</v>
      </c>
      <c r="M45" s="3">
        <f t="shared" si="8"/>
        <v>656.8</v>
      </c>
      <c r="N45" s="3">
        <f t="shared" si="8"/>
        <v>677</v>
      </c>
      <c r="O45" s="3">
        <f t="shared" si="8"/>
        <v>697.1</v>
      </c>
      <c r="P45" s="3">
        <f t="shared" si="8"/>
        <v>717.3</v>
      </c>
      <c r="Q45" s="3">
        <f t="shared" si="8"/>
        <v>737.5</v>
      </c>
      <c r="R45" s="3">
        <f t="shared" si="8"/>
        <v>757.7</v>
      </c>
      <c r="S45" s="3">
        <f t="shared" si="8"/>
        <v>777.9</v>
      </c>
      <c r="T45" s="3">
        <f t="shared" si="8"/>
        <v>798.1</v>
      </c>
      <c r="U45" s="3">
        <f t="shared" si="8"/>
        <v>818.3</v>
      </c>
      <c r="V45" s="3">
        <f t="shared" si="8"/>
        <v>838.5</v>
      </c>
      <c r="W45" s="3">
        <f t="shared" si="8"/>
        <v>858.7</v>
      </c>
      <c r="X45" s="3">
        <f t="shared" si="8"/>
        <v>878.9</v>
      </c>
      <c r="Y45" s="3">
        <f t="shared" si="8"/>
        <v>899</v>
      </c>
      <c r="Z45" s="3">
        <f t="shared" si="8"/>
        <v>919.2</v>
      </c>
      <c r="AA45" s="3">
        <f t="shared" si="8"/>
        <v>1000</v>
      </c>
      <c r="AB45" s="3">
        <f t="shared" si="8"/>
        <v>0</v>
      </c>
      <c r="AC45" s="3">
        <f t="shared" si="8"/>
        <v>0</v>
      </c>
      <c r="AD45" s="3">
        <f t="shared" si="8"/>
        <v>0</v>
      </c>
      <c r="AE45" s="3">
        <f t="shared" si="8"/>
        <v>0</v>
      </c>
      <c r="AF45" s="3">
        <f t="shared" si="8"/>
        <v>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hidden="1" customHeight="1" outlineLevel="1" thickTop="1" thickBot="1" x14ac:dyDescent="0.4">
      <c r="A46" s="5">
        <f t="shared" ref="A46:E55" si="9">A4</f>
        <v>0</v>
      </c>
      <c r="B46" s="5">
        <f t="shared" si="9"/>
        <v>4</v>
      </c>
      <c r="C46" s="5">
        <f t="shared" si="9"/>
        <v>3</v>
      </c>
      <c r="D46" s="5">
        <f t="shared" si="9"/>
        <v>0</v>
      </c>
      <c r="E46" s="6" t="str">
        <f t="shared" si="9"/>
        <v>*Ge3Se4</v>
      </c>
      <c r="F46" s="14">
        <f t="shared" ref="F46:U55" ca="1" si="10">$A46*H.Ar + $B46*H.Se + $C46*H.Ge + $D46*H.Ga</f>
        <v>-142.94999999999999</v>
      </c>
      <c r="G46" s="14">
        <f t="shared" ca="1" si="10"/>
        <v>-117.94999999999999</v>
      </c>
      <c r="H46" s="14">
        <f t="shared" ca="1" si="10"/>
        <v>-103.12</v>
      </c>
      <c r="I46" s="14">
        <f t="shared" ca="1" si="10"/>
        <v>-93.58</v>
      </c>
      <c r="J46" s="14">
        <f t="shared" ca="1" si="10"/>
        <v>-87.09</v>
      </c>
      <c r="K46" s="14">
        <f t="shared" ca="1" si="10"/>
        <v>-85.789999999999992</v>
      </c>
      <c r="L46" s="14">
        <f t="shared" ca="1" si="10"/>
        <v>-84.61</v>
      </c>
      <c r="M46" s="14">
        <f t="shared" ca="1" si="10"/>
        <v>-83.53</v>
      </c>
      <c r="N46" s="14">
        <f t="shared" ca="1" si="10"/>
        <v>-82.53</v>
      </c>
      <c r="O46" s="14">
        <f t="shared" ca="1" si="10"/>
        <v>-81.599999999999994</v>
      </c>
      <c r="P46" s="14">
        <f t="shared" ca="1" si="10"/>
        <v>-80.740000000000009</v>
      </c>
      <c r="Q46" s="14">
        <f t="shared" ca="1" si="10"/>
        <v>-80</v>
      </c>
      <c r="R46" s="14">
        <f t="shared" ca="1" si="10"/>
        <v>-79.36</v>
      </c>
      <c r="S46" s="14">
        <f t="shared" ca="1" si="10"/>
        <v>-78.84</v>
      </c>
      <c r="T46" s="14">
        <f t="shared" ca="1" si="10"/>
        <v>-78.349999999999994</v>
      </c>
      <c r="U46" s="14">
        <f t="shared" ca="1" si="10"/>
        <v>-77.900000000000006</v>
      </c>
      <c r="V46" s="14">
        <f t="shared" ref="V46:AL46" ca="1" si="11">$A46*H.Ar + $B46*H.Se + $C46*H.Ge + $D46*H.Ga</f>
        <v>-77.509999999999991</v>
      </c>
      <c r="W46" s="14">
        <f t="shared" ca="1" si="11"/>
        <v>-77.12</v>
      </c>
      <c r="X46" s="14">
        <f t="shared" ca="1" si="11"/>
        <v>-76.83</v>
      </c>
      <c r="Y46" s="14">
        <f t="shared" ca="1" si="11"/>
        <v>-76.569999999999993</v>
      </c>
      <c r="Z46" s="14">
        <f t="shared" ca="1" si="11"/>
        <v>-76.34</v>
      </c>
      <c r="AA46" s="14">
        <f t="shared" ca="1" si="11"/>
        <v>-75.736000000000004</v>
      </c>
      <c r="AB46" s="14">
        <f t="shared" ca="1" si="11"/>
        <v>0</v>
      </c>
      <c r="AC46" s="14">
        <f t="shared" ca="1" si="11"/>
        <v>0</v>
      </c>
      <c r="AD46" s="14">
        <f t="shared" ca="1" si="11"/>
        <v>0</v>
      </c>
      <c r="AE46" s="14">
        <f t="shared" ca="1" si="11"/>
        <v>0</v>
      </c>
      <c r="AF46" s="14">
        <f t="shared" ca="1" si="11"/>
        <v>0</v>
      </c>
      <c r="AG46" s="14">
        <f t="shared" ca="1" si="11"/>
        <v>0</v>
      </c>
      <c r="AH46" s="14">
        <f t="shared" ca="1" si="11"/>
        <v>0</v>
      </c>
      <c r="AI46" s="14">
        <f t="shared" ca="1" si="11"/>
        <v>0</v>
      </c>
      <c r="AJ46" s="14">
        <f t="shared" ca="1" si="11"/>
        <v>0</v>
      </c>
      <c r="AK46" s="14">
        <f t="shared" ca="1" si="11"/>
        <v>0</v>
      </c>
      <c r="AL46" s="14">
        <f t="shared" ca="1" si="11"/>
        <v>0</v>
      </c>
    </row>
    <row r="47" spans="1:54" ht="21" hidden="1" customHeight="1" outlineLevel="1" thickBot="1" x14ac:dyDescent="0.4">
      <c r="A47" s="5">
        <f t="shared" si="9"/>
        <v>0</v>
      </c>
      <c r="B47" s="5">
        <f t="shared" si="9"/>
        <v>5</v>
      </c>
      <c r="C47" s="5">
        <f t="shared" si="9"/>
        <v>4</v>
      </c>
      <c r="D47" s="5">
        <f t="shared" si="9"/>
        <v>0</v>
      </c>
      <c r="E47" s="6" t="str">
        <f t="shared" si="9"/>
        <v>*Ge4Se5</v>
      </c>
      <c r="F47" s="14">
        <f t="shared" ca="1" si="10"/>
        <v>-182.76</v>
      </c>
      <c r="G47" s="14">
        <f t="shared" ref="G47:AL54" ca="1" si="12">$A47*H.Ar + $B47*H.Se + $C47*H.Ge + $D47*H.Ga</f>
        <v>-150.88999999999999</v>
      </c>
      <c r="H47" s="14">
        <f t="shared" ca="1" si="12"/>
        <v>-132</v>
      </c>
      <c r="I47" s="14">
        <f t="shared" ca="1" si="12"/>
        <v>-119.86</v>
      </c>
      <c r="J47" s="14">
        <f t="shared" ca="1" si="12"/>
        <v>-111.60999999999999</v>
      </c>
      <c r="K47" s="14">
        <f t="shared" ca="1" si="12"/>
        <v>-109.96</v>
      </c>
      <c r="L47" s="14">
        <f t="shared" ca="1" si="12"/>
        <v>-108.46</v>
      </c>
      <c r="M47" s="14">
        <f t="shared" ca="1" si="12"/>
        <v>-107.09</v>
      </c>
      <c r="N47" s="14">
        <f t="shared" ca="1" si="12"/>
        <v>-105.82</v>
      </c>
      <c r="O47" s="14">
        <f t="shared" ca="1" si="12"/>
        <v>-104.64000000000001</v>
      </c>
      <c r="P47" s="14">
        <f t="shared" ca="1" si="12"/>
        <v>-103.55000000000001</v>
      </c>
      <c r="Q47" s="14">
        <f t="shared" ca="1" si="12"/>
        <v>-102.63</v>
      </c>
      <c r="R47" s="14">
        <f t="shared" ca="1" si="12"/>
        <v>-101.84</v>
      </c>
      <c r="S47" s="14">
        <f t="shared" ca="1" si="12"/>
        <v>-101.21000000000001</v>
      </c>
      <c r="T47" s="14">
        <f t="shared" ca="1" si="12"/>
        <v>-100.62</v>
      </c>
      <c r="U47" s="14">
        <f t="shared" ca="1" si="12"/>
        <v>-100.08</v>
      </c>
      <c r="V47" s="14">
        <f t="shared" ca="1" si="12"/>
        <v>-99.62</v>
      </c>
      <c r="W47" s="14">
        <f t="shared" ca="1" si="12"/>
        <v>-99.16</v>
      </c>
      <c r="X47" s="14">
        <f t="shared" ca="1" si="12"/>
        <v>-98.83</v>
      </c>
      <c r="Y47" s="14">
        <f t="shared" ca="1" si="12"/>
        <v>-98.539999999999992</v>
      </c>
      <c r="Z47" s="14">
        <f t="shared" ca="1" si="12"/>
        <v>-98.29</v>
      </c>
      <c r="AA47" s="14">
        <f t="shared" ca="1" si="12"/>
        <v>-97.705000000000013</v>
      </c>
      <c r="AB47" s="14">
        <f t="shared" ca="1" si="12"/>
        <v>0</v>
      </c>
      <c r="AC47" s="14">
        <f t="shared" ca="1" si="12"/>
        <v>0</v>
      </c>
      <c r="AD47" s="14">
        <f t="shared" ca="1" si="12"/>
        <v>0</v>
      </c>
      <c r="AE47" s="14">
        <f t="shared" ca="1" si="12"/>
        <v>0</v>
      </c>
      <c r="AF47" s="14">
        <f t="shared" ca="1" si="12"/>
        <v>0</v>
      </c>
      <c r="AG47" s="14">
        <f t="shared" ca="1" si="12"/>
        <v>0</v>
      </c>
      <c r="AH47" s="14">
        <f t="shared" ca="1" si="12"/>
        <v>0</v>
      </c>
      <c r="AI47" s="14">
        <f t="shared" ca="1" si="12"/>
        <v>0</v>
      </c>
      <c r="AJ47" s="14">
        <f t="shared" ca="1" si="12"/>
        <v>0</v>
      </c>
      <c r="AK47" s="14">
        <f t="shared" ca="1" si="12"/>
        <v>0</v>
      </c>
      <c r="AL47" s="14">
        <f t="shared" ca="1" si="12"/>
        <v>0</v>
      </c>
    </row>
    <row r="48" spans="1:54" ht="21" hidden="1" customHeight="1" outlineLevel="1" thickBot="1" x14ac:dyDescent="0.4">
      <c r="A48" s="5">
        <f t="shared" si="9"/>
        <v>0</v>
      </c>
      <c r="B48" s="5">
        <f t="shared" si="9"/>
        <v>2</v>
      </c>
      <c r="C48" s="5">
        <f t="shared" si="9"/>
        <v>1</v>
      </c>
      <c r="D48" s="5">
        <f t="shared" si="9"/>
        <v>0</v>
      </c>
      <c r="E48" s="6" t="str">
        <f t="shared" si="9"/>
        <v>*GeSe2</v>
      </c>
      <c r="F48" s="14">
        <f t="shared" ca="1" si="10"/>
        <v>-63.33</v>
      </c>
      <c r="G48" s="14">
        <f t="shared" ca="1" si="12"/>
        <v>-52.07</v>
      </c>
      <c r="H48" s="14">
        <f t="shared" ca="1" si="12"/>
        <v>-45.36</v>
      </c>
      <c r="I48" s="14">
        <f t="shared" ca="1" si="12"/>
        <v>-41.019999999999996</v>
      </c>
      <c r="J48" s="14">
        <f t="shared" ca="1" si="12"/>
        <v>-38.049999999999997</v>
      </c>
      <c r="K48" s="14">
        <f t="shared" ca="1" si="12"/>
        <v>-37.450000000000003</v>
      </c>
      <c r="L48" s="14">
        <f t="shared" ca="1" si="12"/>
        <v>-36.909999999999997</v>
      </c>
      <c r="M48" s="14">
        <f t="shared" ca="1" si="12"/>
        <v>-36.409999999999997</v>
      </c>
      <c r="N48" s="14">
        <f t="shared" ca="1" si="12"/>
        <v>-35.950000000000003</v>
      </c>
      <c r="O48" s="14">
        <f t="shared" ca="1" si="12"/>
        <v>-35.520000000000003</v>
      </c>
      <c r="P48" s="14">
        <f t="shared" ca="1" si="12"/>
        <v>-35.120000000000005</v>
      </c>
      <c r="Q48" s="14">
        <f t="shared" ca="1" si="12"/>
        <v>-34.739999999999995</v>
      </c>
      <c r="R48" s="14">
        <f t="shared" ca="1" si="12"/>
        <v>-34.4</v>
      </c>
      <c r="S48" s="14">
        <f t="shared" ca="1" si="12"/>
        <v>-34.1</v>
      </c>
      <c r="T48" s="14">
        <f t="shared" ca="1" si="12"/>
        <v>-33.81</v>
      </c>
      <c r="U48" s="14">
        <f t="shared" ca="1" si="12"/>
        <v>-33.54</v>
      </c>
      <c r="V48" s="14">
        <f t="shared" ca="1" si="12"/>
        <v>-33.29</v>
      </c>
      <c r="W48" s="14">
        <f t="shared" ca="1" si="12"/>
        <v>-33.04</v>
      </c>
      <c r="X48" s="14">
        <f t="shared" ca="1" si="12"/>
        <v>-32.83</v>
      </c>
      <c r="Y48" s="14">
        <f t="shared" ca="1" si="12"/>
        <v>-32.630000000000003</v>
      </c>
      <c r="Z48" s="14">
        <f t="shared" ca="1" si="12"/>
        <v>-32.44</v>
      </c>
      <c r="AA48" s="14">
        <f t="shared" ca="1" si="12"/>
        <v>-31.798000000000002</v>
      </c>
      <c r="AB48" s="14">
        <f t="shared" ca="1" si="12"/>
        <v>0</v>
      </c>
      <c r="AC48" s="14">
        <f t="shared" ca="1" si="12"/>
        <v>0</v>
      </c>
      <c r="AD48" s="14">
        <f t="shared" ca="1" si="12"/>
        <v>0</v>
      </c>
      <c r="AE48" s="14">
        <f t="shared" ca="1" si="12"/>
        <v>0</v>
      </c>
      <c r="AF48" s="14">
        <f t="shared" ca="1" si="12"/>
        <v>0</v>
      </c>
      <c r="AG48" s="14">
        <f t="shared" ca="1" si="12"/>
        <v>0</v>
      </c>
      <c r="AH48" s="14">
        <f t="shared" ca="1" si="12"/>
        <v>0</v>
      </c>
      <c r="AI48" s="14">
        <f t="shared" ca="1" si="12"/>
        <v>0</v>
      </c>
      <c r="AJ48" s="14">
        <f t="shared" ca="1" si="12"/>
        <v>0</v>
      </c>
      <c r="AK48" s="14">
        <f t="shared" ca="1" si="12"/>
        <v>0</v>
      </c>
      <c r="AL48" s="14">
        <f t="shared" ca="1" si="12"/>
        <v>0</v>
      </c>
    </row>
    <row r="49" spans="1:38" ht="21" hidden="1" customHeight="1" outlineLevel="1" thickBot="1" x14ac:dyDescent="0.4">
      <c r="A49" s="5">
        <f t="shared" si="9"/>
        <v>0</v>
      </c>
      <c r="B49" s="5">
        <f t="shared" si="9"/>
        <v>1</v>
      </c>
      <c r="C49" s="5">
        <f t="shared" si="9"/>
        <v>1</v>
      </c>
      <c r="D49" s="5">
        <f t="shared" si="9"/>
        <v>0</v>
      </c>
      <c r="E49" s="6" t="str">
        <f t="shared" si="9"/>
        <v>*GeSe</v>
      </c>
      <c r="F49" s="14">
        <f t="shared" ca="1" si="10"/>
        <v>-39.81</v>
      </c>
      <c r="G49" s="14">
        <f t="shared" ca="1" si="12"/>
        <v>-32.94</v>
      </c>
      <c r="H49" s="14">
        <f t="shared" ca="1" si="12"/>
        <v>-28.880000000000003</v>
      </c>
      <c r="I49" s="14">
        <f t="shared" ca="1" si="12"/>
        <v>-26.28</v>
      </c>
      <c r="J49" s="14">
        <f t="shared" ca="1" si="12"/>
        <v>-24.52</v>
      </c>
      <c r="K49" s="14">
        <f t="shared" ca="1" si="12"/>
        <v>-24.17</v>
      </c>
      <c r="L49" s="14">
        <f t="shared" ca="1" si="12"/>
        <v>-23.85</v>
      </c>
      <c r="M49" s="14">
        <f t="shared" ca="1" si="12"/>
        <v>-23.560000000000002</v>
      </c>
      <c r="N49" s="14">
        <f t="shared" ca="1" si="12"/>
        <v>-23.29</v>
      </c>
      <c r="O49" s="14">
        <f t="shared" ca="1" si="12"/>
        <v>-23.04</v>
      </c>
      <c r="P49" s="14">
        <f t="shared" ca="1" si="12"/>
        <v>-22.810000000000002</v>
      </c>
      <c r="Q49" s="14">
        <f t="shared" ca="1" si="12"/>
        <v>-22.63</v>
      </c>
      <c r="R49" s="14">
        <f t="shared" ca="1" si="12"/>
        <v>-22.48</v>
      </c>
      <c r="S49" s="14">
        <f t="shared" ca="1" si="12"/>
        <v>-22.37</v>
      </c>
      <c r="T49" s="14">
        <f t="shared" ca="1" si="12"/>
        <v>-22.27</v>
      </c>
      <c r="U49" s="14">
        <f t="shared" ca="1" si="12"/>
        <v>-22.18</v>
      </c>
      <c r="V49" s="14">
        <f t="shared" ca="1" si="12"/>
        <v>-22.11</v>
      </c>
      <c r="W49" s="14">
        <f t="shared" ca="1" si="12"/>
        <v>-22.04</v>
      </c>
      <c r="X49" s="14">
        <f t="shared" ca="1" si="12"/>
        <v>-22</v>
      </c>
      <c r="Y49" s="14">
        <f t="shared" ca="1" si="12"/>
        <v>-21.97</v>
      </c>
      <c r="Z49" s="14">
        <f t="shared" ca="1" si="12"/>
        <v>-21.950000000000003</v>
      </c>
      <c r="AA49" s="14">
        <f t="shared" ca="1" si="12"/>
        <v>-21.969000000000001</v>
      </c>
      <c r="AB49" s="14">
        <f t="shared" ca="1" si="12"/>
        <v>0</v>
      </c>
      <c r="AC49" s="14">
        <f t="shared" ca="1" si="12"/>
        <v>0</v>
      </c>
      <c r="AD49" s="14">
        <f t="shared" ca="1" si="12"/>
        <v>0</v>
      </c>
      <c r="AE49" s="14">
        <f t="shared" ca="1" si="12"/>
        <v>0</v>
      </c>
      <c r="AF49" s="14">
        <f t="shared" ca="1" si="12"/>
        <v>0</v>
      </c>
      <c r="AG49" s="14">
        <f t="shared" ca="1" si="12"/>
        <v>0</v>
      </c>
      <c r="AH49" s="14">
        <f t="shared" ca="1" si="12"/>
        <v>0</v>
      </c>
      <c r="AI49" s="14">
        <f t="shared" ca="1" si="12"/>
        <v>0</v>
      </c>
      <c r="AJ49" s="14">
        <f t="shared" ca="1" si="12"/>
        <v>0</v>
      </c>
      <c r="AK49" s="14">
        <f t="shared" ca="1" si="12"/>
        <v>0</v>
      </c>
      <c r="AL49" s="14">
        <f t="shared" ca="1" si="12"/>
        <v>0</v>
      </c>
    </row>
    <row r="50" spans="1:38" ht="21" hidden="1" customHeight="1" outlineLevel="1" thickBot="1" x14ac:dyDescent="0.4">
      <c r="A50" s="5">
        <f t="shared" si="9"/>
        <v>0</v>
      </c>
      <c r="B50" s="5">
        <f t="shared" si="9"/>
        <v>7</v>
      </c>
      <c r="C50" s="5">
        <f t="shared" si="9"/>
        <v>0</v>
      </c>
      <c r="D50" s="5">
        <f t="shared" si="9"/>
        <v>0</v>
      </c>
      <c r="E50" s="6" t="str">
        <f t="shared" si="9"/>
        <v>Se7</v>
      </c>
      <c r="F50" s="14">
        <f t="shared" ca="1" si="10"/>
        <v>-164.64</v>
      </c>
      <c r="G50" s="14">
        <f t="shared" ca="1" si="12"/>
        <v>-133.91</v>
      </c>
      <c r="H50" s="14">
        <f t="shared" ca="1" si="12"/>
        <v>-115.36</v>
      </c>
      <c r="I50" s="14">
        <f t="shared" ca="1" si="12"/>
        <v>-103.18</v>
      </c>
      <c r="J50" s="14">
        <f t="shared" ca="1" si="12"/>
        <v>-94.71</v>
      </c>
      <c r="K50" s="14">
        <f t="shared" ca="1" si="12"/>
        <v>-92.96</v>
      </c>
      <c r="L50" s="14">
        <f t="shared" ca="1" si="12"/>
        <v>-91.42</v>
      </c>
      <c r="M50" s="14">
        <f t="shared" ca="1" si="12"/>
        <v>-89.95</v>
      </c>
      <c r="N50" s="14">
        <f t="shared" ca="1" si="12"/>
        <v>-88.62</v>
      </c>
      <c r="O50" s="14">
        <f t="shared" ca="1" si="12"/>
        <v>-87.36</v>
      </c>
      <c r="P50" s="14">
        <f t="shared" ca="1" si="12"/>
        <v>-86.17</v>
      </c>
      <c r="Q50" s="14">
        <f t="shared" ca="1" si="12"/>
        <v>-84.77</v>
      </c>
      <c r="R50" s="14">
        <f t="shared" ca="1" si="12"/>
        <v>-83.44</v>
      </c>
      <c r="S50" s="14">
        <f t="shared" ca="1" si="12"/>
        <v>-82.11</v>
      </c>
      <c r="T50" s="14">
        <f t="shared" ca="1" si="12"/>
        <v>-80.78</v>
      </c>
      <c r="U50" s="14">
        <f t="shared" ca="1" si="12"/>
        <v>-79.52</v>
      </c>
      <c r="V50" s="14">
        <f t="shared" ca="1" si="12"/>
        <v>-78.259999999999991</v>
      </c>
      <c r="W50" s="14">
        <f t="shared" ca="1" si="12"/>
        <v>-77</v>
      </c>
      <c r="X50" s="14">
        <f t="shared" ca="1" si="12"/>
        <v>-75.81</v>
      </c>
      <c r="Y50" s="14">
        <f t="shared" ca="1" si="12"/>
        <v>-74.62</v>
      </c>
      <c r="Z50" s="14">
        <f t="shared" ca="1" si="12"/>
        <v>-73.430000000000007</v>
      </c>
      <c r="AA50" s="14">
        <f t="shared" ca="1" si="12"/>
        <v>-68.802999999999997</v>
      </c>
      <c r="AB50" s="14">
        <f t="shared" ca="1" si="12"/>
        <v>0</v>
      </c>
      <c r="AC50" s="14">
        <f t="shared" ca="1" si="12"/>
        <v>0</v>
      </c>
      <c r="AD50" s="14">
        <f t="shared" ca="1" si="12"/>
        <v>0</v>
      </c>
      <c r="AE50" s="14">
        <f t="shared" ca="1" si="12"/>
        <v>0</v>
      </c>
      <c r="AF50" s="14">
        <f t="shared" ca="1" si="12"/>
        <v>0</v>
      </c>
      <c r="AG50" s="14">
        <f t="shared" ca="1" si="12"/>
        <v>0</v>
      </c>
      <c r="AH50" s="14">
        <f t="shared" ca="1" si="12"/>
        <v>0</v>
      </c>
      <c r="AI50" s="14">
        <f t="shared" ca="1" si="12"/>
        <v>0</v>
      </c>
      <c r="AJ50" s="14">
        <f t="shared" ca="1" si="12"/>
        <v>0</v>
      </c>
      <c r="AK50" s="14">
        <f t="shared" ca="1" si="12"/>
        <v>0</v>
      </c>
      <c r="AL50" s="14">
        <f t="shared" ca="1" si="12"/>
        <v>0</v>
      </c>
    </row>
    <row r="51" spans="1:38" ht="21" hidden="1" customHeight="1" outlineLevel="1" thickBot="1" x14ac:dyDescent="0.4">
      <c r="A51" s="5">
        <f t="shared" si="9"/>
        <v>0</v>
      </c>
      <c r="B51" s="5">
        <f t="shared" si="9"/>
        <v>6</v>
      </c>
      <c r="C51" s="5">
        <f t="shared" si="9"/>
        <v>0</v>
      </c>
      <c r="D51" s="5">
        <f t="shared" si="9"/>
        <v>0</v>
      </c>
      <c r="E51" s="6" t="str">
        <f t="shared" si="9"/>
        <v>Se6</v>
      </c>
      <c r="F51" s="14">
        <f t="shared" ca="1" si="10"/>
        <v>-141.12</v>
      </c>
      <c r="G51" s="14">
        <f t="shared" ca="1" si="12"/>
        <v>-114.78</v>
      </c>
      <c r="H51" s="14">
        <f t="shared" ca="1" si="12"/>
        <v>-98.88</v>
      </c>
      <c r="I51" s="14">
        <f t="shared" ca="1" si="12"/>
        <v>-88.44</v>
      </c>
      <c r="J51" s="14">
        <f t="shared" ca="1" si="12"/>
        <v>-81.179999999999993</v>
      </c>
      <c r="K51" s="14">
        <f t="shared" ca="1" si="12"/>
        <v>-79.679999999999993</v>
      </c>
      <c r="L51" s="14">
        <f t="shared" ca="1" si="12"/>
        <v>-78.36</v>
      </c>
      <c r="M51" s="14">
        <f t="shared" ca="1" si="12"/>
        <v>-77.099999999999994</v>
      </c>
      <c r="N51" s="14">
        <f t="shared" ca="1" si="12"/>
        <v>-75.960000000000008</v>
      </c>
      <c r="O51" s="14">
        <f t="shared" ca="1" si="12"/>
        <v>-74.88</v>
      </c>
      <c r="P51" s="14">
        <f t="shared" ca="1" si="12"/>
        <v>-73.86</v>
      </c>
      <c r="Q51" s="14">
        <f t="shared" ca="1" si="12"/>
        <v>-72.66</v>
      </c>
      <c r="R51" s="14">
        <f t="shared" ca="1" si="12"/>
        <v>-71.52</v>
      </c>
      <c r="S51" s="14">
        <f t="shared" ca="1" si="12"/>
        <v>-70.38</v>
      </c>
      <c r="T51" s="14">
        <f t="shared" ca="1" si="12"/>
        <v>-69.239999999999995</v>
      </c>
      <c r="U51" s="14">
        <f t="shared" ca="1" si="12"/>
        <v>-68.16</v>
      </c>
      <c r="V51" s="14">
        <f t="shared" ca="1" si="12"/>
        <v>-67.08</v>
      </c>
      <c r="W51" s="14">
        <f t="shared" ca="1" si="12"/>
        <v>-66</v>
      </c>
      <c r="X51" s="14">
        <f t="shared" ca="1" si="12"/>
        <v>-64.98</v>
      </c>
      <c r="Y51" s="14">
        <f t="shared" ca="1" si="12"/>
        <v>-63.96</v>
      </c>
      <c r="Z51" s="14">
        <f t="shared" ca="1" si="12"/>
        <v>-62.94</v>
      </c>
      <c r="AA51" s="14">
        <f t="shared" ca="1" si="12"/>
        <v>-58.974000000000004</v>
      </c>
      <c r="AB51" s="14">
        <f t="shared" ca="1" si="12"/>
        <v>0</v>
      </c>
      <c r="AC51" s="14">
        <f t="shared" ca="1" si="12"/>
        <v>0</v>
      </c>
      <c r="AD51" s="14">
        <f t="shared" ca="1" si="12"/>
        <v>0</v>
      </c>
      <c r="AE51" s="14">
        <f t="shared" ca="1" si="12"/>
        <v>0</v>
      </c>
      <c r="AF51" s="14">
        <f t="shared" ca="1" si="12"/>
        <v>0</v>
      </c>
      <c r="AG51" s="14">
        <f t="shared" ca="1" si="12"/>
        <v>0</v>
      </c>
      <c r="AH51" s="14">
        <f t="shared" ca="1" si="12"/>
        <v>0</v>
      </c>
      <c r="AI51" s="14">
        <f t="shared" ca="1" si="12"/>
        <v>0</v>
      </c>
      <c r="AJ51" s="14">
        <f t="shared" ca="1" si="12"/>
        <v>0</v>
      </c>
      <c r="AK51" s="14">
        <f t="shared" ca="1" si="12"/>
        <v>0</v>
      </c>
      <c r="AL51" s="14">
        <f t="shared" ca="1" si="12"/>
        <v>0</v>
      </c>
    </row>
    <row r="52" spans="1:38" ht="21" hidden="1" customHeight="1" outlineLevel="1" thickBot="1" x14ac:dyDescent="0.4">
      <c r="A52" s="5">
        <f t="shared" si="9"/>
        <v>0</v>
      </c>
      <c r="B52" s="5">
        <f t="shared" si="9"/>
        <v>5</v>
      </c>
      <c r="C52" s="5">
        <f t="shared" si="9"/>
        <v>0</v>
      </c>
      <c r="D52" s="5">
        <f t="shared" si="9"/>
        <v>0</v>
      </c>
      <c r="E52" s="6" t="str">
        <f t="shared" si="9"/>
        <v>Se5</v>
      </c>
      <c r="F52" s="14">
        <f t="shared" ca="1" si="10"/>
        <v>-117.6</v>
      </c>
      <c r="G52" s="14">
        <f t="shared" ca="1" si="12"/>
        <v>-95.649999999999991</v>
      </c>
      <c r="H52" s="14">
        <f t="shared" ca="1" si="12"/>
        <v>-82.4</v>
      </c>
      <c r="I52" s="14">
        <f t="shared" ca="1" si="12"/>
        <v>-73.7</v>
      </c>
      <c r="J52" s="14">
        <f t="shared" ca="1" si="12"/>
        <v>-67.649999999999991</v>
      </c>
      <c r="K52" s="14">
        <f t="shared" ca="1" si="12"/>
        <v>-66.399999999999991</v>
      </c>
      <c r="L52" s="14">
        <f t="shared" ca="1" si="12"/>
        <v>-65.3</v>
      </c>
      <c r="M52" s="14">
        <f t="shared" ca="1" si="12"/>
        <v>-64.25</v>
      </c>
      <c r="N52" s="14">
        <f t="shared" ca="1" si="12"/>
        <v>-63.3</v>
      </c>
      <c r="O52" s="14">
        <f t="shared" ca="1" si="12"/>
        <v>-62.400000000000006</v>
      </c>
      <c r="P52" s="14">
        <f t="shared" ca="1" si="12"/>
        <v>-61.550000000000004</v>
      </c>
      <c r="Q52" s="14">
        <f t="shared" ca="1" si="12"/>
        <v>-60.55</v>
      </c>
      <c r="R52" s="14">
        <f t="shared" ca="1" si="12"/>
        <v>-59.6</v>
      </c>
      <c r="S52" s="14">
        <f t="shared" ca="1" si="12"/>
        <v>-58.650000000000006</v>
      </c>
      <c r="T52" s="14">
        <f t="shared" ca="1" si="12"/>
        <v>-57.699999999999996</v>
      </c>
      <c r="U52" s="14">
        <f t="shared" ca="1" si="12"/>
        <v>-56.8</v>
      </c>
      <c r="V52" s="14">
        <f t="shared" ca="1" si="12"/>
        <v>-55.9</v>
      </c>
      <c r="W52" s="14">
        <f t="shared" ca="1" si="12"/>
        <v>-55</v>
      </c>
      <c r="X52" s="14">
        <f t="shared" ca="1" si="12"/>
        <v>-54.15</v>
      </c>
      <c r="Y52" s="14">
        <f t="shared" ca="1" si="12"/>
        <v>-53.3</v>
      </c>
      <c r="Z52" s="14">
        <f t="shared" ca="1" si="12"/>
        <v>-52.45</v>
      </c>
      <c r="AA52" s="14">
        <f t="shared" ca="1" si="12"/>
        <v>-49.145000000000003</v>
      </c>
      <c r="AB52" s="14">
        <f t="shared" ca="1" si="12"/>
        <v>0</v>
      </c>
      <c r="AC52" s="14">
        <f t="shared" ca="1" si="12"/>
        <v>0</v>
      </c>
      <c r="AD52" s="14">
        <f t="shared" ca="1" si="12"/>
        <v>0</v>
      </c>
      <c r="AE52" s="14">
        <f t="shared" ca="1" si="12"/>
        <v>0</v>
      </c>
      <c r="AF52" s="14">
        <f t="shared" ca="1" si="12"/>
        <v>0</v>
      </c>
      <c r="AG52" s="14">
        <f t="shared" ca="1" si="12"/>
        <v>0</v>
      </c>
      <c r="AH52" s="14">
        <f t="shared" ca="1" si="12"/>
        <v>0</v>
      </c>
      <c r="AI52" s="14">
        <f t="shared" ca="1" si="12"/>
        <v>0</v>
      </c>
      <c r="AJ52" s="14">
        <f t="shared" ca="1" si="12"/>
        <v>0</v>
      </c>
      <c r="AK52" s="14">
        <f t="shared" ca="1" si="12"/>
        <v>0</v>
      </c>
      <c r="AL52" s="14">
        <f t="shared" ca="1" si="12"/>
        <v>0</v>
      </c>
    </row>
    <row r="53" spans="1:38" ht="21" hidden="1" customHeight="1" outlineLevel="1" thickBot="1" x14ac:dyDescent="0.4">
      <c r="A53" s="5">
        <f t="shared" si="9"/>
        <v>0</v>
      </c>
      <c r="B53" s="5">
        <f t="shared" si="9"/>
        <v>4</v>
      </c>
      <c r="C53" s="5">
        <f t="shared" si="9"/>
        <v>0</v>
      </c>
      <c r="D53" s="5">
        <f t="shared" si="9"/>
        <v>0</v>
      </c>
      <c r="E53" s="6" t="str">
        <f t="shared" si="9"/>
        <v>Se4</v>
      </c>
      <c r="F53" s="14">
        <f t="shared" ca="1" si="10"/>
        <v>-94.08</v>
      </c>
      <c r="G53" s="14">
        <f t="shared" ca="1" si="12"/>
        <v>-76.52</v>
      </c>
      <c r="H53" s="14">
        <f t="shared" ca="1" si="12"/>
        <v>-65.92</v>
      </c>
      <c r="I53" s="14">
        <f t="shared" ca="1" si="12"/>
        <v>-58.96</v>
      </c>
      <c r="J53" s="14">
        <f t="shared" ca="1" si="12"/>
        <v>-54.12</v>
      </c>
      <c r="K53" s="14">
        <f t="shared" ca="1" si="12"/>
        <v>-53.12</v>
      </c>
      <c r="L53" s="14">
        <f t="shared" ca="1" si="12"/>
        <v>-52.24</v>
      </c>
      <c r="M53" s="14">
        <f t="shared" ca="1" si="12"/>
        <v>-51.4</v>
      </c>
      <c r="N53" s="14">
        <f t="shared" ca="1" si="12"/>
        <v>-50.64</v>
      </c>
      <c r="O53" s="14">
        <f t="shared" ca="1" si="12"/>
        <v>-49.92</v>
      </c>
      <c r="P53" s="14">
        <f t="shared" ca="1" si="12"/>
        <v>-49.24</v>
      </c>
      <c r="Q53" s="14">
        <f t="shared" ca="1" si="12"/>
        <v>-48.44</v>
      </c>
      <c r="R53" s="14">
        <f t="shared" ca="1" si="12"/>
        <v>-47.68</v>
      </c>
      <c r="S53" s="14">
        <f t="shared" ca="1" si="12"/>
        <v>-46.92</v>
      </c>
      <c r="T53" s="14">
        <f t="shared" ca="1" si="12"/>
        <v>-46.16</v>
      </c>
      <c r="U53" s="14">
        <f t="shared" ca="1" si="12"/>
        <v>-45.44</v>
      </c>
      <c r="V53" s="14">
        <f t="shared" ca="1" si="12"/>
        <v>-44.72</v>
      </c>
      <c r="W53" s="14">
        <f t="shared" ca="1" si="12"/>
        <v>-44</v>
      </c>
      <c r="X53" s="14">
        <f t="shared" ca="1" si="12"/>
        <v>-43.32</v>
      </c>
      <c r="Y53" s="14">
        <f t="shared" ca="1" si="12"/>
        <v>-42.64</v>
      </c>
      <c r="Z53" s="14">
        <f t="shared" ca="1" si="12"/>
        <v>-41.96</v>
      </c>
      <c r="AA53" s="14">
        <f t="shared" ca="1" si="12"/>
        <v>-39.316000000000003</v>
      </c>
      <c r="AB53" s="14">
        <f t="shared" ca="1" si="12"/>
        <v>0</v>
      </c>
      <c r="AC53" s="14">
        <f t="shared" ca="1" si="12"/>
        <v>0</v>
      </c>
      <c r="AD53" s="14">
        <f t="shared" ca="1" si="12"/>
        <v>0</v>
      </c>
      <c r="AE53" s="14">
        <f t="shared" ca="1" si="12"/>
        <v>0</v>
      </c>
      <c r="AF53" s="14">
        <f t="shared" ca="1" si="12"/>
        <v>0</v>
      </c>
      <c r="AG53" s="14">
        <f t="shared" ca="1" si="12"/>
        <v>0</v>
      </c>
      <c r="AH53" s="14">
        <f t="shared" ca="1" si="12"/>
        <v>0</v>
      </c>
      <c r="AI53" s="14">
        <f t="shared" ca="1" si="12"/>
        <v>0</v>
      </c>
      <c r="AJ53" s="14">
        <f t="shared" ca="1" si="12"/>
        <v>0</v>
      </c>
      <c r="AK53" s="14">
        <f t="shared" ca="1" si="12"/>
        <v>0</v>
      </c>
      <c r="AL53" s="14">
        <f t="shared" ca="1" si="12"/>
        <v>0</v>
      </c>
    </row>
    <row r="54" spans="1:38" ht="21" hidden="1" customHeight="1" outlineLevel="1" thickBot="1" x14ac:dyDescent="0.4">
      <c r="A54" s="5">
        <f t="shared" si="9"/>
        <v>0</v>
      </c>
      <c r="B54" s="5">
        <f t="shared" si="9"/>
        <v>3</v>
      </c>
      <c r="C54" s="5">
        <f t="shared" si="9"/>
        <v>0</v>
      </c>
      <c r="D54" s="5">
        <f t="shared" si="9"/>
        <v>0</v>
      </c>
      <c r="E54" s="6" t="str">
        <f t="shared" si="9"/>
        <v>Se3</v>
      </c>
      <c r="F54" s="14">
        <f t="shared" ca="1" si="10"/>
        <v>-70.56</v>
      </c>
      <c r="G54" s="14">
        <f t="shared" ca="1" si="12"/>
        <v>-57.39</v>
      </c>
      <c r="H54" s="14">
        <f t="shared" ca="1" si="12"/>
        <v>-49.44</v>
      </c>
      <c r="I54" s="14">
        <f t="shared" ca="1" si="12"/>
        <v>-44.22</v>
      </c>
      <c r="J54" s="14">
        <f t="shared" ca="1" si="12"/>
        <v>-40.589999999999996</v>
      </c>
      <c r="K54" s="14">
        <f t="shared" ca="1" si="12"/>
        <v>-39.839999999999996</v>
      </c>
      <c r="L54" s="14">
        <f t="shared" ca="1" si="12"/>
        <v>-39.18</v>
      </c>
      <c r="M54" s="14">
        <f t="shared" ca="1" si="12"/>
        <v>-38.549999999999997</v>
      </c>
      <c r="N54" s="14">
        <f t="shared" ca="1" si="12"/>
        <v>-37.980000000000004</v>
      </c>
      <c r="O54" s="14">
        <f t="shared" ca="1" si="12"/>
        <v>-37.44</v>
      </c>
      <c r="P54" s="14">
        <f t="shared" ca="1" si="12"/>
        <v>-36.93</v>
      </c>
      <c r="Q54" s="14">
        <f t="shared" ca="1" si="12"/>
        <v>-36.33</v>
      </c>
      <c r="R54" s="14">
        <f t="shared" ca="1" si="12"/>
        <v>-35.76</v>
      </c>
      <c r="S54" s="14">
        <f t="shared" ca="1" si="12"/>
        <v>-35.19</v>
      </c>
      <c r="T54" s="14">
        <f t="shared" ca="1" si="12"/>
        <v>-34.619999999999997</v>
      </c>
      <c r="U54" s="14">
        <f t="shared" ref="U54:AL54" ca="1" si="13">$A54*H.Ar + $B54*H.Se + $C54*H.Ge + $D54*H.Ga</f>
        <v>-34.08</v>
      </c>
      <c r="V54" s="14">
        <f t="shared" ca="1" si="13"/>
        <v>-33.54</v>
      </c>
      <c r="W54" s="14">
        <f t="shared" ca="1" si="13"/>
        <v>-33</v>
      </c>
      <c r="X54" s="14">
        <f t="shared" ca="1" si="13"/>
        <v>-32.49</v>
      </c>
      <c r="Y54" s="14">
        <f t="shared" ca="1" si="13"/>
        <v>-31.98</v>
      </c>
      <c r="Z54" s="14">
        <f t="shared" ca="1" si="13"/>
        <v>-31.47</v>
      </c>
      <c r="AA54" s="14">
        <f t="shared" ca="1" si="13"/>
        <v>-29.487000000000002</v>
      </c>
      <c r="AB54" s="14">
        <f t="shared" ca="1" si="13"/>
        <v>0</v>
      </c>
      <c r="AC54" s="14">
        <f t="shared" ca="1" si="13"/>
        <v>0</v>
      </c>
      <c r="AD54" s="14">
        <f t="shared" ca="1" si="13"/>
        <v>0</v>
      </c>
      <c r="AE54" s="14">
        <f t="shared" ca="1" si="13"/>
        <v>0</v>
      </c>
      <c r="AF54" s="14">
        <f t="shared" ca="1" si="13"/>
        <v>0</v>
      </c>
      <c r="AG54" s="14">
        <f t="shared" ca="1" si="13"/>
        <v>0</v>
      </c>
      <c r="AH54" s="14">
        <f t="shared" ca="1" si="13"/>
        <v>0</v>
      </c>
      <c r="AI54" s="14">
        <f t="shared" ca="1" si="13"/>
        <v>0</v>
      </c>
      <c r="AJ54" s="14">
        <f t="shared" ca="1" si="13"/>
        <v>0</v>
      </c>
      <c r="AK54" s="14">
        <f t="shared" ca="1" si="13"/>
        <v>0</v>
      </c>
      <c r="AL54" s="14">
        <f t="shared" ca="1" si="13"/>
        <v>0</v>
      </c>
    </row>
    <row r="55" spans="1:38" ht="21" hidden="1" customHeight="1" outlineLevel="1" thickBot="1" x14ac:dyDescent="0.4">
      <c r="A55" s="5">
        <f t="shared" si="9"/>
        <v>0</v>
      </c>
      <c r="B55" s="5">
        <f t="shared" si="9"/>
        <v>2</v>
      </c>
      <c r="C55" s="5">
        <f t="shared" si="9"/>
        <v>0</v>
      </c>
      <c r="D55" s="5">
        <f t="shared" si="9"/>
        <v>0</v>
      </c>
      <c r="E55" s="6" t="str">
        <f t="shared" si="9"/>
        <v>Se2</v>
      </c>
      <c r="F55" s="14">
        <f t="shared" ca="1" si="10"/>
        <v>-47.04</v>
      </c>
      <c r="G55" s="14">
        <f t="shared" ref="G55:AL62" ca="1" si="14">$A55*H.Ar + $B55*H.Se + $C55*H.Ge + $D55*H.Ga</f>
        <v>-38.26</v>
      </c>
      <c r="H55" s="14">
        <f t="shared" ca="1" si="14"/>
        <v>-32.96</v>
      </c>
      <c r="I55" s="14">
        <f t="shared" ca="1" si="14"/>
        <v>-29.48</v>
      </c>
      <c r="J55" s="14">
        <f t="shared" ca="1" si="14"/>
        <v>-27.06</v>
      </c>
      <c r="K55" s="14">
        <f t="shared" ca="1" si="14"/>
        <v>-26.56</v>
      </c>
      <c r="L55" s="14">
        <f t="shared" ca="1" si="14"/>
        <v>-26.12</v>
      </c>
      <c r="M55" s="14">
        <f t="shared" ca="1" si="14"/>
        <v>-25.7</v>
      </c>
      <c r="N55" s="14">
        <f t="shared" ca="1" si="14"/>
        <v>-25.32</v>
      </c>
      <c r="O55" s="14">
        <f t="shared" ca="1" si="14"/>
        <v>-24.96</v>
      </c>
      <c r="P55" s="14">
        <f t="shared" ca="1" si="14"/>
        <v>-24.62</v>
      </c>
      <c r="Q55" s="14">
        <f t="shared" ca="1" si="14"/>
        <v>-24.22</v>
      </c>
      <c r="R55" s="14">
        <f t="shared" ca="1" si="14"/>
        <v>-23.84</v>
      </c>
      <c r="S55" s="14">
        <f t="shared" ca="1" si="14"/>
        <v>-23.46</v>
      </c>
      <c r="T55" s="14">
        <f t="shared" ca="1" si="14"/>
        <v>-23.08</v>
      </c>
      <c r="U55" s="14">
        <f t="shared" ca="1" si="14"/>
        <v>-22.72</v>
      </c>
      <c r="V55" s="14">
        <f t="shared" ca="1" si="14"/>
        <v>-22.36</v>
      </c>
      <c r="W55" s="14">
        <f t="shared" ca="1" si="14"/>
        <v>-22</v>
      </c>
      <c r="X55" s="14">
        <f t="shared" ca="1" si="14"/>
        <v>-21.66</v>
      </c>
      <c r="Y55" s="14">
        <f t="shared" ca="1" si="14"/>
        <v>-21.32</v>
      </c>
      <c r="Z55" s="14">
        <f t="shared" ca="1" si="14"/>
        <v>-20.98</v>
      </c>
      <c r="AA55" s="14">
        <f t="shared" ca="1" si="14"/>
        <v>-19.658000000000001</v>
      </c>
      <c r="AB55" s="14">
        <f t="shared" ca="1" si="14"/>
        <v>0</v>
      </c>
      <c r="AC55" s="14">
        <f t="shared" ca="1" si="14"/>
        <v>0</v>
      </c>
      <c r="AD55" s="14">
        <f t="shared" ca="1" si="14"/>
        <v>0</v>
      </c>
      <c r="AE55" s="14">
        <f t="shared" ca="1" si="14"/>
        <v>0</v>
      </c>
      <c r="AF55" s="14">
        <f t="shared" ca="1" si="14"/>
        <v>0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hidden="1" customHeight="1" outlineLevel="1" thickBot="1" x14ac:dyDescent="0.4">
      <c r="A56" s="5">
        <f t="shared" ref="A56:E65" si="15">A14</f>
        <v>0</v>
      </c>
      <c r="B56" s="5">
        <f t="shared" si="15"/>
        <v>1</v>
      </c>
      <c r="C56" s="5">
        <f t="shared" si="15"/>
        <v>0</v>
      </c>
      <c r="D56" s="5">
        <f t="shared" si="15"/>
        <v>0</v>
      </c>
      <c r="E56" s="6" t="str">
        <f t="shared" si="15"/>
        <v>Se</v>
      </c>
      <c r="F56" s="14">
        <f t="shared" ref="F56:U65" ca="1" si="16">$A56*H.Ar + $B56*H.Se + $C56*H.Ge + $D56*H.Ga</f>
        <v>-23.52</v>
      </c>
      <c r="G56" s="14">
        <f t="shared" ca="1" si="16"/>
        <v>-19.13</v>
      </c>
      <c r="H56" s="14">
        <f t="shared" ca="1" si="16"/>
        <v>-16.48</v>
      </c>
      <c r="I56" s="14">
        <f t="shared" ca="1" si="16"/>
        <v>-14.74</v>
      </c>
      <c r="J56" s="14">
        <f t="shared" ca="1" si="16"/>
        <v>-13.53</v>
      </c>
      <c r="K56" s="14">
        <f t="shared" ca="1" si="16"/>
        <v>-13.28</v>
      </c>
      <c r="L56" s="14">
        <f t="shared" ca="1" si="16"/>
        <v>-13.06</v>
      </c>
      <c r="M56" s="14">
        <f t="shared" ca="1" si="16"/>
        <v>-12.85</v>
      </c>
      <c r="N56" s="14">
        <f t="shared" ca="1" si="16"/>
        <v>-12.66</v>
      </c>
      <c r="O56" s="14">
        <f t="shared" ca="1" si="16"/>
        <v>-12.48</v>
      </c>
      <c r="P56" s="14">
        <f t="shared" ca="1" si="16"/>
        <v>-12.31</v>
      </c>
      <c r="Q56" s="14">
        <f t="shared" ca="1" si="16"/>
        <v>-12.11</v>
      </c>
      <c r="R56" s="14">
        <f t="shared" ca="1" si="16"/>
        <v>-11.92</v>
      </c>
      <c r="S56" s="14">
        <f t="shared" ca="1" si="16"/>
        <v>-11.73</v>
      </c>
      <c r="T56" s="14">
        <f t="shared" ca="1" si="16"/>
        <v>-11.54</v>
      </c>
      <c r="U56" s="14">
        <f t="shared" ca="1" si="16"/>
        <v>-11.36</v>
      </c>
      <c r="V56" s="14">
        <f t="shared" ca="1" si="14"/>
        <v>-11.18</v>
      </c>
      <c r="W56" s="14">
        <f t="shared" ca="1" si="14"/>
        <v>-11</v>
      </c>
      <c r="X56" s="14">
        <f t="shared" ca="1" si="14"/>
        <v>-10.83</v>
      </c>
      <c r="Y56" s="14">
        <f t="shared" ca="1" si="14"/>
        <v>-10.66</v>
      </c>
      <c r="Z56" s="14">
        <f t="shared" ca="1" si="14"/>
        <v>-10.49</v>
      </c>
      <c r="AA56" s="14">
        <f t="shared" ca="1" si="14"/>
        <v>-9.8290000000000006</v>
      </c>
      <c r="AB56" s="14">
        <f t="shared" ca="1" si="14"/>
        <v>0</v>
      </c>
      <c r="AC56" s="14">
        <f t="shared" ca="1" si="14"/>
        <v>0</v>
      </c>
      <c r="AD56" s="14">
        <f t="shared" ca="1" si="14"/>
        <v>0</v>
      </c>
      <c r="AE56" s="14">
        <f t="shared" ca="1" si="14"/>
        <v>0</v>
      </c>
      <c r="AF56" s="14">
        <f t="shared" ca="1" si="14"/>
        <v>0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hidden="1" customHeight="1" outlineLevel="1" thickBot="1" x14ac:dyDescent="0.4">
      <c r="A57" s="5">
        <f t="shared" si="15"/>
        <v>1</v>
      </c>
      <c r="B57" s="5">
        <f t="shared" si="15"/>
        <v>0</v>
      </c>
      <c r="C57" s="5">
        <f t="shared" si="15"/>
        <v>0</v>
      </c>
      <c r="D57" s="5">
        <f t="shared" si="15"/>
        <v>0</v>
      </c>
      <c r="E57" s="6" t="str">
        <f t="shared" si="15"/>
        <v>Ar</v>
      </c>
      <c r="F57" s="14">
        <f t="shared" ca="1" si="16"/>
        <v>-18.62</v>
      </c>
      <c r="G57" s="14">
        <f t="shared" ca="1" si="14"/>
        <v>-18.649999999999999</v>
      </c>
      <c r="H57" s="14">
        <f t="shared" ca="1" si="14"/>
        <v>-18.77</v>
      </c>
      <c r="I57" s="14">
        <f t="shared" ca="1" si="14"/>
        <v>-18.93</v>
      </c>
      <c r="J57" s="14">
        <f t="shared" ca="1" si="14"/>
        <v>-19.09</v>
      </c>
      <c r="K57" s="14">
        <f t="shared" ca="1" si="14"/>
        <v>-19.14</v>
      </c>
      <c r="L57" s="14">
        <f t="shared" ca="1" si="14"/>
        <v>-19.18</v>
      </c>
      <c r="M57" s="14">
        <f t="shared" ca="1" si="14"/>
        <v>-19.22</v>
      </c>
      <c r="N57" s="14">
        <f t="shared" ca="1" si="14"/>
        <v>-19.260000000000002</v>
      </c>
      <c r="O57" s="14">
        <f t="shared" ca="1" si="14"/>
        <v>-19.3</v>
      </c>
      <c r="P57" s="14">
        <f t="shared" ca="1" si="14"/>
        <v>-19.350000000000001</v>
      </c>
      <c r="Q57" s="14">
        <f t="shared" ca="1" si="14"/>
        <v>-19.39</v>
      </c>
      <c r="R57" s="14">
        <f t="shared" ca="1" si="14"/>
        <v>-19.43</v>
      </c>
      <c r="S57" s="14">
        <f t="shared" ca="1" si="14"/>
        <v>-19.47</v>
      </c>
      <c r="T57" s="14">
        <f t="shared" ca="1" si="14"/>
        <v>-19.510000000000002</v>
      </c>
      <c r="U57" s="14">
        <f t="shared" ca="1" si="14"/>
        <v>-19.55</v>
      </c>
      <c r="V57" s="14">
        <f t="shared" ca="1" si="14"/>
        <v>-19.59</v>
      </c>
      <c r="W57" s="14">
        <f t="shared" ca="1" si="14"/>
        <v>-19.62</v>
      </c>
      <c r="X57" s="14">
        <f t="shared" ca="1" si="14"/>
        <v>-19.66</v>
      </c>
      <c r="Y57" s="14">
        <f t="shared" ca="1" si="14"/>
        <v>-19.7</v>
      </c>
      <c r="Z57" s="14">
        <f t="shared" ca="1" si="14"/>
        <v>-19.739999999999998</v>
      </c>
      <c r="AA57" s="14">
        <f t="shared" ca="1" si="14"/>
        <v>-19.89</v>
      </c>
      <c r="AB57" s="14">
        <f t="shared" ca="1" si="14"/>
        <v>0</v>
      </c>
      <c r="AC57" s="14">
        <f t="shared" ca="1" si="14"/>
        <v>0</v>
      </c>
      <c r="AD57" s="14">
        <f t="shared" ca="1" si="14"/>
        <v>0</v>
      </c>
      <c r="AE57" s="14">
        <f t="shared" ca="1" si="14"/>
        <v>0</v>
      </c>
      <c r="AF57" s="14">
        <f t="shared" ca="1" si="14"/>
        <v>0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hidden="1" customHeight="1" outlineLevel="1" thickBot="1" x14ac:dyDescent="0.4">
      <c r="A58" s="5">
        <f t="shared" si="15"/>
        <v>1</v>
      </c>
      <c r="B58" s="5">
        <f t="shared" si="15"/>
        <v>0</v>
      </c>
      <c r="C58" s="5">
        <f t="shared" si="15"/>
        <v>0</v>
      </c>
      <c r="D58" s="5">
        <f t="shared" si="15"/>
        <v>0</v>
      </c>
      <c r="E58" s="6" t="str">
        <f t="shared" si="15"/>
        <v>H (Ar)</v>
      </c>
      <c r="F58" s="14">
        <f t="shared" ca="1" si="16"/>
        <v>-18.62</v>
      </c>
      <c r="G58" s="14">
        <f t="shared" ca="1" si="14"/>
        <v>-18.649999999999999</v>
      </c>
      <c r="H58" s="14">
        <f t="shared" ca="1" si="14"/>
        <v>-18.77</v>
      </c>
      <c r="I58" s="14">
        <f t="shared" ca="1" si="14"/>
        <v>-18.93</v>
      </c>
      <c r="J58" s="14">
        <f t="shared" ca="1" si="14"/>
        <v>-19.09</v>
      </c>
      <c r="K58" s="14">
        <f t="shared" ca="1" si="14"/>
        <v>-19.14</v>
      </c>
      <c r="L58" s="14">
        <f t="shared" ca="1" si="14"/>
        <v>-19.18</v>
      </c>
      <c r="M58" s="14">
        <f t="shared" ca="1" si="14"/>
        <v>-19.22</v>
      </c>
      <c r="N58" s="14">
        <f t="shared" ca="1" si="14"/>
        <v>-19.260000000000002</v>
      </c>
      <c r="O58" s="14">
        <f t="shared" ca="1" si="14"/>
        <v>-19.3</v>
      </c>
      <c r="P58" s="14">
        <f t="shared" ca="1" si="14"/>
        <v>-19.350000000000001</v>
      </c>
      <c r="Q58" s="14">
        <f t="shared" ca="1" si="14"/>
        <v>-19.39</v>
      </c>
      <c r="R58" s="14">
        <f t="shared" ca="1" si="14"/>
        <v>-19.43</v>
      </c>
      <c r="S58" s="14">
        <f t="shared" ca="1" si="14"/>
        <v>-19.47</v>
      </c>
      <c r="T58" s="14">
        <f t="shared" ca="1" si="14"/>
        <v>-19.510000000000002</v>
      </c>
      <c r="U58" s="14">
        <f t="shared" ca="1" si="14"/>
        <v>-19.55</v>
      </c>
      <c r="V58" s="14">
        <f t="shared" ca="1" si="14"/>
        <v>-19.59</v>
      </c>
      <c r="W58" s="14">
        <f t="shared" ca="1" si="14"/>
        <v>-19.62</v>
      </c>
      <c r="X58" s="14">
        <f t="shared" ca="1" si="14"/>
        <v>-19.66</v>
      </c>
      <c r="Y58" s="14">
        <f t="shared" ca="1" si="14"/>
        <v>-19.7</v>
      </c>
      <c r="Z58" s="14">
        <f t="shared" ca="1" si="14"/>
        <v>-19.739999999999998</v>
      </c>
      <c r="AA58" s="14">
        <f t="shared" ca="1" si="14"/>
        <v>-19.89</v>
      </c>
      <c r="AB58" s="14">
        <f t="shared" ca="1" si="14"/>
        <v>0</v>
      </c>
      <c r="AC58" s="14">
        <f t="shared" ca="1" si="14"/>
        <v>0</v>
      </c>
      <c r="AD58" s="14">
        <f t="shared" ca="1" si="14"/>
        <v>0</v>
      </c>
      <c r="AE58" s="14">
        <f t="shared" ca="1" si="14"/>
        <v>0</v>
      </c>
      <c r="AF58" s="14">
        <f t="shared" ca="1" si="14"/>
        <v>0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hidden="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1</v>
      </c>
      <c r="D59" s="5">
        <f t="shared" si="15"/>
        <v>0</v>
      </c>
      <c r="E59" s="6" t="str">
        <f t="shared" si="15"/>
        <v>H (Ge)</v>
      </c>
      <c r="F59" s="14">
        <f t="shared" ca="1" si="16"/>
        <v>-16.29</v>
      </c>
      <c r="G59" s="14">
        <f t="shared" ca="1" si="14"/>
        <v>-13.81</v>
      </c>
      <c r="H59" s="14">
        <f t="shared" ca="1" si="14"/>
        <v>-12.4</v>
      </c>
      <c r="I59" s="14">
        <f t="shared" ca="1" si="14"/>
        <v>-11.54</v>
      </c>
      <c r="J59" s="14">
        <f t="shared" ca="1" si="14"/>
        <v>-10.99</v>
      </c>
      <c r="K59" s="14">
        <f t="shared" ca="1" si="14"/>
        <v>-10.89</v>
      </c>
      <c r="L59" s="14">
        <f t="shared" ca="1" si="14"/>
        <v>-10.79</v>
      </c>
      <c r="M59" s="14">
        <f t="shared" ca="1" si="14"/>
        <v>-10.71</v>
      </c>
      <c r="N59" s="14">
        <f t="shared" ca="1" si="14"/>
        <v>-10.63</v>
      </c>
      <c r="O59" s="14">
        <f t="shared" ca="1" si="14"/>
        <v>-10.56</v>
      </c>
      <c r="P59" s="14">
        <f t="shared" ca="1" si="14"/>
        <v>-10.5</v>
      </c>
      <c r="Q59" s="14">
        <f t="shared" ca="1" si="14"/>
        <v>-10.52</v>
      </c>
      <c r="R59" s="14">
        <f t="shared" ca="1" si="14"/>
        <v>-10.56</v>
      </c>
      <c r="S59" s="14">
        <f t="shared" ca="1" si="14"/>
        <v>-10.64</v>
      </c>
      <c r="T59" s="14">
        <f t="shared" ca="1" si="14"/>
        <v>-10.73</v>
      </c>
      <c r="U59" s="14">
        <f t="shared" ca="1" si="14"/>
        <v>-10.82</v>
      </c>
      <c r="V59" s="14">
        <f t="shared" ca="1" si="14"/>
        <v>-10.93</v>
      </c>
      <c r="W59" s="14">
        <f t="shared" ca="1" si="14"/>
        <v>-11.04</v>
      </c>
      <c r="X59" s="14">
        <f t="shared" ca="1" si="14"/>
        <v>-11.17</v>
      </c>
      <c r="Y59" s="14">
        <f t="shared" ca="1" si="14"/>
        <v>-11.31</v>
      </c>
      <c r="Z59" s="14">
        <f t="shared" ca="1" si="14"/>
        <v>-11.46</v>
      </c>
      <c r="AA59" s="14">
        <f t="shared" ca="1" si="14"/>
        <v>-12.14</v>
      </c>
      <c r="AB59" s="14">
        <f t="shared" ca="1" si="14"/>
        <v>0</v>
      </c>
      <c r="AC59" s="14">
        <f t="shared" ca="1" si="14"/>
        <v>0</v>
      </c>
      <c r="AD59" s="14">
        <f t="shared" ca="1" si="14"/>
        <v>0</v>
      </c>
      <c r="AE59" s="14">
        <f t="shared" ca="1" si="14"/>
        <v>0</v>
      </c>
      <c r="AF59" s="14">
        <f t="shared" ca="1" si="14"/>
        <v>0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1</v>
      </c>
      <c r="C60" s="5">
        <f t="shared" si="15"/>
        <v>0</v>
      </c>
      <c r="D60" s="5">
        <f t="shared" si="15"/>
        <v>0</v>
      </c>
      <c r="E60" s="6" t="str">
        <f t="shared" si="15"/>
        <v>H (Se)</v>
      </c>
      <c r="F60" s="14">
        <f t="shared" ca="1" si="16"/>
        <v>-23.52</v>
      </c>
      <c r="G60" s="14">
        <f t="shared" ca="1" si="14"/>
        <v>-19.13</v>
      </c>
      <c r="H60" s="14">
        <f t="shared" ca="1" si="14"/>
        <v>-16.48</v>
      </c>
      <c r="I60" s="14">
        <f t="shared" ca="1" si="14"/>
        <v>-14.74</v>
      </c>
      <c r="J60" s="14">
        <f t="shared" ca="1" si="14"/>
        <v>-13.53</v>
      </c>
      <c r="K60" s="14">
        <f t="shared" ca="1" si="14"/>
        <v>-13.28</v>
      </c>
      <c r="L60" s="14">
        <f t="shared" ca="1" si="14"/>
        <v>-13.06</v>
      </c>
      <c r="M60" s="14">
        <f t="shared" ca="1" si="14"/>
        <v>-12.85</v>
      </c>
      <c r="N60" s="14">
        <f t="shared" ca="1" si="14"/>
        <v>-12.66</v>
      </c>
      <c r="O60" s="14">
        <f t="shared" ca="1" si="14"/>
        <v>-12.48</v>
      </c>
      <c r="P60" s="14">
        <f t="shared" ca="1" si="14"/>
        <v>-12.31</v>
      </c>
      <c r="Q60" s="14">
        <f t="shared" ca="1" si="14"/>
        <v>-12.11</v>
      </c>
      <c r="R60" s="14">
        <f t="shared" ca="1" si="14"/>
        <v>-11.92</v>
      </c>
      <c r="S60" s="14">
        <f t="shared" ca="1" si="14"/>
        <v>-11.73</v>
      </c>
      <c r="T60" s="14">
        <f t="shared" ca="1" si="14"/>
        <v>-11.54</v>
      </c>
      <c r="U60" s="14">
        <f t="shared" ca="1" si="14"/>
        <v>-11.36</v>
      </c>
      <c r="V60" s="14">
        <f t="shared" ca="1" si="14"/>
        <v>-11.18</v>
      </c>
      <c r="W60" s="14">
        <f t="shared" ca="1" si="14"/>
        <v>-11</v>
      </c>
      <c r="X60" s="14">
        <f t="shared" ca="1" si="14"/>
        <v>-10.83</v>
      </c>
      <c r="Y60" s="14">
        <f t="shared" ca="1" si="14"/>
        <v>-10.66</v>
      </c>
      <c r="Z60" s="14">
        <f t="shared" ca="1" si="14"/>
        <v>-10.49</v>
      </c>
      <c r="AA60" s="14">
        <f t="shared" ca="1" si="14"/>
        <v>-9.8290000000000006</v>
      </c>
      <c r="AB60" s="14">
        <f t="shared" ca="1" si="14"/>
        <v>0</v>
      </c>
      <c r="AC60" s="14">
        <f t="shared" ca="1" si="14"/>
        <v>0</v>
      </c>
      <c r="AD60" s="14">
        <f t="shared" ca="1" si="14"/>
        <v>0</v>
      </c>
      <c r="AE60" s="14">
        <f t="shared" ca="1" si="14"/>
        <v>0</v>
      </c>
      <c r="AF60" s="14">
        <f t="shared" ca="1" si="14"/>
        <v>0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0</v>
      </c>
      <c r="D61" s="5">
        <f t="shared" si="15"/>
        <v>0</v>
      </c>
      <c r="E61" s="6">
        <f t="shared" si="15"/>
        <v>0</v>
      </c>
      <c r="F61" s="14">
        <f t="shared" ca="1" si="16"/>
        <v>0</v>
      </c>
      <c r="G61" s="14">
        <f t="shared" ca="1" si="14"/>
        <v>0</v>
      </c>
      <c r="H61" s="14">
        <f t="shared" ca="1" si="14"/>
        <v>0</v>
      </c>
      <c r="I61" s="14">
        <f t="shared" ca="1" si="14"/>
        <v>0</v>
      </c>
      <c r="J61" s="14">
        <f t="shared" ca="1" si="14"/>
        <v>0</v>
      </c>
      <c r="K61" s="14">
        <f t="shared" ca="1" si="14"/>
        <v>0</v>
      </c>
      <c r="L61" s="14">
        <f t="shared" ca="1" si="14"/>
        <v>0</v>
      </c>
      <c r="M61" s="14">
        <f t="shared" ca="1" si="14"/>
        <v>0</v>
      </c>
      <c r="N61" s="14">
        <f t="shared" ca="1" si="14"/>
        <v>0</v>
      </c>
      <c r="O61" s="14">
        <f t="shared" ca="1" si="14"/>
        <v>0</v>
      </c>
      <c r="P61" s="14">
        <f t="shared" ca="1" si="14"/>
        <v>0</v>
      </c>
      <c r="Q61" s="14">
        <f t="shared" ca="1" si="14"/>
        <v>0</v>
      </c>
      <c r="R61" s="14">
        <f t="shared" ca="1" si="14"/>
        <v>0</v>
      </c>
      <c r="S61" s="14">
        <f t="shared" ca="1" si="14"/>
        <v>0</v>
      </c>
      <c r="T61" s="14">
        <f t="shared" ca="1" si="14"/>
        <v>0</v>
      </c>
      <c r="U61" s="14">
        <f t="shared" ca="1" si="14"/>
        <v>0</v>
      </c>
      <c r="V61" s="14">
        <f t="shared" ca="1" si="14"/>
        <v>0</v>
      </c>
      <c r="W61" s="14">
        <f t="shared" ca="1" si="14"/>
        <v>0</v>
      </c>
      <c r="X61" s="14">
        <f t="shared" ca="1" si="14"/>
        <v>0</v>
      </c>
      <c r="Y61" s="14">
        <f t="shared" ca="1" si="14"/>
        <v>0</v>
      </c>
      <c r="Z61" s="14">
        <f t="shared" ca="1" si="14"/>
        <v>0</v>
      </c>
      <c r="AA61" s="14">
        <f t="shared" ca="1" si="14"/>
        <v>0</v>
      </c>
      <c r="AB61" s="14">
        <f t="shared" ca="1" si="14"/>
        <v>0</v>
      </c>
      <c r="AC61" s="14">
        <f t="shared" ca="1" si="14"/>
        <v>0</v>
      </c>
      <c r="AD61" s="14">
        <f t="shared" ca="1" si="14"/>
        <v>0</v>
      </c>
      <c r="AE61" s="14">
        <f t="shared" ca="1" si="14"/>
        <v>0</v>
      </c>
      <c r="AF61" s="14">
        <f t="shared" ca="1" si="14"/>
        <v>0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0</v>
      </c>
      <c r="D62" s="5">
        <f t="shared" si="15"/>
        <v>0</v>
      </c>
      <c r="E62" s="6">
        <f t="shared" si="15"/>
        <v>0</v>
      </c>
      <c r="F62" s="14">
        <f t="shared" ca="1" si="16"/>
        <v>0</v>
      </c>
      <c r="G62" s="14">
        <f t="shared" ca="1" si="14"/>
        <v>0</v>
      </c>
      <c r="H62" s="14">
        <f t="shared" ca="1" si="14"/>
        <v>0</v>
      </c>
      <c r="I62" s="14">
        <f t="shared" ca="1" si="14"/>
        <v>0</v>
      </c>
      <c r="J62" s="14">
        <f t="shared" ca="1" si="14"/>
        <v>0</v>
      </c>
      <c r="K62" s="14">
        <f t="shared" ca="1" si="14"/>
        <v>0</v>
      </c>
      <c r="L62" s="14">
        <f t="shared" ca="1" si="14"/>
        <v>0</v>
      </c>
      <c r="M62" s="14">
        <f t="shared" ca="1" si="14"/>
        <v>0</v>
      </c>
      <c r="N62" s="14">
        <f t="shared" ca="1" si="14"/>
        <v>0</v>
      </c>
      <c r="O62" s="14">
        <f t="shared" ca="1" si="14"/>
        <v>0</v>
      </c>
      <c r="P62" s="14">
        <f t="shared" ca="1" si="14"/>
        <v>0</v>
      </c>
      <c r="Q62" s="14">
        <f t="shared" ca="1" si="14"/>
        <v>0</v>
      </c>
      <c r="R62" s="14">
        <f t="shared" ca="1" si="14"/>
        <v>0</v>
      </c>
      <c r="S62" s="14">
        <f t="shared" ca="1" si="14"/>
        <v>0</v>
      </c>
      <c r="T62" s="14">
        <f t="shared" ca="1" si="14"/>
        <v>0</v>
      </c>
      <c r="U62" s="14">
        <f t="shared" ca="1" si="14"/>
        <v>0</v>
      </c>
      <c r="V62" s="14">
        <f t="shared" ca="1" si="14"/>
        <v>0</v>
      </c>
      <c r="W62" s="14">
        <f t="shared" ca="1" si="14"/>
        <v>0</v>
      </c>
      <c r="X62" s="14">
        <f t="shared" ca="1" si="14"/>
        <v>0</v>
      </c>
      <c r="Y62" s="14">
        <f t="shared" ca="1" si="14"/>
        <v>0</v>
      </c>
      <c r="Z62" s="14">
        <f t="shared" ca="1" si="14"/>
        <v>0</v>
      </c>
      <c r="AA62" s="14">
        <f t="shared" ca="1" si="14"/>
        <v>0</v>
      </c>
      <c r="AB62" s="14">
        <f t="shared" ca="1" si="14"/>
        <v>0</v>
      </c>
      <c r="AC62" s="14">
        <f t="shared" ca="1" si="14"/>
        <v>0</v>
      </c>
      <c r="AD62" s="14">
        <f t="shared" ca="1" si="14"/>
        <v>0</v>
      </c>
      <c r="AE62" s="14">
        <f t="shared" ca="1" si="14"/>
        <v>0</v>
      </c>
      <c r="AF62" s="14">
        <f t="shared" ca="1" si="14"/>
        <v>0</v>
      </c>
      <c r="AG62" s="14">
        <f t="shared" ca="1" si="14"/>
        <v>0</v>
      </c>
      <c r="AH62" s="14">
        <f t="shared" ca="1" si="14"/>
        <v>0</v>
      </c>
      <c r="AI62" s="14">
        <f t="shared" ref="AI62:AL62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>
        <f t="shared" ca="1" si="16"/>
        <v>0</v>
      </c>
      <c r="G63" s="14">
        <f t="shared" ref="G63:AL71" ca="1" si="18">$A63*H.Ar + $B63*H.Se + $C63*H.Ge + $D63*H.Ga</f>
        <v>0</v>
      </c>
      <c r="H63" s="14">
        <f t="shared" ca="1" si="18"/>
        <v>0</v>
      </c>
      <c r="I63" s="14">
        <f t="shared" ca="1" si="18"/>
        <v>0</v>
      </c>
      <c r="J63" s="14">
        <f t="shared" ca="1" si="18"/>
        <v>0</v>
      </c>
      <c r="K63" s="14">
        <f t="shared" ca="1" si="18"/>
        <v>0</v>
      </c>
      <c r="L63" s="14">
        <f t="shared" ca="1" si="18"/>
        <v>0</v>
      </c>
      <c r="M63" s="14">
        <f t="shared" ca="1" si="18"/>
        <v>0</v>
      </c>
      <c r="N63" s="14">
        <f t="shared" ca="1" si="18"/>
        <v>0</v>
      </c>
      <c r="O63" s="14">
        <f t="shared" ca="1" si="18"/>
        <v>0</v>
      </c>
      <c r="P63" s="14">
        <f t="shared" ca="1" si="18"/>
        <v>0</v>
      </c>
      <c r="Q63" s="14">
        <f t="shared" ca="1" si="18"/>
        <v>0</v>
      </c>
      <c r="R63" s="14">
        <f t="shared" ca="1" si="18"/>
        <v>0</v>
      </c>
      <c r="S63" s="14">
        <f t="shared" ca="1" si="18"/>
        <v>0</v>
      </c>
      <c r="T63" s="14">
        <f t="shared" ca="1" si="18"/>
        <v>0</v>
      </c>
      <c r="U63" s="14">
        <f t="shared" ca="1" si="18"/>
        <v>0</v>
      </c>
      <c r="V63" s="14">
        <f t="shared" ca="1" si="18"/>
        <v>0</v>
      </c>
      <c r="W63" s="14">
        <f t="shared" ca="1" si="18"/>
        <v>0</v>
      </c>
      <c r="X63" s="14">
        <f t="shared" ca="1" si="18"/>
        <v>0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8"/>
        <v>0</v>
      </c>
      <c r="H64" s="14">
        <f t="shared" ca="1" si="18"/>
        <v>0</v>
      </c>
      <c r="I64" s="14">
        <f t="shared" ca="1" si="18"/>
        <v>0</v>
      </c>
      <c r="J64" s="14">
        <f t="shared" ca="1" si="18"/>
        <v>0</v>
      </c>
      <c r="K64" s="14">
        <f t="shared" ca="1" si="18"/>
        <v>0</v>
      </c>
      <c r="L64" s="14">
        <f t="shared" ca="1" si="18"/>
        <v>0</v>
      </c>
      <c r="M64" s="14">
        <f t="shared" ca="1" si="18"/>
        <v>0</v>
      </c>
      <c r="N64" s="14">
        <f t="shared" ca="1" si="18"/>
        <v>0</v>
      </c>
      <c r="O64" s="14">
        <f t="shared" ca="1" si="18"/>
        <v>0</v>
      </c>
      <c r="P64" s="14">
        <f t="shared" ca="1" si="18"/>
        <v>0</v>
      </c>
      <c r="Q64" s="14">
        <f t="shared" ca="1" si="18"/>
        <v>0</v>
      </c>
      <c r="R64" s="14">
        <f t="shared" ca="1" si="18"/>
        <v>0</v>
      </c>
      <c r="S64" s="14">
        <f t="shared" ca="1" si="18"/>
        <v>0</v>
      </c>
      <c r="T64" s="14">
        <f t="shared" ca="1" si="18"/>
        <v>0</v>
      </c>
      <c r="U64" s="14">
        <f t="shared" ca="1" si="18"/>
        <v>0</v>
      </c>
      <c r="V64" s="14">
        <f t="shared" ca="1" si="18"/>
        <v>0</v>
      </c>
      <c r="W64" s="14">
        <f t="shared" ca="1" si="18"/>
        <v>0</v>
      </c>
      <c r="X64" s="14">
        <f t="shared" ca="1" si="18"/>
        <v>0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</row>
    <row r="66" spans="1:54" ht="21" hidden="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</row>
    <row r="67" spans="1:54" ht="21" hidden="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</row>
    <row r="68" spans="1:54" ht="21" hidden="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</row>
    <row r="69" spans="1:54" ht="21" hidden="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</row>
    <row r="70" spans="1:54" ht="21" hidden="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</row>
    <row r="71" spans="1:54" ht="21" hidden="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Q71:AL71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</row>
    <row r="72" spans="1:54" ht="21" hidden="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ref="G72:AL74" ca="1" si="22">$A72*H.Ar + $B72*H.Se + $C72*H.Ge + $D72*H.Ga</f>
        <v>0</v>
      </c>
      <c r="H72" s="14">
        <f t="shared" ca="1" si="22"/>
        <v>0</v>
      </c>
      <c r="I72" s="14">
        <f t="shared" ca="1" si="22"/>
        <v>0</v>
      </c>
      <c r="J72" s="14">
        <f t="shared" ca="1" si="22"/>
        <v>0</v>
      </c>
      <c r="K72" s="14">
        <f t="shared" ca="1" si="22"/>
        <v>0</v>
      </c>
      <c r="L72" s="14">
        <f t="shared" ca="1" si="22"/>
        <v>0</v>
      </c>
      <c r="M72" s="14">
        <f t="shared" ca="1" si="22"/>
        <v>0</v>
      </c>
      <c r="N72" s="14">
        <f t="shared" ca="1" si="22"/>
        <v>0</v>
      </c>
      <c r="O72" s="14">
        <f t="shared" ca="1" si="22"/>
        <v>0</v>
      </c>
      <c r="P72" s="14">
        <f t="shared" ca="1" si="22"/>
        <v>0</v>
      </c>
      <c r="Q72" s="14">
        <f t="shared" ca="1" si="22"/>
        <v>0</v>
      </c>
      <c r="R72" s="14">
        <f t="shared" ca="1" si="22"/>
        <v>0</v>
      </c>
      <c r="S72" s="14">
        <f t="shared" ca="1" si="22"/>
        <v>0</v>
      </c>
      <c r="T72" s="14">
        <f t="shared" ca="1" si="22"/>
        <v>0</v>
      </c>
      <c r="U72" s="14">
        <f t="shared" ca="1" si="22"/>
        <v>0</v>
      </c>
      <c r="V72" s="14">
        <f t="shared" ca="1" si="22"/>
        <v>0</v>
      </c>
      <c r="W72" s="14">
        <f t="shared" ca="1" si="22"/>
        <v>0</v>
      </c>
      <c r="X72" s="14">
        <f t="shared" ca="1" si="22"/>
        <v>0</v>
      </c>
      <c r="Y72" s="14">
        <f t="shared" ca="1" si="22"/>
        <v>0</v>
      </c>
      <c r="Z72" s="14">
        <f t="shared" ca="1" si="22"/>
        <v>0</v>
      </c>
      <c r="AA72" s="14">
        <f t="shared" ca="1" si="22"/>
        <v>0</v>
      </c>
      <c r="AB72" s="14">
        <f t="shared" ca="1" si="22"/>
        <v>0</v>
      </c>
      <c r="AC72" s="14">
        <f t="shared" ca="1" si="22"/>
        <v>0</v>
      </c>
      <c r="AD72" s="14">
        <f t="shared" ca="1" si="22"/>
        <v>0</v>
      </c>
      <c r="AE72" s="14">
        <f t="shared" ca="1" si="22"/>
        <v>0</v>
      </c>
      <c r="AF72" s="14">
        <f t="shared" ca="1" si="22"/>
        <v>0</v>
      </c>
      <c r="AG72" s="14">
        <f t="shared" ca="1" si="22"/>
        <v>0</v>
      </c>
      <c r="AH72" s="14">
        <f t="shared" ca="1" si="22"/>
        <v>0</v>
      </c>
      <c r="AI72" s="14">
        <f t="shared" ca="1" si="22"/>
        <v>0</v>
      </c>
      <c r="AJ72" s="14">
        <f t="shared" ca="1" si="22"/>
        <v>0</v>
      </c>
      <c r="AK72" s="14">
        <f t="shared" ca="1" si="22"/>
        <v>0</v>
      </c>
      <c r="AL72" s="14">
        <f t="shared" ca="1" si="22"/>
        <v>0</v>
      </c>
    </row>
    <row r="73" spans="1:54" ht="21" hidden="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2"/>
        <v>0</v>
      </c>
      <c r="H73" s="14">
        <f t="shared" ca="1" si="22"/>
        <v>0</v>
      </c>
      <c r="I73" s="14">
        <f t="shared" ca="1" si="22"/>
        <v>0</v>
      </c>
      <c r="J73" s="14">
        <f t="shared" ca="1" si="22"/>
        <v>0</v>
      </c>
      <c r="K73" s="14">
        <f t="shared" ca="1" si="22"/>
        <v>0</v>
      </c>
      <c r="L73" s="14">
        <f t="shared" ca="1" si="22"/>
        <v>0</v>
      </c>
      <c r="M73" s="14">
        <f t="shared" ca="1" si="22"/>
        <v>0</v>
      </c>
      <c r="N73" s="14">
        <f t="shared" ca="1" si="22"/>
        <v>0</v>
      </c>
      <c r="O73" s="14">
        <f t="shared" ca="1" si="22"/>
        <v>0</v>
      </c>
      <c r="P73" s="14">
        <f t="shared" ca="1" si="22"/>
        <v>0</v>
      </c>
      <c r="Q73" s="14">
        <f t="shared" ca="1" si="22"/>
        <v>0</v>
      </c>
      <c r="R73" s="14">
        <f t="shared" ca="1" si="22"/>
        <v>0</v>
      </c>
      <c r="S73" s="14">
        <f t="shared" ca="1" si="22"/>
        <v>0</v>
      </c>
      <c r="T73" s="14">
        <f t="shared" ca="1" si="22"/>
        <v>0</v>
      </c>
      <c r="U73" s="14">
        <f t="shared" ca="1" si="22"/>
        <v>0</v>
      </c>
      <c r="V73" s="14">
        <f t="shared" ca="1" si="22"/>
        <v>0</v>
      </c>
      <c r="W73" s="14">
        <f t="shared" ca="1" si="22"/>
        <v>0</v>
      </c>
      <c r="X73" s="14">
        <f t="shared" ca="1" si="22"/>
        <v>0</v>
      </c>
      <c r="Y73" s="14">
        <f t="shared" ca="1" si="22"/>
        <v>0</v>
      </c>
      <c r="Z73" s="14">
        <f t="shared" ca="1" si="22"/>
        <v>0</v>
      </c>
      <c r="AA73" s="14">
        <f t="shared" ca="1" si="22"/>
        <v>0</v>
      </c>
      <c r="AB73" s="14">
        <f t="shared" ca="1" si="22"/>
        <v>0</v>
      </c>
      <c r="AC73" s="14">
        <f t="shared" ca="1" si="22"/>
        <v>0</v>
      </c>
      <c r="AD73" s="14">
        <f t="shared" ca="1" si="22"/>
        <v>0</v>
      </c>
      <c r="AE73" s="14">
        <f t="shared" ca="1" si="22"/>
        <v>0</v>
      </c>
      <c r="AF73" s="14">
        <f t="shared" ca="1" si="22"/>
        <v>0</v>
      </c>
      <c r="AG73" s="14">
        <f t="shared" ca="1" si="22"/>
        <v>0</v>
      </c>
      <c r="AH73" s="14">
        <f t="shared" ca="1" si="22"/>
        <v>0</v>
      </c>
      <c r="AI73" s="14">
        <f t="shared" ca="1" si="22"/>
        <v>0</v>
      </c>
      <c r="AJ73" s="14">
        <f t="shared" ca="1" si="22"/>
        <v>0</v>
      </c>
      <c r="AK73" s="14">
        <f t="shared" ca="1" si="22"/>
        <v>0</v>
      </c>
      <c r="AL73" s="14">
        <f t="shared" ca="1" si="22"/>
        <v>0</v>
      </c>
    </row>
    <row r="74" spans="1:54" ht="21" hidden="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2"/>
        <v>0</v>
      </c>
      <c r="H74" s="14">
        <f t="shared" ca="1" si="22"/>
        <v>0</v>
      </c>
      <c r="I74" s="14">
        <f t="shared" ca="1" si="22"/>
        <v>0</v>
      </c>
      <c r="J74" s="14">
        <f t="shared" ca="1" si="22"/>
        <v>0</v>
      </c>
      <c r="K74" s="14">
        <f t="shared" ca="1" si="22"/>
        <v>0</v>
      </c>
      <c r="L74" s="14">
        <f t="shared" ca="1" si="22"/>
        <v>0</v>
      </c>
      <c r="M74" s="14">
        <f t="shared" ca="1" si="22"/>
        <v>0</v>
      </c>
      <c r="N74" s="14">
        <f t="shared" ca="1" si="22"/>
        <v>0</v>
      </c>
      <c r="O74" s="14">
        <f t="shared" ca="1" si="22"/>
        <v>0</v>
      </c>
      <c r="P74" s="14">
        <f t="shared" ca="1" si="22"/>
        <v>0</v>
      </c>
      <c r="Q74" s="14">
        <f t="shared" ca="1" si="22"/>
        <v>0</v>
      </c>
      <c r="R74" s="14">
        <f t="shared" ca="1" si="22"/>
        <v>0</v>
      </c>
      <c r="S74" s="14">
        <f t="shared" ca="1" si="22"/>
        <v>0</v>
      </c>
      <c r="T74" s="14">
        <f t="shared" ca="1" si="22"/>
        <v>0</v>
      </c>
      <c r="U74" s="14">
        <f t="shared" ca="1" si="22"/>
        <v>0</v>
      </c>
      <c r="V74" s="14">
        <f t="shared" ca="1" si="22"/>
        <v>0</v>
      </c>
      <c r="W74" s="14">
        <f t="shared" ca="1" si="22"/>
        <v>0</v>
      </c>
      <c r="X74" s="14">
        <f t="shared" ca="1" si="22"/>
        <v>0</v>
      </c>
      <c r="Y74" s="14">
        <f t="shared" ca="1" si="22"/>
        <v>0</v>
      </c>
      <c r="Z74" s="14">
        <f t="shared" ca="1" si="22"/>
        <v>0</v>
      </c>
      <c r="AA74" s="14">
        <f t="shared" ca="1" si="22"/>
        <v>0</v>
      </c>
      <c r="AB74" s="14">
        <f t="shared" ca="1" si="22"/>
        <v>0</v>
      </c>
      <c r="AC74" s="14">
        <f t="shared" ca="1" si="22"/>
        <v>0</v>
      </c>
      <c r="AD74" s="14">
        <f t="shared" ca="1" si="22"/>
        <v>0</v>
      </c>
      <c r="AE74" s="14">
        <f t="shared" ca="1" si="22"/>
        <v>0</v>
      </c>
      <c r="AF74" s="14">
        <f t="shared" ca="1" si="22"/>
        <v>0</v>
      </c>
      <c r="AG74" s="14">
        <f t="shared" ca="1" si="22"/>
        <v>0</v>
      </c>
      <c r="AH74" s="14">
        <f t="shared" ca="1" si="22"/>
        <v>0</v>
      </c>
      <c r="AI74" s="14">
        <f t="shared" ca="1" si="22"/>
        <v>0</v>
      </c>
      <c r="AJ74" s="14">
        <f t="shared" ca="1" si="22"/>
        <v>0</v>
      </c>
      <c r="AK74" s="14">
        <f t="shared" ca="1" si="22"/>
        <v>0</v>
      </c>
      <c r="AL74" s="14">
        <f t="shared" ca="1" si="22"/>
        <v>0</v>
      </c>
    </row>
    <row r="75" spans="1:54" ht="21" hidden="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U76" s="55"/>
      <c r="V76" s="55"/>
      <c r="W76" s="55"/>
    </row>
    <row r="77" spans="1:54" ht="21" customHeight="1" collapsed="1" x14ac:dyDescent="0.35">
      <c r="U77" s="55"/>
      <c r="V77" s="55"/>
      <c r="W77" s="55"/>
    </row>
    <row r="78" spans="1:54" ht="21" customHeight="1" x14ac:dyDescent="0.4">
      <c r="A78" s="88"/>
      <c r="B78" s="88"/>
      <c r="C78" s="89">
        <f>E41</f>
        <v>3.125</v>
      </c>
      <c r="D78" s="75"/>
      <c r="E78" s="74" t="s">
        <v>23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3">E45</f>
        <v>Temperature,К Pressure, at</v>
      </c>
      <c r="F79" s="3">
        <f t="shared" ref="F79:AL79" si="24">F3</f>
        <v>273.10000000000002</v>
      </c>
      <c r="G79" s="3">
        <f t="shared" si="24"/>
        <v>353.9</v>
      </c>
      <c r="H79" s="3">
        <f t="shared" si="24"/>
        <v>434.7</v>
      </c>
      <c r="I79" s="3">
        <f t="shared" si="24"/>
        <v>515.4</v>
      </c>
      <c r="J79" s="3">
        <f t="shared" si="24"/>
        <v>596.20000000000005</v>
      </c>
      <c r="K79" s="3">
        <f t="shared" si="24"/>
        <v>616.4</v>
      </c>
      <c r="L79" s="3">
        <f t="shared" si="24"/>
        <v>636.6</v>
      </c>
      <c r="M79" s="3">
        <f t="shared" si="24"/>
        <v>656.8</v>
      </c>
      <c r="N79" s="3">
        <f t="shared" si="24"/>
        <v>677</v>
      </c>
      <c r="O79" s="3">
        <f t="shared" si="24"/>
        <v>697.1</v>
      </c>
      <c r="P79" s="3">
        <f t="shared" si="24"/>
        <v>717.3</v>
      </c>
      <c r="Q79" s="3">
        <f t="shared" si="24"/>
        <v>737.5</v>
      </c>
      <c r="R79" s="3">
        <f t="shared" si="24"/>
        <v>757.7</v>
      </c>
      <c r="S79" s="3">
        <f t="shared" si="24"/>
        <v>777.9</v>
      </c>
      <c r="T79" s="3">
        <f t="shared" si="24"/>
        <v>798.1</v>
      </c>
      <c r="U79" s="3">
        <f t="shared" si="24"/>
        <v>818.3</v>
      </c>
      <c r="V79" s="3">
        <f t="shared" si="24"/>
        <v>838.5</v>
      </c>
      <c r="W79" s="3">
        <f t="shared" si="24"/>
        <v>858.7</v>
      </c>
      <c r="X79" s="3">
        <f t="shared" si="24"/>
        <v>878.9</v>
      </c>
      <c r="Y79" s="3">
        <f t="shared" si="24"/>
        <v>899</v>
      </c>
      <c r="Z79" s="3">
        <f t="shared" si="24"/>
        <v>919.2</v>
      </c>
      <c r="AA79" s="3">
        <f t="shared" si="24"/>
        <v>1000</v>
      </c>
      <c r="AB79" s="3">
        <f t="shared" si="24"/>
        <v>0</v>
      </c>
      <c r="AC79" s="3">
        <f t="shared" si="24"/>
        <v>0</v>
      </c>
      <c r="AD79" s="3">
        <f t="shared" si="24"/>
        <v>0</v>
      </c>
      <c r="AE79" s="3">
        <f t="shared" si="24"/>
        <v>0</v>
      </c>
      <c r="AF79" s="3">
        <f t="shared" si="24"/>
        <v>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5">B46</f>
        <v>4</v>
      </c>
      <c r="C80" s="5">
        <f t="shared" si="25"/>
        <v>3</v>
      </c>
      <c r="D80" s="5">
        <f t="shared" si="25"/>
        <v>0</v>
      </c>
      <c r="E80" s="6" t="str">
        <f t="shared" si="23"/>
        <v>*Ge3Se4</v>
      </c>
      <c r="F80" s="14">
        <f t="shared" ref="F80:AL80" si="26">F4*$C$78</f>
        <v>5.275E-12</v>
      </c>
      <c r="G80" s="14">
        <f t="shared" si="26"/>
        <v>7.5053125000000003E-11</v>
      </c>
      <c r="H80" s="14">
        <f t="shared" si="26"/>
        <v>3.3959375000000002E-10</v>
      </c>
      <c r="I80" s="14">
        <f t="shared" si="26"/>
        <v>9.8190625000000002E-10</v>
      </c>
      <c r="J80" s="14">
        <f t="shared" si="26"/>
        <v>2.9210625000000002E-9</v>
      </c>
      <c r="K80" s="14">
        <f t="shared" si="26"/>
        <v>3.5187500000000001E-9</v>
      </c>
      <c r="L80" s="14">
        <f t="shared" si="26"/>
        <v>4.6509374999999997E-9</v>
      </c>
      <c r="M80" s="14">
        <f t="shared" si="26"/>
        <v>4.3487500000000003E-9</v>
      </c>
      <c r="N80" s="14">
        <f t="shared" si="26"/>
        <v>2.8650625E-9</v>
      </c>
      <c r="O80" s="14">
        <f t="shared" si="26"/>
        <v>3.0122499999999996E-10</v>
      </c>
      <c r="P80" s="14">
        <f t="shared" si="26"/>
        <v>8.5531249999999995E-5</v>
      </c>
      <c r="Q80" s="14">
        <f t="shared" si="26"/>
        <v>1.9858749999999998E-2</v>
      </c>
      <c r="R80" s="14">
        <f t="shared" si="26"/>
        <v>0.24725312499999999</v>
      </c>
      <c r="S80" s="14">
        <f t="shared" si="26"/>
        <v>0.24999687500000001</v>
      </c>
      <c r="T80" s="14">
        <f t="shared" si="26"/>
        <v>0.25</v>
      </c>
      <c r="U80" s="14">
        <f t="shared" si="26"/>
        <v>0.25000312499999999</v>
      </c>
      <c r="V80" s="14">
        <f t="shared" si="26"/>
        <v>0.25000624999999999</v>
      </c>
      <c r="W80" s="14">
        <f t="shared" si="26"/>
        <v>0.25001874999999996</v>
      </c>
      <c r="X80" s="14">
        <f t="shared" si="26"/>
        <v>0.25004375000000001</v>
      </c>
      <c r="Y80" s="14">
        <f t="shared" si="26"/>
        <v>0.25010312500000004</v>
      </c>
      <c r="Z80" s="14">
        <f t="shared" si="26"/>
        <v>0.2502375</v>
      </c>
      <c r="AA80" s="14">
        <f t="shared" si="26"/>
        <v>0.2555</v>
      </c>
      <c r="AB80" s="14">
        <f t="shared" si="26"/>
        <v>0</v>
      </c>
      <c r="AC80" s="14">
        <f t="shared" si="26"/>
        <v>0</v>
      </c>
      <c r="AD80" s="14">
        <f t="shared" si="26"/>
        <v>0</v>
      </c>
      <c r="AE80" s="14">
        <f t="shared" si="26"/>
        <v>0</v>
      </c>
      <c r="AF80" s="14">
        <f t="shared" si="26"/>
        <v>0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hidden="1" customHeight="1" outlineLevel="1" thickBot="1" x14ac:dyDescent="0.4">
      <c r="A81" s="5">
        <f t="shared" ref="A81:D96" si="27">A47</f>
        <v>0</v>
      </c>
      <c r="B81" s="5">
        <f t="shared" si="27"/>
        <v>5</v>
      </c>
      <c r="C81" s="5">
        <f t="shared" si="27"/>
        <v>4</v>
      </c>
      <c r="D81" s="5">
        <f t="shared" si="27"/>
        <v>0</v>
      </c>
      <c r="E81" s="6" t="str">
        <f t="shared" si="23"/>
        <v>*Ge4Se5</v>
      </c>
      <c r="F81" s="14">
        <f t="shared" ref="F81:AL81" si="28">F5*$C$78</f>
        <v>4.8065625000000003E-12</v>
      </c>
      <c r="G81" s="14">
        <f t="shared" si="28"/>
        <v>9.7528124999999995E-11</v>
      </c>
      <c r="H81" s="14">
        <f t="shared" si="28"/>
        <v>5.9690625E-10</v>
      </c>
      <c r="I81" s="14">
        <f t="shared" si="28"/>
        <v>2.3107500000000001E-9</v>
      </c>
      <c r="J81" s="14">
        <f t="shared" si="28"/>
        <v>1.2348125000000001E-8</v>
      </c>
      <c r="K81" s="14">
        <f t="shared" si="28"/>
        <v>2.0108750000000001E-8</v>
      </c>
      <c r="L81" s="14">
        <f t="shared" si="28"/>
        <v>4.0653124999999997E-8</v>
      </c>
      <c r="M81" s="14">
        <f t="shared" si="28"/>
        <v>7.9221875000000003E-8</v>
      </c>
      <c r="N81" s="14">
        <f t="shared" si="28"/>
        <v>2.1464062499999999E-7</v>
      </c>
      <c r="O81" s="14">
        <f t="shared" si="28"/>
        <v>1.3191562499999999E-6</v>
      </c>
      <c r="P81" s="14">
        <f t="shared" si="28"/>
        <v>0.11368125</v>
      </c>
      <c r="Q81" s="14">
        <f t="shared" si="28"/>
        <v>0.15310937499999999</v>
      </c>
      <c r="R81" s="14">
        <f t="shared" si="28"/>
        <v>1.8322499999999999E-3</v>
      </c>
      <c r="S81" s="14">
        <f t="shared" si="28"/>
        <v>1.384E-6</v>
      </c>
      <c r="T81" s="14">
        <f t="shared" si="28"/>
        <v>4.1818749999999995E-7</v>
      </c>
      <c r="U81" s="14">
        <f t="shared" si="28"/>
        <v>1.7583125000000001E-7</v>
      </c>
      <c r="V81" s="14">
        <f t="shared" si="28"/>
        <v>8.1509375000000003E-8</v>
      </c>
      <c r="W81" s="14">
        <f t="shared" si="28"/>
        <v>4.2565625000000002E-8</v>
      </c>
      <c r="X81" s="14">
        <f t="shared" si="28"/>
        <v>2.68521875E-8</v>
      </c>
      <c r="Y81" s="14">
        <f t="shared" si="28"/>
        <v>1.3746562499999998E-8</v>
      </c>
      <c r="Z81" s="14">
        <f t="shared" si="28"/>
        <v>6.6943749999999998E-9</v>
      </c>
      <c r="AA81" s="14">
        <f t="shared" si="28"/>
        <v>1.8838437499999999E-9</v>
      </c>
      <c r="AB81" s="14">
        <f t="shared" si="28"/>
        <v>0</v>
      </c>
      <c r="AC81" s="14">
        <f t="shared" si="28"/>
        <v>0</v>
      </c>
      <c r="AD81" s="14">
        <f t="shared" si="28"/>
        <v>0</v>
      </c>
      <c r="AE81" s="14">
        <f t="shared" si="28"/>
        <v>0</v>
      </c>
      <c r="AF81" s="14">
        <f t="shared" si="28"/>
        <v>0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hidden="1" customHeight="1" outlineLevel="1" thickBot="1" x14ac:dyDescent="0.4">
      <c r="A82" s="5">
        <f t="shared" si="27"/>
        <v>0</v>
      </c>
      <c r="B82" s="5">
        <f t="shared" si="27"/>
        <v>2</v>
      </c>
      <c r="C82" s="5">
        <f t="shared" si="27"/>
        <v>1</v>
      </c>
      <c r="D82" s="5">
        <f t="shared" si="27"/>
        <v>0</v>
      </c>
      <c r="E82" s="6" t="str">
        <f t="shared" si="23"/>
        <v>*GeSe2</v>
      </c>
      <c r="F82" s="14">
        <f t="shared" ref="F82:AL82" si="29">F6*$C$78</f>
        <v>0.5</v>
      </c>
      <c r="G82" s="14">
        <f t="shared" si="29"/>
        <v>0.5</v>
      </c>
      <c r="H82" s="14">
        <f t="shared" si="29"/>
        <v>0.5</v>
      </c>
      <c r="I82" s="14">
        <f t="shared" si="29"/>
        <v>0.5</v>
      </c>
      <c r="J82" s="14">
        <f t="shared" si="29"/>
        <v>0.5</v>
      </c>
      <c r="K82" s="14">
        <f t="shared" si="29"/>
        <v>0.5</v>
      </c>
      <c r="L82" s="14">
        <f t="shared" si="29"/>
        <v>0.5</v>
      </c>
      <c r="M82" s="14">
        <f t="shared" si="29"/>
        <v>0.5</v>
      </c>
      <c r="N82" s="14">
        <f t="shared" si="29"/>
        <v>0.5</v>
      </c>
      <c r="O82" s="14">
        <f t="shared" si="29"/>
        <v>0.5</v>
      </c>
      <c r="P82" s="14">
        <f t="shared" si="29"/>
        <v>0.38624999999999998</v>
      </c>
      <c r="Q82" s="14">
        <f t="shared" si="29"/>
        <v>0.32703125</v>
      </c>
      <c r="R82" s="14">
        <f t="shared" si="29"/>
        <v>0.25091562500000003</v>
      </c>
      <c r="S82" s="14">
        <f t="shared" si="29"/>
        <v>0.25</v>
      </c>
      <c r="T82" s="14">
        <f t="shared" si="29"/>
        <v>0.24999687500000001</v>
      </c>
      <c r="U82" s="14">
        <f t="shared" si="29"/>
        <v>0.24999062499999999</v>
      </c>
      <c r="V82" s="14">
        <f t="shared" si="29"/>
        <v>0.249978125</v>
      </c>
      <c r="W82" s="14">
        <f t="shared" si="29"/>
        <v>0.24994687499999999</v>
      </c>
      <c r="X82" s="14">
        <f t="shared" si="29"/>
        <v>0.24986875</v>
      </c>
      <c r="Y82" s="14">
        <f t="shared" si="29"/>
        <v>0.249690625</v>
      </c>
      <c r="Z82" s="14">
        <f t="shared" si="29"/>
        <v>0.2492875</v>
      </c>
      <c r="AA82" s="14">
        <f t="shared" si="29"/>
        <v>0.23350312499999998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hidden="1" customHeight="1" outlineLevel="1" thickBot="1" x14ac:dyDescent="0.4">
      <c r="A83" s="5">
        <f t="shared" si="27"/>
        <v>0</v>
      </c>
      <c r="B83" s="5">
        <f t="shared" si="27"/>
        <v>1</v>
      </c>
      <c r="C83" s="5">
        <f t="shared" si="27"/>
        <v>1</v>
      </c>
      <c r="D83" s="5">
        <f t="shared" si="27"/>
        <v>0</v>
      </c>
      <c r="E83" s="6" t="str">
        <f t="shared" si="23"/>
        <v>*GeSe</v>
      </c>
      <c r="F83" s="14">
        <f t="shared" ref="F83:AL83" si="30">F7*$C$78</f>
        <v>0.5</v>
      </c>
      <c r="G83" s="14">
        <f t="shared" si="30"/>
        <v>0.5</v>
      </c>
      <c r="H83" s="14">
        <f t="shared" si="30"/>
        <v>0.5</v>
      </c>
      <c r="I83" s="14">
        <f t="shared" si="30"/>
        <v>0.5</v>
      </c>
      <c r="J83" s="14">
        <f t="shared" si="30"/>
        <v>0.5</v>
      </c>
      <c r="K83" s="14">
        <f t="shared" si="30"/>
        <v>0.5</v>
      </c>
      <c r="L83" s="14">
        <f t="shared" si="30"/>
        <v>0.5</v>
      </c>
      <c r="M83" s="14">
        <f t="shared" si="30"/>
        <v>0.5</v>
      </c>
      <c r="N83" s="14">
        <f t="shared" si="30"/>
        <v>0.5</v>
      </c>
      <c r="O83" s="14">
        <f t="shared" si="30"/>
        <v>0.5</v>
      </c>
      <c r="P83" s="14">
        <f t="shared" si="30"/>
        <v>0.15879062499999999</v>
      </c>
      <c r="Q83" s="14">
        <f t="shared" si="30"/>
        <v>9.6053125000000001E-4</v>
      </c>
      <c r="R83" s="14">
        <f t="shared" si="30"/>
        <v>9.615312500000001E-7</v>
      </c>
      <c r="S83" s="14">
        <f t="shared" si="30"/>
        <v>2.2322812500000001E-9</v>
      </c>
      <c r="T83" s="14">
        <f t="shared" si="30"/>
        <v>1.1295E-8</v>
      </c>
      <c r="U83" s="14">
        <f t="shared" si="30"/>
        <v>1.7145312500000001E-8</v>
      </c>
      <c r="V83" s="14">
        <f t="shared" si="30"/>
        <v>1.6508749999999999E-8</v>
      </c>
      <c r="W83" s="14">
        <f t="shared" si="30"/>
        <v>1.39853125E-8</v>
      </c>
      <c r="X83" s="14">
        <f t="shared" si="30"/>
        <v>1.2632187500000002E-8</v>
      </c>
      <c r="Y83" s="14">
        <f t="shared" si="30"/>
        <v>8.1884375000000008E-9</v>
      </c>
      <c r="Z83" s="14">
        <f t="shared" si="30"/>
        <v>4.7425000000000001E-9</v>
      </c>
      <c r="AA83" s="14">
        <f t="shared" si="30"/>
        <v>2.1389375000000001E-9</v>
      </c>
      <c r="AB83" s="14">
        <f t="shared" si="30"/>
        <v>0</v>
      </c>
      <c r="AC83" s="14">
        <f t="shared" si="30"/>
        <v>0</v>
      </c>
      <c r="AD83" s="14">
        <f t="shared" si="30"/>
        <v>0</v>
      </c>
      <c r="AE83" s="14">
        <f t="shared" si="30"/>
        <v>0</v>
      </c>
      <c r="AF83" s="14">
        <f t="shared" si="30"/>
        <v>0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hidden="1" customHeight="1" outlineLevel="1" thickBot="1" x14ac:dyDescent="0.4">
      <c r="A84" s="5">
        <f t="shared" si="27"/>
        <v>0</v>
      </c>
      <c r="B84" s="5">
        <f t="shared" si="27"/>
        <v>7</v>
      </c>
      <c r="C84" s="5">
        <f t="shared" si="27"/>
        <v>0</v>
      </c>
      <c r="D84" s="5">
        <f t="shared" si="27"/>
        <v>0</v>
      </c>
      <c r="E84" s="6" t="str">
        <f t="shared" si="23"/>
        <v>Se7</v>
      </c>
      <c r="F84" s="14">
        <f t="shared" ref="F84:AL84" si="31">F8*$C$78</f>
        <v>0</v>
      </c>
      <c r="G84" s="14">
        <f t="shared" si="31"/>
        <v>0</v>
      </c>
      <c r="H84" s="14">
        <f t="shared" si="31"/>
        <v>0</v>
      </c>
      <c r="I84" s="14">
        <f t="shared" si="31"/>
        <v>5.4240624999999996E-34</v>
      </c>
      <c r="J84" s="14">
        <f t="shared" si="31"/>
        <v>9.6468749999999989E-28</v>
      </c>
      <c r="K84" s="14">
        <f t="shared" si="31"/>
        <v>1.9446250000000001E-26</v>
      </c>
      <c r="L84" s="14">
        <f t="shared" si="31"/>
        <v>3.2328125000000001E-25</v>
      </c>
      <c r="M84" s="14">
        <f t="shared" si="31"/>
        <v>4.5115625000000002E-24</v>
      </c>
      <c r="N84" s="14">
        <f t="shared" si="31"/>
        <v>5.3675E-23</v>
      </c>
      <c r="O84" s="14">
        <f t="shared" si="31"/>
        <v>5.5203124999999993E-22</v>
      </c>
      <c r="P84" s="14">
        <f t="shared" si="31"/>
        <v>5.0653125000000002E-21</v>
      </c>
      <c r="Q84" s="14">
        <f t="shared" si="31"/>
        <v>5.2300000000000003E-20</v>
      </c>
      <c r="R84" s="14">
        <f t="shared" si="31"/>
        <v>5.1406250000000003E-19</v>
      </c>
      <c r="S84" s="14">
        <f t="shared" si="31"/>
        <v>5.0203125000000002E-18</v>
      </c>
      <c r="T84" s="14">
        <f t="shared" si="31"/>
        <v>4.5371875000000006E-17</v>
      </c>
      <c r="U84" s="14">
        <f t="shared" si="31"/>
        <v>3.8321875000000002E-16</v>
      </c>
      <c r="V84" s="14">
        <f t="shared" si="31"/>
        <v>3.0468124999999998E-15</v>
      </c>
      <c r="W84" s="14">
        <f t="shared" si="31"/>
        <v>2.2951250000000002E-14</v>
      </c>
      <c r="X84" s="14">
        <f t="shared" si="31"/>
        <v>1.6479374999999999E-13</v>
      </c>
      <c r="Y84" s="14">
        <f t="shared" si="31"/>
        <v>1.1339374999999999E-12</v>
      </c>
      <c r="Z84" s="14">
        <f t="shared" si="31"/>
        <v>7.5162500000000004E-12</v>
      </c>
      <c r="AA84" s="14">
        <f t="shared" si="31"/>
        <v>1.0940000000000001E-8</v>
      </c>
      <c r="AB84" s="14">
        <f t="shared" si="31"/>
        <v>0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hidden="1" customHeight="1" outlineLevel="1" thickBot="1" x14ac:dyDescent="0.4">
      <c r="A85" s="5">
        <f t="shared" si="27"/>
        <v>0</v>
      </c>
      <c r="B85" s="5">
        <f t="shared" si="27"/>
        <v>6</v>
      </c>
      <c r="C85" s="5">
        <f t="shared" si="27"/>
        <v>0</v>
      </c>
      <c r="D85" s="5">
        <f t="shared" si="27"/>
        <v>0</v>
      </c>
      <c r="E85" s="6" t="str">
        <f t="shared" si="23"/>
        <v>Se6</v>
      </c>
      <c r="F85" s="14">
        <f t="shared" ref="F85:AL85" si="32">F9*$C$78</f>
        <v>0</v>
      </c>
      <c r="G85" s="14">
        <f t="shared" si="32"/>
        <v>0</v>
      </c>
      <c r="H85" s="14">
        <f t="shared" si="32"/>
        <v>0</v>
      </c>
      <c r="I85" s="14">
        <f t="shared" si="32"/>
        <v>1.1625E-29</v>
      </c>
      <c r="J85" s="14">
        <f t="shared" si="32"/>
        <v>3.6496875000000004E-24</v>
      </c>
      <c r="K85" s="14">
        <f t="shared" si="32"/>
        <v>5.1193750000000002E-23</v>
      </c>
      <c r="L85" s="14">
        <f t="shared" si="32"/>
        <v>6.0599999999999999E-22</v>
      </c>
      <c r="M85" s="14">
        <f t="shared" si="32"/>
        <v>6.1490624999999998E-21</v>
      </c>
      <c r="N85" s="14">
        <f t="shared" si="32"/>
        <v>5.421875E-20</v>
      </c>
      <c r="O85" s="14">
        <f t="shared" si="32"/>
        <v>4.2053125E-19</v>
      </c>
      <c r="P85" s="14">
        <f t="shared" si="32"/>
        <v>2.9488125000000001E-18</v>
      </c>
      <c r="Q85" s="14">
        <f t="shared" si="32"/>
        <v>2.2813125000000002E-17</v>
      </c>
      <c r="R85" s="14">
        <f t="shared" si="32"/>
        <v>1.6876875000000001E-16</v>
      </c>
      <c r="S85" s="14">
        <f t="shared" si="32"/>
        <v>1.23865625E-15</v>
      </c>
      <c r="T85" s="14">
        <f t="shared" si="32"/>
        <v>8.4878124999999997E-15</v>
      </c>
      <c r="U85" s="14">
        <f t="shared" si="32"/>
        <v>5.4774999999999999E-14</v>
      </c>
      <c r="V85" s="14">
        <f t="shared" si="32"/>
        <v>3.3496874999999997E-13</v>
      </c>
      <c r="W85" s="14">
        <f t="shared" si="32"/>
        <v>1.9525624999999997E-12</v>
      </c>
      <c r="X85" s="14">
        <f t="shared" si="32"/>
        <v>1.0905624999999999E-11</v>
      </c>
      <c r="Y85" s="14">
        <f t="shared" si="32"/>
        <v>5.8640624999999996E-11</v>
      </c>
      <c r="Z85" s="14">
        <f t="shared" si="32"/>
        <v>3.0494062499999998E-10</v>
      </c>
      <c r="AA85" s="14">
        <f t="shared" si="32"/>
        <v>1.7310312499999999E-7</v>
      </c>
      <c r="AB85" s="14">
        <f t="shared" si="32"/>
        <v>0</v>
      </c>
      <c r="AC85" s="14">
        <f t="shared" si="32"/>
        <v>0</v>
      </c>
      <c r="AD85" s="14">
        <f t="shared" si="32"/>
        <v>0</v>
      </c>
      <c r="AE85" s="14">
        <f t="shared" si="32"/>
        <v>0</v>
      </c>
      <c r="AF85" s="14">
        <f t="shared" si="32"/>
        <v>0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hidden="1" customHeight="1" outlineLevel="1" thickBot="1" x14ac:dyDescent="0.4">
      <c r="A86" s="5">
        <f t="shared" si="27"/>
        <v>0</v>
      </c>
      <c r="B86" s="5">
        <f t="shared" si="27"/>
        <v>5</v>
      </c>
      <c r="C86" s="5">
        <f t="shared" si="27"/>
        <v>0</v>
      </c>
      <c r="D86" s="5">
        <f t="shared" si="27"/>
        <v>0</v>
      </c>
      <c r="E86" s="6" t="str">
        <f t="shared" si="23"/>
        <v>Se5</v>
      </c>
      <c r="F86" s="14">
        <f t="shared" ref="F86:AL86" si="33">F10*$C$78</f>
        <v>0</v>
      </c>
      <c r="G86" s="14">
        <f t="shared" si="33"/>
        <v>0</v>
      </c>
      <c r="H86" s="14">
        <f t="shared" si="33"/>
        <v>1.9438750000000001E-33</v>
      </c>
      <c r="I86" s="14">
        <f t="shared" si="33"/>
        <v>2.28746875E-26</v>
      </c>
      <c r="J86" s="14">
        <f t="shared" si="33"/>
        <v>3.1703125000000003E-21</v>
      </c>
      <c r="K86" s="14">
        <f t="shared" si="33"/>
        <v>3.7475000000000004E-20</v>
      </c>
      <c r="L86" s="14">
        <f t="shared" si="33"/>
        <v>3.7793749999999997E-19</v>
      </c>
      <c r="M86" s="14">
        <f t="shared" si="33"/>
        <v>3.2996874999999998E-18</v>
      </c>
      <c r="N86" s="14">
        <f t="shared" si="33"/>
        <v>2.52596875E-17</v>
      </c>
      <c r="O86" s="14">
        <f t="shared" si="33"/>
        <v>1.7150312500000001E-16</v>
      </c>
      <c r="P86" s="14">
        <f t="shared" si="33"/>
        <v>1.0578124999999999E-15</v>
      </c>
      <c r="Q86" s="14">
        <f t="shared" si="33"/>
        <v>7.0037499999999995E-15</v>
      </c>
      <c r="R86" s="14">
        <f t="shared" si="33"/>
        <v>4.4224999999999996E-14</v>
      </c>
      <c r="S86" s="14">
        <f t="shared" si="33"/>
        <v>2.7484374999999996E-13</v>
      </c>
      <c r="T86" s="14">
        <f t="shared" si="33"/>
        <v>1.5992500000000001E-12</v>
      </c>
      <c r="U86" s="14">
        <f t="shared" si="33"/>
        <v>8.7812500000000004E-12</v>
      </c>
      <c r="V86" s="14">
        <f t="shared" si="33"/>
        <v>4.5765625000000002E-11</v>
      </c>
      <c r="W86" s="14">
        <f t="shared" si="33"/>
        <v>2.2759687500000001E-10</v>
      </c>
      <c r="X86" s="14">
        <f t="shared" si="33"/>
        <v>1.0853437500000001E-9</v>
      </c>
      <c r="Y86" s="14">
        <f t="shared" si="33"/>
        <v>4.9846875000000001E-9</v>
      </c>
      <c r="Z86" s="14">
        <f t="shared" si="33"/>
        <v>2.214125E-8</v>
      </c>
      <c r="AA86" s="14">
        <f t="shared" si="33"/>
        <v>6.6549999999999998E-6</v>
      </c>
      <c r="AB86" s="14">
        <f t="shared" si="33"/>
        <v>0</v>
      </c>
      <c r="AC86" s="14">
        <f t="shared" si="33"/>
        <v>0</v>
      </c>
      <c r="AD86" s="14">
        <f t="shared" si="33"/>
        <v>0</v>
      </c>
      <c r="AE86" s="14">
        <f t="shared" si="33"/>
        <v>0</v>
      </c>
      <c r="AF86" s="14">
        <f t="shared" si="33"/>
        <v>0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hidden="1" customHeight="1" outlineLevel="1" thickBot="1" x14ac:dyDescent="0.4">
      <c r="A87" s="5">
        <f t="shared" si="27"/>
        <v>0</v>
      </c>
      <c r="B87" s="5">
        <f t="shared" si="27"/>
        <v>4</v>
      </c>
      <c r="C87" s="5">
        <f t="shared" si="27"/>
        <v>0</v>
      </c>
      <c r="D87" s="5">
        <f t="shared" si="27"/>
        <v>0</v>
      </c>
      <c r="E87" s="6" t="str">
        <f t="shared" si="23"/>
        <v>Se4</v>
      </c>
      <c r="F87" s="14">
        <f t="shared" ref="F87:AL87" si="34">F11*$C$78</f>
        <v>0</v>
      </c>
      <c r="G87" s="14">
        <f t="shared" si="34"/>
        <v>0</v>
      </c>
      <c r="H87" s="14">
        <f t="shared" si="34"/>
        <v>3.2278125000000001E-31</v>
      </c>
      <c r="I87" s="14">
        <f t="shared" si="34"/>
        <v>8.1478124999999995E-25</v>
      </c>
      <c r="J87" s="14">
        <f t="shared" si="34"/>
        <v>3.6603125000000002E-20</v>
      </c>
      <c r="K87" s="14">
        <f t="shared" si="34"/>
        <v>3.4178125000000004E-19</v>
      </c>
      <c r="L87" s="14">
        <f t="shared" si="34"/>
        <v>2.7636249999999998E-18</v>
      </c>
      <c r="M87" s="14">
        <f t="shared" si="34"/>
        <v>1.9609375000000001E-17</v>
      </c>
      <c r="N87" s="14">
        <f t="shared" si="34"/>
        <v>1.23525E-16</v>
      </c>
      <c r="O87" s="14">
        <f t="shared" si="34"/>
        <v>6.9796875000000011E-16</v>
      </c>
      <c r="P87" s="14">
        <f t="shared" si="34"/>
        <v>3.6103125000000004E-15</v>
      </c>
      <c r="Q87" s="14">
        <f t="shared" si="34"/>
        <v>1.95540625E-14</v>
      </c>
      <c r="R87" s="14">
        <f t="shared" si="34"/>
        <v>1.0097812499999999E-13</v>
      </c>
      <c r="S87" s="14">
        <f t="shared" si="34"/>
        <v>5.1025000000000007E-13</v>
      </c>
      <c r="T87" s="14">
        <f t="shared" si="34"/>
        <v>2.4257500000000002E-12</v>
      </c>
      <c r="U87" s="14">
        <f t="shared" si="34"/>
        <v>1.09253125E-11</v>
      </c>
      <c r="V87" s="14">
        <f t="shared" si="34"/>
        <v>4.6859374999999995E-11</v>
      </c>
      <c r="W87" s="14">
        <f t="shared" si="34"/>
        <v>1.9231562499999999E-10</v>
      </c>
      <c r="X87" s="14">
        <f t="shared" si="34"/>
        <v>7.5853124999999995E-10</v>
      </c>
      <c r="Y87" s="14">
        <f t="shared" si="34"/>
        <v>2.8866562500000001E-9</v>
      </c>
      <c r="Z87" s="14">
        <f t="shared" si="34"/>
        <v>1.06390625E-8</v>
      </c>
      <c r="AA87" s="14">
        <f t="shared" si="34"/>
        <v>1.52528125E-6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hidden="1" customHeight="1" outlineLevel="1" thickBot="1" x14ac:dyDescent="0.4">
      <c r="A88" s="5">
        <f t="shared" si="27"/>
        <v>0</v>
      </c>
      <c r="B88" s="5">
        <f t="shared" si="27"/>
        <v>3</v>
      </c>
      <c r="C88" s="5">
        <f t="shared" si="27"/>
        <v>0</v>
      </c>
      <c r="D88" s="5">
        <f t="shared" si="27"/>
        <v>0</v>
      </c>
      <c r="E88" s="6" t="str">
        <f t="shared" si="23"/>
        <v>Se3</v>
      </c>
      <c r="F88" s="14">
        <f t="shared" ref="F88:AL88" si="35">F12*$C$78</f>
        <v>0</v>
      </c>
      <c r="G88" s="14">
        <f t="shared" si="35"/>
        <v>8.4381250000000007E-36</v>
      </c>
      <c r="H88" s="14">
        <f t="shared" si="35"/>
        <v>2.5107499999999999E-27</v>
      </c>
      <c r="I88" s="14">
        <f t="shared" si="35"/>
        <v>1.5848749999999998E-21</v>
      </c>
      <c r="J88" s="14">
        <f t="shared" si="35"/>
        <v>2.5894999999999997E-17</v>
      </c>
      <c r="K88" s="14">
        <f t="shared" si="35"/>
        <v>1.9572187499999999E-16</v>
      </c>
      <c r="L88" s="14">
        <f t="shared" si="35"/>
        <v>1.29840625E-15</v>
      </c>
      <c r="M88" s="14">
        <f t="shared" si="35"/>
        <v>7.6515624999999988E-15</v>
      </c>
      <c r="N88" s="14">
        <f t="shared" si="35"/>
        <v>4.0481250000000004E-14</v>
      </c>
      <c r="O88" s="14">
        <f t="shared" si="35"/>
        <v>1.9409062500000002E-13</v>
      </c>
      <c r="P88" s="14">
        <f t="shared" si="35"/>
        <v>8.5746875000000007E-13</v>
      </c>
      <c r="Q88" s="14">
        <f t="shared" si="35"/>
        <v>3.8659375000000002E-12</v>
      </c>
      <c r="R88" s="14">
        <f t="shared" si="35"/>
        <v>1.6599062499999998E-11</v>
      </c>
      <c r="S88" s="14">
        <f t="shared" si="35"/>
        <v>6.9278125000000002E-11</v>
      </c>
      <c r="T88" s="14">
        <f t="shared" si="35"/>
        <v>2.7314999999999998E-10</v>
      </c>
      <c r="U88" s="14">
        <f t="shared" si="35"/>
        <v>1.0235937500000001E-9</v>
      </c>
      <c r="V88" s="14">
        <f t="shared" si="35"/>
        <v>3.6625000000000001E-9</v>
      </c>
      <c r="W88" s="14">
        <f t="shared" si="35"/>
        <v>1.2567500000000002E-8</v>
      </c>
      <c r="X88" s="14">
        <f t="shared" si="35"/>
        <v>4.1512500000000002E-8</v>
      </c>
      <c r="Y88" s="14">
        <f t="shared" si="35"/>
        <v>1.3246874999999999E-7</v>
      </c>
      <c r="Z88" s="14">
        <f t="shared" si="35"/>
        <v>4.0974999999999997E-7</v>
      </c>
      <c r="AA88" s="14">
        <f t="shared" si="35"/>
        <v>2.9199375000000002E-5</v>
      </c>
      <c r="AB88" s="14">
        <f t="shared" si="35"/>
        <v>0</v>
      </c>
      <c r="AC88" s="14">
        <f t="shared" si="35"/>
        <v>0</v>
      </c>
      <c r="AD88" s="14">
        <f t="shared" si="35"/>
        <v>0</v>
      </c>
      <c r="AE88" s="14">
        <f t="shared" si="35"/>
        <v>0</v>
      </c>
      <c r="AF88" s="14">
        <f t="shared" si="35"/>
        <v>0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hidden="1" customHeight="1" outlineLevel="1" thickBot="1" x14ac:dyDescent="0.4">
      <c r="A89" s="5">
        <f t="shared" si="27"/>
        <v>0</v>
      </c>
      <c r="B89" s="5">
        <f t="shared" si="27"/>
        <v>2</v>
      </c>
      <c r="C89" s="5">
        <f t="shared" si="27"/>
        <v>0</v>
      </c>
      <c r="D89" s="5">
        <f t="shared" si="27"/>
        <v>0</v>
      </c>
      <c r="E89" s="6" t="str">
        <f t="shared" si="23"/>
        <v>Se2</v>
      </c>
      <c r="F89" s="14">
        <f t="shared" ref="F89:AL89" si="36">F13*$C$78</f>
        <v>5.3165624999999997E-36</v>
      </c>
      <c r="G89" s="14">
        <f t="shared" si="36"/>
        <v>7.1699999999999992E-26</v>
      </c>
      <c r="H89" s="14">
        <f t="shared" si="36"/>
        <v>1.6480625000000001E-19</v>
      </c>
      <c r="I89" s="14">
        <f t="shared" si="36"/>
        <v>3.7887499999999999E-15</v>
      </c>
      <c r="J89" s="14">
        <f t="shared" si="36"/>
        <v>5.6371875000000003E-12</v>
      </c>
      <c r="K89" s="14">
        <f t="shared" si="36"/>
        <v>2.5883750000000002E-11</v>
      </c>
      <c r="L89" s="14">
        <f t="shared" si="36"/>
        <v>1.0776875E-10</v>
      </c>
      <c r="M89" s="14">
        <f t="shared" si="36"/>
        <v>4.1053125000000001E-10</v>
      </c>
      <c r="N89" s="14">
        <f t="shared" si="36"/>
        <v>1.4422500000000001E-9</v>
      </c>
      <c r="O89" s="14">
        <f t="shared" si="36"/>
        <v>4.7056249999999997E-9</v>
      </c>
      <c r="P89" s="14">
        <f t="shared" si="36"/>
        <v>1.44275E-8</v>
      </c>
      <c r="Q89" s="14">
        <f t="shared" si="36"/>
        <v>4.4524999999999997E-8</v>
      </c>
      <c r="R89" s="14">
        <f t="shared" si="36"/>
        <v>1.3215312500000001E-7</v>
      </c>
      <c r="S89" s="14">
        <f t="shared" si="36"/>
        <v>3.8259374999999998E-7</v>
      </c>
      <c r="T89" s="14">
        <f t="shared" si="36"/>
        <v>1.0606249999999999E-6</v>
      </c>
      <c r="U89" s="14">
        <f t="shared" si="36"/>
        <v>2.8276250000000003E-6</v>
      </c>
      <c r="V89" s="14">
        <f t="shared" si="36"/>
        <v>7.2753125000000005E-6</v>
      </c>
      <c r="W89" s="14">
        <f t="shared" si="36"/>
        <v>1.81221875E-5</v>
      </c>
      <c r="X89" s="14">
        <f t="shared" si="36"/>
        <v>4.3828125000000003E-5</v>
      </c>
      <c r="Y89" s="14">
        <f t="shared" si="36"/>
        <v>1.0319687499999999E-4</v>
      </c>
      <c r="Z89" s="14">
        <f t="shared" si="36"/>
        <v>2.3713437500000003E-4</v>
      </c>
      <c r="AA89" s="14">
        <f t="shared" si="36"/>
        <v>5.4346874999999994E-3</v>
      </c>
      <c r="AB89" s="14">
        <f t="shared" si="36"/>
        <v>0</v>
      </c>
      <c r="AC89" s="14">
        <f t="shared" si="36"/>
        <v>0</v>
      </c>
      <c r="AD89" s="14">
        <f t="shared" si="36"/>
        <v>0</v>
      </c>
      <c r="AE89" s="14">
        <f t="shared" si="36"/>
        <v>0</v>
      </c>
      <c r="AF89" s="14">
        <f t="shared" si="36"/>
        <v>0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hidden="1" customHeight="1" outlineLevel="1" thickBot="1" x14ac:dyDescent="0.4">
      <c r="A90" s="5">
        <f t="shared" si="27"/>
        <v>0</v>
      </c>
      <c r="B90" s="5">
        <f t="shared" si="27"/>
        <v>1</v>
      </c>
      <c r="C90" s="5">
        <f t="shared" si="27"/>
        <v>0</v>
      </c>
      <c r="D90" s="5">
        <f t="shared" si="27"/>
        <v>0</v>
      </c>
      <c r="E90" s="6" t="str">
        <f t="shared" si="23"/>
        <v>Se</v>
      </c>
      <c r="F90" s="14">
        <f t="shared" ref="F90:AL90" si="37">F14*$C$78</f>
        <v>0</v>
      </c>
      <c r="G90" s="14">
        <f t="shared" si="37"/>
        <v>4.603125E-35</v>
      </c>
      <c r="H90" s="14">
        <f t="shared" si="37"/>
        <v>2.4146874999999999E-27</v>
      </c>
      <c r="I90" s="14">
        <f t="shared" si="37"/>
        <v>4.7978124999999997E-22</v>
      </c>
      <c r="J90" s="14">
        <f t="shared" si="37"/>
        <v>3.4790625E-18</v>
      </c>
      <c r="K90" s="14">
        <f t="shared" si="37"/>
        <v>2.2290625000000002E-17</v>
      </c>
      <c r="L90" s="14">
        <f t="shared" si="37"/>
        <v>1.269E-16</v>
      </c>
      <c r="M90" s="14">
        <f t="shared" si="37"/>
        <v>6.4896875E-16</v>
      </c>
      <c r="N90" s="14">
        <f t="shared" si="37"/>
        <v>3.0098437500000001E-15</v>
      </c>
      <c r="O90" s="14">
        <f t="shared" si="37"/>
        <v>1.2768437500000001E-14</v>
      </c>
      <c r="P90" s="14">
        <f t="shared" si="37"/>
        <v>5.0056250000000003E-14</v>
      </c>
      <c r="Q90" s="14">
        <f t="shared" si="37"/>
        <v>1.8843437499999999E-13</v>
      </c>
      <c r="R90" s="14">
        <f t="shared" si="37"/>
        <v>6.6812500000000004E-13</v>
      </c>
      <c r="S90" s="14">
        <f t="shared" si="37"/>
        <v>2.2541250000000002E-12</v>
      </c>
      <c r="T90" s="14">
        <f t="shared" si="37"/>
        <v>7.1903125000000001E-12</v>
      </c>
      <c r="U90" s="14">
        <f t="shared" si="37"/>
        <v>2.1787187500000002E-11</v>
      </c>
      <c r="V90" s="14">
        <f t="shared" si="37"/>
        <v>6.2968749999999993E-11</v>
      </c>
      <c r="W90" s="14">
        <f t="shared" si="37"/>
        <v>1.7420937499999999E-10</v>
      </c>
      <c r="X90" s="14">
        <f t="shared" si="37"/>
        <v>4.6293749999999998E-10</v>
      </c>
      <c r="Y90" s="14">
        <f t="shared" si="37"/>
        <v>1.1852812500000001E-9</v>
      </c>
      <c r="Z90" s="14">
        <f t="shared" si="37"/>
        <v>2.9320937499999995E-9</v>
      </c>
      <c r="AA90" s="14">
        <f t="shared" si="37"/>
        <v>8.2153124999999998E-8</v>
      </c>
      <c r="AB90" s="14">
        <f t="shared" si="37"/>
        <v>0</v>
      </c>
      <c r="AC90" s="14">
        <f t="shared" si="37"/>
        <v>0</v>
      </c>
      <c r="AD90" s="14">
        <f t="shared" si="37"/>
        <v>0</v>
      </c>
      <c r="AE90" s="14">
        <f t="shared" si="37"/>
        <v>0</v>
      </c>
      <c r="AF90" s="14">
        <f t="shared" si="37"/>
        <v>0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hidden="1" customHeight="1" outlineLevel="1" thickBot="1" x14ac:dyDescent="0.4">
      <c r="A91" s="5">
        <f t="shared" si="27"/>
        <v>1</v>
      </c>
      <c r="B91" s="5">
        <f t="shared" si="27"/>
        <v>0</v>
      </c>
      <c r="C91" s="5">
        <f t="shared" si="27"/>
        <v>0</v>
      </c>
      <c r="D91" s="5">
        <f t="shared" si="27"/>
        <v>0</v>
      </c>
      <c r="E91" s="6" t="str">
        <f t="shared" si="23"/>
        <v>Ar</v>
      </c>
      <c r="F91" s="14">
        <f t="shared" ref="F91:AL91" si="38">F15*$C$78</f>
        <v>0.625</v>
      </c>
      <c r="G91" s="14">
        <f t="shared" si="38"/>
        <v>0.625</v>
      </c>
      <c r="H91" s="14">
        <f t="shared" si="38"/>
        <v>0.625</v>
      </c>
      <c r="I91" s="14">
        <f t="shared" si="38"/>
        <v>0.625</v>
      </c>
      <c r="J91" s="14">
        <f t="shared" si="38"/>
        <v>0.625</v>
      </c>
      <c r="K91" s="14">
        <f t="shared" si="38"/>
        <v>0.625</v>
      </c>
      <c r="L91" s="14">
        <f t="shared" si="38"/>
        <v>0.625</v>
      </c>
      <c r="M91" s="14">
        <f t="shared" si="38"/>
        <v>0.625</v>
      </c>
      <c r="N91" s="14">
        <f t="shared" si="38"/>
        <v>0.625</v>
      </c>
      <c r="O91" s="14">
        <f t="shared" si="38"/>
        <v>0.625</v>
      </c>
      <c r="P91" s="14">
        <f t="shared" si="38"/>
        <v>0.625</v>
      </c>
      <c r="Q91" s="14">
        <f t="shared" si="38"/>
        <v>0.625</v>
      </c>
      <c r="R91" s="14">
        <f t="shared" si="38"/>
        <v>0.625</v>
      </c>
      <c r="S91" s="14">
        <f t="shared" si="38"/>
        <v>0.625</v>
      </c>
      <c r="T91" s="14">
        <f t="shared" si="38"/>
        <v>0.625</v>
      </c>
      <c r="U91" s="14">
        <f t="shared" si="38"/>
        <v>0.625</v>
      </c>
      <c r="V91" s="14">
        <f t="shared" si="38"/>
        <v>0.625</v>
      </c>
      <c r="W91" s="14">
        <f t="shared" si="38"/>
        <v>0.625</v>
      </c>
      <c r="X91" s="14">
        <f t="shared" si="38"/>
        <v>0.625</v>
      </c>
      <c r="Y91" s="14">
        <f t="shared" si="38"/>
        <v>0.625</v>
      </c>
      <c r="Z91" s="14">
        <f t="shared" si="38"/>
        <v>0.625</v>
      </c>
      <c r="AA91" s="14">
        <f t="shared" si="38"/>
        <v>0.625</v>
      </c>
      <c r="AB91" s="14">
        <f t="shared" si="38"/>
        <v>0</v>
      </c>
      <c r="AC91" s="14">
        <f t="shared" si="38"/>
        <v>0</v>
      </c>
      <c r="AD91" s="14">
        <f t="shared" si="38"/>
        <v>0</v>
      </c>
      <c r="AE91" s="14">
        <f t="shared" si="38"/>
        <v>0</v>
      </c>
      <c r="AF91" s="14">
        <f t="shared" si="38"/>
        <v>0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hidden="1" customHeight="1" outlineLevel="1" thickBot="1" x14ac:dyDescent="0.4">
      <c r="A92" s="5">
        <f t="shared" si="27"/>
        <v>1</v>
      </c>
      <c r="B92" s="5">
        <f t="shared" si="27"/>
        <v>0</v>
      </c>
      <c r="C92" s="5">
        <f t="shared" si="27"/>
        <v>0</v>
      </c>
      <c r="D92" s="5">
        <f t="shared" si="27"/>
        <v>0</v>
      </c>
      <c r="E92" s="6" t="str">
        <f t="shared" si="23"/>
        <v>H (Ar)</v>
      </c>
      <c r="F92" s="14">
        <f t="shared" ref="F92:AL92" si="39">F16*$C$78</f>
        <v>-58.1875</v>
      </c>
      <c r="G92" s="14">
        <f t="shared" si="39"/>
        <v>-58.281249999999993</v>
      </c>
      <c r="H92" s="14">
        <f t="shared" si="39"/>
        <v>-58.65625</v>
      </c>
      <c r="I92" s="14">
        <f t="shared" si="39"/>
        <v>-59.15625</v>
      </c>
      <c r="J92" s="14">
        <f t="shared" si="39"/>
        <v>-59.65625</v>
      </c>
      <c r="K92" s="14">
        <f t="shared" si="39"/>
        <v>-59.8125</v>
      </c>
      <c r="L92" s="14">
        <f t="shared" si="39"/>
        <v>-59.9375</v>
      </c>
      <c r="M92" s="14">
        <f t="shared" si="39"/>
        <v>-60.0625</v>
      </c>
      <c r="N92" s="14">
        <f t="shared" si="39"/>
        <v>-60.187500000000007</v>
      </c>
      <c r="O92" s="14">
        <f t="shared" si="39"/>
        <v>-60.3125</v>
      </c>
      <c r="P92" s="14">
        <f t="shared" si="39"/>
        <v>-60.468750000000007</v>
      </c>
      <c r="Q92" s="14">
        <f t="shared" si="39"/>
        <v>-60.59375</v>
      </c>
      <c r="R92" s="14">
        <f t="shared" si="39"/>
        <v>-60.71875</v>
      </c>
      <c r="S92" s="14">
        <f t="shared" si="39"/>
        <v>-60.84375</v>
      </c>
      <c r="T92" s="14">
        <f t="shared" si="39"/>
        <v>-60.968750000000007</v>
      </c>
      <c r="U92" s="14">
        <f t="shared" si="39"/>
        <v>-61.09375</v>
      </c>
      <c r="V92" s="14">
        <f t="shared" si="39"/>
        <v>-61.21875</v>
      </c>
      <c r="W92" s="14">
        <f t="shared" si="39"/>
        <v>-61.3125</v>
      </c>
      <c r="X92" s="14">
        <f t="shared" si="39"/>
        <v>-61.4375</v>
      </c>
      <c r="Y92" s="14">
        <f t="shared" si="39"/>
        <v>-61.5625</v>
      </c>
      <c r="Z92" s="14">
        <f t="shared" si="39"/>
        <v>-61.687499999999993</v>
      </c>
      <c r="AA92" s="14">
        <f t="shared" si="39"/>
        <v>-62.15625</v>
      </c>
      <c r="AB92" s="14">
        <f t="shared" si="39"/>
        <v>0</v>
      </c>
      <c r="AC92" s="14">
        <f t="shared" si="39"/>
        <v>0</v>
      </c>
      <c r="AD92" s="14">
        <f t="shared" si="39"/>
        <v>0</v>
      </c>
      <c r="AE92" s="14">
        <f t="shared" si="39"/>
        <v>0</v>
      </c>
      <c r="AF92" s="14">
        <f t="shared" si="39"/>
        <v>0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hidden="1" customHeight="1" outlineLevel="1" thickBot="1" x14ac:dyDescent="0.4">
      <c r="A93" s="5">
        <f t="shared" si="27"/>
        <v>0</v>
      </c>
      <c r="B93" s="5">
        <f t="shared" si="27"/>
        <v>0</v>
      </c>
      <c r="C93" s="5">
        <f t="shared" si="27"/>
        <v>1</v>
      </c>
      <c r="D93" s="5">
        <f t="shared" si="27"/>
        <v>0</v>
      </c>
      <c r="E93" s="6" t="str">
        <f t="shared" si="23"/>
        <v>H (Ge)</v>
      </c>
      <c r="F93" s="14">
        <f t="shared" ref="F93:AL93" si="40">F17*$C$78</f>
        <v>-50.90625</v>
      </c>
      <c r="G93" s="14">
        <f t="shared" si="40"/>
        <v>-43.15625</v>
      </c>
      <c r="H93" s="14">
        <f t="shared" si="40"/>
        <v>-38.75</v>
      </c>
      <c r="I93" s="14">
        <f t="shared" si="40"/>
        <v>-36.0625</v>
      </c>
      <c r="J93" s="14">
        <f t="shared" si="40"/>
        <v>-34.34375</v>
      </c>
      <c r="K93" s="14">
        <f t="shared" si="40"/>
        <v>-34.03125</v>
      </c>
      <c r="L93" s="14">
        <f t="shared" si="40"/>
        <v>-33.71875</v>
      </c>
      <c r="M93" s="14">
        <f t="shared" si="40"/>
        <v>-33.46875</v>
      </c>
      <c r="N93" s="14">
        <f t="shared" si="40"/>
        <v>-33.21875</v>
      </c>
      <c r="O93" s="14">
        <f t="shared" si="40"/>
        <v>-33</v>
      </c>
      <c r="P93" s="14">
        <f t="shared" si="40"/>
        <v>-32.8125</v>
      </c>
      <c r="Q93" s="14">
        <f t="shared" si="40"/>
        <v>-32.875</v>
      </c>
      <c r="R93" s="14">
        <f t="shared" si="40"/>
        <v>-33</v>
      </c>
      <c r="S93" s="14">
        <f t="shared" si="40"/>
        <v>-33.25</v>
      </c>
      <c r="T93" s="14">
        <f t="shared" si="40"/>
        <v>-33.53125</v>
      </c>
      <c r="U93" s="14">
        <f t="shared" si="40"/>
        <v>-33.8125</v>
      </c>
      <c r="V93" s="14">
        <f t="shared" si="40"/>
        <v>-34.15625</v>
      </c>
      <c r="W93" s="14">
        <f t="shared" si="40"/>
        <v>-34.5</v>
      </c>
      <c r="X93" s="14">
        <f t="shared" si="40"/>
        <v>-34.90625</v>
      </c>
      <c r="Y93" s="14">
        <f t="shared" si="40"/>
        <v>-35.34375</v>
      </c>
      <c r="Z93" s="14">
        <f t="shared" si="40"/>
        <v>-35.8125</v>
      </c>
      <c r="AA93" s="14">
        <f t="shared" si="40"/>
        <v>-37.9375</v>
      </c>
      <c r="AB93" s="14">
        <f t="shared" si="40"/>
        <v>0</v>
      </c>
      <c r="AC93" s="14">
        <f t="shared" si="40"/>
        <v>0</v>
      </c>
      <c r="AD93" s="14">
        <f t="shared" si="40"/>
        <v>0</v>
      </c>
      <c r="AE93" s="14">
        <f t="shared" si="40"/>
        <v>0</v>
      </c>
      <c r="AF93" s="14">
        <f t="shared" si="40"/>
        <v>0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hidden="1" customHeight="1" outlineLevel="1" thickBot="1" x14ac:dyDescent="0.4">
      <c r="A94" s="5">
        <f t="shared" si="27"/>
        <v>0</v>
      </c>
      <c r="B94" s="5">
        <f t="shared" si="27"/>
        <v>1</v>
      </c>
      <c r="C94" s="5">
        <f t="shared" si="27"/>
        <v>0</v>
      </c>
      <c r="D94" s="5">
        <f t="shared" si="27"/>
        <v>0</v>
      </c>
      <c r="E94" s="6" t="str">
        <f t="shared" si="23"/>
        <v>H (Se)</v>
      </c>
      <c r="F94" s="14">
        <f t="shared" ref="F94:AL94" si="41">F18*$C$78</f>
        <v>-73.5</v>
      </c>
      <c r="G94" s="14">
        <f t="shared" si="41"/>
        <v>-59.78125</v>
      </c>
      <c r="H94" s="14">
        <f t="shared" si="41"/>
        <v>-51.5</v>
      </c>
      <c r="I94" s="14">
        <f t="shared" si="41"/>
        <v>-46.0625</v>
      </c>
      <c r="J94" s="14">
        <f t="shared" si="41"/>
        <v>-42.28125</v>
      </c>
      <c r="K94" s="14">
        <f t="shared" si="41"/>
        <v>-41.5</v>
      </c>
      <c r="L94" s="14">
        <f t="shared" si="41"/>
        <v>-40.8125</v>
      </c>
      <c r="M94" s="14">
        <f t="shared" si="41"/>
        <v>-40.15625</v>
      </c>
      <c r="N94" s="14">
        <f t="shared" si="41"/>
        <v>-39.5625</v>
      </c>
      <c r="O94" s="14">
        <f t="shared" si="41"/>
        <v>-39</v>
      </c>
      <c r="P94" s="14">
        <f t="shared" si="41"/>
        <v>-38.46875</v>
      </c>
      <c r="Q94" s="14">
        <f t="shared" si="41"/>
        <v>-37.84375</v>
      </c>
      <c r="R94" s="14">
        <f t="shared" si="41"/>
        <v>-37.25</v>
      </c>
      <c r="S94" s="14">
        <f t="shared" si="41"/>
        <v>-36.65625</v>
      </c>
      <c r="T94" s="14">
        <f t="shared" si="41"/>
        <v>-36.0625</v>
      </c>
      <c r="U94" s="14">
        <f t="shared" si="41"/>
        <v>-35.5</v>
      </c>
      <c r="V94" s="14">
        <f t="shared" si="41"/>
        <v>-34.9375</v>
      </c>
      <c r="W94" s="14">
        <f t="shared" si="41"/>
        <v>-34.375</v>
      </c>
      <c r="X94" s="14">
        <f t="shared" si="41"/>
        <v>-33.84375</v>
      </c>
      <c r="Y94" s="14">
        <f t="shared" si="41"/>
        <v>-33.3125</v>
      </c>
      <c r="Z94" s="14">
        <f t="shared" si="41"/>
        <v>-32.78125</v>
      </c>
      <c r="AA94" s="14">
        <f t="shared" si="41"/>
        <v>-30.715625000000003</v>
      </c>
      <c r="AB94" s="14">
        <f t="shared" si="41"/>
        <v>0</v>
      </c>
      <c r="AC94" s="14">
        <f t="shared" si="41"/>
        <v>0</v>
      </c>
      <c r="AD94" s="14">
        <f t="shared" si="41"/>
        <v>0</v>
      </c>
      <c r="AE94" s="14">
        <f t="shared" si="41"/>
        <v>0</v>
      </c>
      <c r="AF94" s="14">
        <f t="shared" si="41"/>
        <v>0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hidden="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0</v>
      </c>
      <c r="D95" s="5">
        <f t="shared" si="27"/>
        <v>0</v>
      </c>
      <c r="E95" s="6">
        <f t="shared" si="23"/>
        <v>0</v>
      </c>
      <c r="F95" s="14">
        <f t="shared" ref="F95:AL95" si="42">F19*$C$78</f>
        <v>0</v>
      </c>
      <c r="G95" s="14">
        <f t="shared" si="42"/>
        <v>0</v>
      </c>
      <c r="H95" s="14">
        <f t="shared" si="42"/>
        <v>0</v>
      </c>
      <c r="I95" s="14">
        <f t="shared" si="42"/>
        <v>0</v>
      </c>
      <c r="J95" s="14">
        <f t="shared" si="42"/>
        <v>0</v>
      </c>
      <c r="K95" s="14">
        <f t="shared" si="42"/>
        <v>0</v>
      </c>
      <c r="L95" s="14">
        <f t="shared" si="42"/>
        <v>0</v>
      </c>
      <c r="M95" s="14">
        <f t="shared" si="42"/>
        <v>0</v>
      </c>
      <c r="N95" s="14">
        <f t="shared" si="42"/>
        <v>0</v>
      </c>
      <c r="O95" s="14">
        <f t="shared" si="42"/>
        <v>0</v>
      </c>
      <c r="P95" s="14">
        <f t="shared" si="42"/>
        <v>0</v>
      </c>
      <c r="Q95" s="14">
        <f t="shared" si="42"/>
        <v>0</v>
      </c>
      <c r="R95" s="14">
        <f t="shared" si="42"/>
        <v>0</v>
      </c>
      <c r="S95" s="14">
        <f t="shared" si="42"/>
        <v>0</v>
      </c>
      <c r="T95" s="14">
        <f t="shared" si="42"/>
        <v>0</v>
      </c>
      <c r="U95" s="14">
        <f t="shared" si="42"/>
        <v>0</v>
      </c>
      <c r="V95" s="14">
        <f t="shared" si="42"/>
        <v>0</v>
      </c>
      <c r="W95" s="14">
        <f t="shared" si="42"/>
        <v>0</v>
      </c>
      <c r="X95" s="14">
        <f t="shared" si="42"/>
        <v>0</v>
      </c>
      <c r="Y95" s="14">
        <f t="shared" si="42"/>
        <v>0</v>
      </c>
      <c r="Z95" s="14">
        <f t="shared" si="42"/>
        <v>0</v>
      </c>
      <c r="AA95" s="14">
        <f t="shared" si="42"/>
        <v>0</v>
      </c>
      <c r="AB95" s="14">
        <f t="shared" si="42"/>
        <v>0</v>
      </c>
      <c r="AC95" s="14">
        <f t="shared" si="42"/>
        <v>0</v>
      </c>
      <c r="AD95" s="14">
        <f t="shared" si="42"/>
        <v>0</v>
      </c>
      <c r="AE95" s="14">
        <f t="shared" si="42"/>
        <v>0</v>
      </c>
      <c r="AF95" s="14">
        <f t="shared" si="42"/>
        <v>0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hidden="1" customHeight="1" outlineLevel="1" thickBot="1" x14ac:dyDescent="0.4">
      <c r="A96" s="5">
        <f t="shared" si="27"/>
        <v>0</v>
      </c>
      <c r="B96" s="5">
        <f t="shared" si="27"/>
        <v>0</v>
      </c>
      <c r="C96" s="5">
        <f t="shared" si="27"/>
        <v>0</v>
      </c>
      <c r="D96" s="5">
        <f t="shared" si="27"/>
        <v>0</v>
      </c>
      <c r="E96" s="6">
        <f t="shared" si="23"/>
        <v>0</v>
      </c>
      <c r="F96" s="14">
        <f t="shared" ref="F96:AL96" si="43">F20*$C$78</f>
        <v>0</v>
      </c>
      <c r="G96" s="14">
        <f t="shared" si="43"/>
        <v>0</v>
      </c>
      <c r="H96" s="14">
        <f t="shared" si="43"/>
        <v>0</v>
      </c>
      <c r="I96" s="14">
        <f t="shared" si="43"/>
        <v>0</v>
      </c>
      <c r="J96" s="14">
        <f t="shared" si="43"/>
        <v>0</v>
      </c>
      <c r="K96" s="14">
        <f t="shared" si="43"/>
        <v>0</v>
      </c>
      <c r="L96" s="14">
        <f t="shared" si="43"/>
        <v>0</v>
      </c>
      <c r="M96" s="14">
        <f t="shared" si="43"/>
        <v>0</v>
      </c>
      <c r="N96" s="14">
        <f t="shared" si="43"/>
        <v>0</v>
      </c>
      <c r="O96" s="14">
        <f t="shared" si="43"/>
        <v>0</v>
      </c>
      <c r="P96" s="14">
        <f t="shared" si="43"/>
        <v>0</v>
      </c>
      <c r="Q96" s="14">
        <f t="shared" si="43"/>
        <v>0</v>
      </c>
      <c r="R96" s="14">
        <f t="shared" si="43"/>
        <v>0</v>
      </c>
      <c r="S96" s="14">
        <f t="shared" si="43"/>
        <v>0</v>
      </c>
      <c r="T96" s="14">
        <f t="shared" si="43"/>
        <v>0</v>
      </c>
      <c r="U96" s="14">
        <f t="shared" si="43"/>
        <v>0</v>
      </c>
      <c r="V96" s="14">
        <f t="shared" si="43"/>
        <v>0</v>
      </c>
      <c r="W96" s="14">
        <f t="shared" si="43"/>
        <v>0</v>
      </c>
      <c r="X96" s="14">
        <f t="shared" si="43"/>
        <v>0</v>
      </c>
      <c r="Y96" s="14">
        <f t="shared" si="43"/>
        <v>0</v>
      </c>
      <c r="Z96" s="14">
        <f t="shared" si="43"/>
        <v>0</v>
      </c>
      <c r="AA96" s="14">
        <f t="shared" si="43"/>
        <v>0</v>
      </c>
      <c r="AB96" s="14">
        <f t="shared" si="43"/>
        <v>0</v>
      </c>
      <c r="AC96" s="14">
        <f t="shared" si="43"/>
        <v>0</v>
      </c>
      <c r="AD96" s="14">
        <f t="shared" si="43"/>
        <v>0</v>
      </c>
      <c r="AE96" s="14">
        <f t="shared" si="43"/>
        <v>0</v>
      </c>
      <c r="AF96" s="14">
        <f t="shared" si="43"/>
        <v>0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hidden="1" customHeight="1" outlineLevel="1" thickBot="1" x14ac:dyDescent="0.4">
      <c r="A97" s="5">
        <f t="shared" ref="A97:D109" si="44">A63</f>
        <v>0</v>
      </c>
      <c r="B97" s="5">
        <f t="shared" si="44"/>
        <v>0</v>
      </c>
      <c r="C97" s="5">
        <f t="shared" si="44"/>
        <v>0</v>
      </c>
      <c r="D97" s="5">
        <f t="shared" si="44"/>
        <v>0</v>
      </c>
      <c r="E97" s="6">
        <f t="shared" si="23"/>
        <v>0</v>
      </c>
      <c r="F97" s="14">
        <f t="shared" ref="F97:AL97" si="45">F21*$C$78</f>
        <v>0</v>
      </c>
      <c r="G97" s="14">
        <f t="shared" si="45"/>
        <v>0</v>
      </c>
      <c r="H97" s="14">
        <f t="shared" si="45"/>
        <v>0</v>
      </c>
      <c r="I97" s="14">
        <f t="shared" si="45"/>
        <v>0</v>
      </c>
      <c r="J97" s="14">
        <f t="shared" si="45"/>
        <v>0</v>
      </c>
      <c r="K97" s="14">
        <f t="shared" si="45"/>
        <v>0</v>
      </c>
      <c r="L97" s="14">
        <f t="shared" si="45"/>
        <v>0</v>
      </c>
      <c r="M97" s="14">
        <f t="shared" si="45"/>
        <v>0</v>
      </c>
      <c r="N97" s="14">
        <f t="shared" si="45"/>
        <v>0</v>
      </c>
      <c r="O97" s="14">
        <f t="shared" si="45"/>
        <v>0</v>
      </c>
      <c r="P97" s="14">
        <f t="shared" si="45"/>
        <v>0</v>
      </c>
      <c r="Q97" s="14">
        <f t="shared" si="45"/>
        <v>0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hidden="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hidden="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hidden="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hidden="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hidden="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hidden="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hidden="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hidden="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hidden="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hidden="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hidden="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hidden="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U110" s="55"/>
      <c r="V110" s="55"/>
      <c r="W110" s="55"/>
    </row>
    <row r="111" spans="1:54" ht="21" customHeight="1" collapsed="1" x14ac:dyDescent="0.35">
      <c r="U111" s="55"/>
      <c r="V111" s="55"/>
      <c r="W111" s="55"/>
    </row>
    <row r="112" spans="1:54" ht="21" customHeight="1" thickBot="1" x14ac:dyDescent="0.45">
      <c r="A112" s="75"/>
      <c r="B112" s="75"/>
      <c r="C112" s="75"/>
      <c r="D112" s="75"/>
      <c r="E112" s="74" t="s">
        <v>24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140" t="s">
        <v>10</v>
      </c>
      <c r="B113" s="141"/>
      <c r="C113" s="23" t="s">
        <v>11</v>
      </c>
      <c r="D113" s="15" t="s">
        <v>12</v>
      </c>
      <c r="E113" s="15"/>
      <c r="F113" s="4">
        <f t="shared" ref="F113:AL113" si="57">F3</f>
        <v>273.10000000000002</v>
      </c>
      <c r="G113" s="4">
        <f t="shared" si="57"/>
        <v>353.9</v>
      </c>
      <c r="H113" s="4">
        <f t="shared" si="57"/>
        <v>434.7</v>
      </c>
      <c r="I113" s="4">
        <f t="shared" si="57"/>
        <v>515.4</v>
      </c>
      <c r="J113" s="4">
        <f t="shared" si="57"/>
        <v>596.20000000000005</v>
      </c>
      <c r="K113" s="4">
        <f t="shared" si="57"/>
        <v>616.4</v>
      </c>
      <c r="L113" s="4">
        <f t="shared" si="57"/>
        <v>636.6</v>
      </c>
      <c r="M113" s="4">
        <f t="shared" si="57"/>
        <v>656.8</v>
      </c>
      <c r="N113" s="4">
        <f t="shared" si="57"/>
        <v>677</v>
      </c>
      <c r="O113" s="4">
        <f t="shared" si="57"/>
        <v>697.1</v>
      </c>
      <c r="P113" s="4">
        <f t="shared" si="57"/>
        <v>717.3</v>
      </c>
      <c r="Q113" s="4">
        <f t="shared" si="57"/>
        <v>737.5</v>
      </c>
      <c r="R113" s="4">
        <f t="shared" si="57"/>
        <v>757.7</v>
      </c>
      <c r="S113" s="4">
        <f t="shared" si="57"/>
        <v>777.9</v>
      </c>
      <c r="T113" s="4">
        <f t="shared" si="57"/>
        <v>798.1</v>
      </c>
      <c r="U113" s="4">
        <f t="shared" si="57"/>
        <v>818.3</v>
      </c>
      <c r="V113" s="4">
        <f t="shared" si="57"/>
        <v>838.5</v>
      </c>
      <c r="W113" s="4">
        <f t="shared" si="57"/>
        <v>858.7</v>
      </c>
      <c r="X113" s="4">
        <f t="shared" si="57"/>
        <v>878.9</v>
      </c>
      <c r="Y113" s="4">
        <f t="shared" si="57"/>
        <v>899</v>
      </c>
      <c r="Z113" s="4">
        <f t="shared" si="57"/>
        <v>919.2</v>
      </c>
      <c r="AA113" s="4">
        <f t="shared" si="57"/>
        <v>1000</v>
      </c>
      <c r="AB113" s="4">
        <f t="shared" si="57"/>
        <v>0</v>
      </c>
      <c r="AC113" s="4">
        <f t="shared" si="57"/>
        <v>0</v>
      </c>
      <c r="AD113" s="4">
        <f t="shared" si="57"/>
        <v>0</v>
      </c>
      <c r="AE113" s="4">
        <f t="shared" si="57"/>
        <v>0</v>
      </c>
      <c r="AF113" s="4">
        <f t="shared" si="57"/>
        <v>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MIN(MIN(F114:AL117),MIN(F41:AL41))</f>
        <v>-223.52286075000004</v>
      </c>
      <c r="C114" s="24">
        <f>COUNTA(E114:E121)+1</f>
        <v>6</v>
      </c>
      <c r="E114" s="17" t="s">
        <v>13</v>
      </c>
      <c r="F114" s="52">
        <v>0</v>
      </c>
      <c r="G114" s="52">
        <v>1</v>
      </c>
      <c r="H114" s="52">
        <v>2</v>
      </c>
      <c r="I114" s="52">
        <v>3</v>
      </c>
      <c r="J114" s="52">
        <v>4</v>
      </c>
      <c r="K114" s="52">
        <v>5</v>
      </c>
      <c r="L114" s="52">
        <v>6</v>
      </c>
      <c r="M114" s="52">
        <v>7</v>
      </c>
      <c r="N114" s="52">
        <v>8</v>
      </c>
      <c r="O114" s="52">
        <v>9</v>
      </c>
      <c r="P114" s="52">
        <v>10</v>
      </c>
      <c r="Q114" s="52">
        <v>11</v>
      </c>
      <c r="R114" s="52">
        <v>12</v>
      </c>
      <c r="S114" s="52">
        <v>13</v>
      </c>
      <c r="T114" s="52">
        <v>14</v>
      </c>
      <c r="U114" s="52">
        <v>15</v>
      </c>
      <c r="V114" s="52">
        <v>16</v>
      </c>
      <c r="W114" s="52">
        <v>17</v>
      </c>
      <c r="X114" s="52">
        <v>18</v>
      </c>
      <c r="Y114" s="52">
        <v>19</v>
      </c>
      <c r="Z114" s="52">
        <v>20</v>
      </c>
      <c r="AA114" s="52">
        <v>21</v>
      </c>
      <c r="AB114" s="52">
        <v>22</v>
      </c>
      <c r="AC114" s="52">
        <v>23</v>
      </c>
      <c r="AD114" s="52">
        <v>24</v>
      </c>
      <c r="AE114" s="52">
        <v>25</v>
      </c>
      <c r="AF114" s="52">
        <v>26</v>
      </c>
      <c r="AG114" s="52">
        <v>27</v>
      </c>
      <c r="AH114" s="52">
        <v>28</v>
      </c>
      <c r="AI114" s="52">
        <v>29</v>
      </c>
      <c r="AJ114" s="52">
        <v>30</v>
      </c>
      <c r="AK114" s="52">
        <v>31</v>
      </c>
      <c r="AL114" s="52">
        <v>32</v>
      </c>
    </row>
    <row r="115" spans="1:38" ht="21" customHeight="1" outlineLevel="1" thickBot="1" x14ac:dyDescent="0.4">
      <c r="A115" s="22">
        <f>$A$114</f>
        <v>700</v>
      </c>
      <c r="B115" s="51">
        <f ca="1">MAX(MAX(F114:AL117),MAX(F41:AL41))</f>
        <v>32</v>
      </c>
      <c r="C115" s="25">
        <f xml:space="preserve"> COUNTIF(F113:AL113,"&lt;&gt;"&amp;0)</f>
        <v>22</v>
      </c>
      <c r="E115" s="17" t="s">
        <v>14</v>
      </c>
      <c r="F115" s="14">
        <f ca="1">F$113*$B$2*SUMPRODUCT(F$84:F$90,F$50:F$56)/1000</f>
        <v>-5.6787934735444514E-34</v>
      </c>
      <c r="G115" s="14">
        <f t="shared" ref="G115:AL115" ca="1" si="58">G$113*$B$2*SUMPRODUCT(G$84:G$90,G$50:G$56)/1000</f>
        <v>-8.0719938410411484E-24</v>
      </c>
      <c r="H115" s="14">
        <f t="shared" ca="1" si="58"/>
        <v>-1.9633000223739784E-17</v>
      </c>
      <c r="I115" s="14">
        <f t="shared" ca="1" si="58"/>
        <v>-4.786348099617865E-13</v>
      </c>
      <c r="J115" s="14">
        <f t="shared" ca="1" si="58"/>
        <v>-7.5617360633340844E-10</v>
      </c>
      <c r="K115" s="14">
        <f t="shared" ca="1" si="58"/>
        <v>-3.5233773717862824E-9</v>
      </c>
      <c r="L115" s="14">
        <f t="shared" ca="1" si="58"/>
        <v>-1.4899679287307649E-8</v>
      </c>
      <c r="M115" s="14">
        <f t="shared" ca="1" si="58"/>
        <v>-5.7618395684811074E-8</v>
      </c>
      <c r="N115" s="14">
        <f t="shared" ca="1" si="58"/>
        <v>-2.0556439115261291E-7</v>
      </c>
      <c r="O115" s="14">
        <f t="shared" ca="1" si="58"/>
        <v>-6.8080187385380331E-7</v>
      </c>
      <c r="P115" s="14">
        <f t="shared" ca="1" si="58"/>
        <v>-2.1186336505247058E-6</v>
      </c>
      <c r="Q115" s="14">
        <f t="shared" ca="1" si="58"/>
        <v>-6.6135441862516572E-6</v>
      </c>
      <c r="R115" s="14">
        <f t="shared" ca="1" si="58"/>
        <v>-1.9851853236968716E-5</v>
      </c>
      <c r="S115" s="14">
        <f t="shared" ca="1" si="58"/>
        <v>-5.8069348411056457E-5</v>
      </c>
      <c r="T115" s="14">
        <f t="shared" ca="1" si="58"/>
        <v>-1.6250396227926025E-4</v>
      </c>
      <c r="U115" s="14">
        <f t="shared" ca="1" si="58"/>
        <v>-4.3734383286197766E-4</v>
      </c>
      <c r="V115" s="14">
        <f t="shared" ca="1" si="58"/>
        <v>-1.1350234421290905E-3</v>
      </c>
      <c r="W115" s="14">
        <f t="shared" ca="1" si="58"/>
        <v>-2.8496235333634145E-3</v>
      </c>
      <c r="X115" s="14">
        <f t="shared" ca="1" si="58"/>
        <v>-6.9478112077712801E-3</v>
      </c>
      <c r="Y115" s="14">
        <f t="shared" ca="1" si="58"/>
        <v>-1.648028910793806E-2</v>
      </c>
      <c r="Z115" s="14">
        <f t="shared" ca="1" si="58"/>
        <v>-3.813420448806646E-2</v>
      </c>
      <c r="AA115" s="14">
        <f t="shared" ca="1" si="58"/>
        <v>-0.89875492590405626</v>
      </c>
      <c r="AB115" s="14">
        <f t="shared" ca="1" si="58"/>
        <v>0</v>
      </c>
      <c r="AC115" s="14">
        <f t="shared" ca="1" si="58"/>
        <v>0</v>
      </c>
      <c r="AD115" s="14">
        <f t="shared" ca="1" si="58"/>
        <v>0</v>
      </c>
      <c r="AE115" s="14">
        <f t="shared" ca="1" si="58"/>
        <v>0</v>
      </c>
      <c r="AF115" s="14">
        <f t="shared" ca="1" si="58"/>
        <v>0</v>
      </c>
      <c r="AG115" s="14">
        <f t="shared" ca="1" si="58"/>
        <v>0</v>
      </c>
      <c r="AH115" s="14">
        <f t="shared" ca="1" si="58"/>
        <v>0</v>
      </c>
      <c r="AI115" s="14">
        <f t="shared" ca="1" si="58"/>
        <v>0</v>
      </c>
      <c r="AJ115" s="14">
        <f t="shared" ca="1" si="58"/>
        <v>0</v>
      </c>
      <c r="AK115" s="14">
        <f t="shared" ca="1" si="58"/>
        <v>0</v>
      </c>
      <c r="AL115" s="14">
        <f t="shared" ca="1" si="58"/>
        <v>0</v>
      </c>
    </row>
    <row r="116" spans="1:38" ht="21" customHeight="1" outlineLevel="1" thickBot="1" x14ac:dyDescent="0.4">
      <c r="E116" s="17" t="s">
        <v>15</v>
      </c>
      <c r="F116" s="14">
        <f ca="1">F115+F91*F57</f>
        <v>-11.637500000000001</v>
      </c>
      <c r="G116" s="14">
        <f t="shared" ref="G116:AL116" ca="1" si="59">G115+G91*G57</f>
        <v>-11.65625</v>
      </c>
      <c r="H116" s="14">
        <f t="shared" ca="1" si="59"/>
        <v>-11.731249999999999</v>
      </c>
      <c r="I116" s="14">
        <f t="shared" ca="1" si="59"/>
        <v>-11.831250000000479</v>
      </c>
      <c r="J116" s="14">
        <f t="shared" ca="1" si="59"/>
        <v>-11.931250000756174</v>
      </c>
      <c r="K116" s="14">
        <f t="shared" ca="1" si="59"/>
        <v>-11.962500003523378</v>
      </c>
      <c r="L116" s="14">
        <f t="shared" ca="1" si="59"/>
        <v>-11.98750001489968</v>
      </c>
      <c r="M116" s="14">
        <f t="shared" ca="1" si="59"/>
        <v>-12.012500057618395</v>
      </c>
      <c r="N116" s="14">
        <f t="shared" ca="1" si="59"/>
        <v>-12.037500205564392</v>
      </c>
      <c r="O116" s="14">
        <f t="shared" ca="1" si="59"/>
        <v>-12.062500680801874</v>
      </c>
      <c r="P116" s="14">
        <f t="shared" ca="1" si="59"/>
        <v>-12.093752118633651</v>
      </c>
      <c r="Q116" s="14">
        <f t="shared" ca="1" si="59"/>
        <v>-12.118756613544187</v>
      </c>
      <c r="R116" s="14">
        <f t="shared" ca="1" si="59"/>
        <v>-12.143769851853238</v>
      </c>
      <c r="S116" s="14">
        <f t="shared" ca="1" si="59"/>
        <v>-12.16880806934841</v>
      </c>
      <c r="T116" s="14">
        <f t="shared" ca="1" si="59"/>
        <v>-12.193912503962281</v>
      </c>
      <c r="U116" s="14">
        <f t="shared" ca="1" si="59"/>
        <v>-12.219187343832862</v>
      </c>
      <c r="V116" s="14">
        <f t="shared" ca="1" si="59"/>
        <v>-12.24488502344213</v>
      </c>
      <c r="W116" s="14">
        <f t="shared" ca="1" si="59"/>
        <v>-12.265349623533364</v>
      </c>
      <c r="X116" s="14">
        <f t="shared" ca="1" si="59"/>
        <v>-12.294447811207771</v>
      </c>
      <c r="Y116" s="14">
        <f t="shared" ca="1" si="59"/>
        <v>-12.328980289107937</v>
      </c>
      <c r="Z116" s="14">
        <f t="shared" ca="1" si="59"/>
        <v>-12.375634204488065</v>
      </c>
      <c r="AA116" s="14">
        <f t="shared" ca="1" si="59"/>
        <v>-13.330004925904056</v>
      </c>
      <c r="AB116" s="14">
        <f t="shared" ca="1" si="59"/>
        <v>0</v>
      </c>
      <c r="AC116" s="14">
        <f t="shared" ca="1" si="59"/>
        <v>0</v>
      </c>
      <c r="AD116" s="14">
        <f t="shared" ca="1" si="59"/>
        <v>0</v>
      </c>
      <c r="AE116" s="14">
        <f t="shared" ca="1" si="59"/>
        <v>0</v>
      </c>
      <c r="AF116" s="14">
        <f t="shared" ca="1" si="59"/>
        <v>0</v>
      </c>
      <c r="AG116" s="14">
        <f t="shared" ca="1" si="59"/>
        <v>0</v>
      </c>
      <c r="AH116" s="14">
        <f t="shared" ca="1" si="59"/>
        <v>0</v>
      </c>
      <c r="AI116" s="14">
        <f t="shared" ca="1" si="59"/>
        <v>0</v>
      </c>
      <c r="AJ116" s="14">
        <f t="shared" ca="1" si="59"/>
        <v>0</v>
      </c>
      <c r="AK116" s="14">
        <f t="shared" ca="1" si="59"/>
        <v>0</v>
      </c>
      <c r="AL116" s="14">
        <f t="shared" ca="1" si="59"/>
        <v>0</v>
      </c>
    </row>
    <row r="117" spans="1:38" ht="21" customHeight="1" outlineLevel="1" thickBot="1" x14ac:dyDescent="0.4">
      <c r="E117" s="17" t="s">
        <v>16</v>
      </c>
      <c r="F117" s="14">
        <f ca="1">F115+F114</f>
        <v>-5.6787934735444514E-34</v>
      </c>
      <c r="G117" s="14">
        <f t="shared" ref="G117:AL117" ca="1" si="60">G115+G114</f>
        <v>1</v>
      </c>
      <c r="H117" s="14">
        <f t="shared" ca="1" si="60"/>
        <v>2</v>
      </c>
      <c r="I117" s="14">
        <f t="shared" ca="1" si="60"/>
        <v>2.9999999999995213</v>
      </c>
      <c r="J117" s="14">
        <f t="shared" ca="1" si="60"/>
        <v>3.9999999992438262</v>
      </c>
      <c r="K117" s="14">
        <f t="shared" ca="1" si="60"/>
        <v>4.9999999964766229</v>
      </c>
      <c r="L117" s="14">
        <f t="shared" ca="1" si="60"/>
        <v>5.9999999851003203</v>
      </c>
      <c r="M117" s="14">
        <f t="shared" ca="1" si="60"/>
        <v>6.9999999423816046</v>
      </c>
      <c r="N117" s="14">
        <f t="shared" ca="1" si="60"/>
        <v>7.9999997944356087</v>
      </c>
      <c r="O117" s="14">
        <f t="shared" ca="1" si="60"/>
        <v>8.9999993191981265</v>
      </c>
      <c r="P117" s="14">
        <f t="shared" ca="1" si="60"/>
        <v>9.9999978813663493</v>
      </c>
      <c r="Q117" s="14">
        <f t="shared" ca="1" si="60"/>
        <v>10.999993386455813</v>
      </c>
      <c r="R117" s="14">
        <f t="shared" ca="1" si="60"/>
        <v>11.999980148146763</v>
      </c>
      <c r="S117" s="14">
        <f t="shared" ca="1" si="60"/>
        <v>12.999941930651589</v>
      </c>
      <c r="T117" s="14">
        <f t="shared" ca="1" si="60"/>
        <v>13.999837496037721</v>
      </c>
      <c r="U117" s="14">
        <f t="shared" ca="1" si="60"/>
        <v>14.999562656167138</v>
      </c>
      <c r="V117" s="14">
        <f t="shared" ca="1" si="60"/>
        <v>15.99886497655787</v>
      </c>
      <c r="W117" s="14">
        <f t="shared" ca="1" si="60"/>
        <v>16.997150376466635</v>
      </c>
      <c r="X117" s="14">
        <f t="shared" ca="1" si="60"/>
        <v>17.99305218879223</v>
      </c>
      <c r="Y117" s="14">
        <f t="shared" ca="1" si="60"/>
        <v>18.983519710892061</v>
      </c>
      <c r="Z117" s="14">
        <f t="shared" ca="1" si="60"/>
        <v>19.961865795511933</v>
      </c>
      <c r="AA117" s="14">
        <f t="shared" ca="1" si="60"/>
        <v>20.101245074095942</v>
      </c>
      <c r="AB117" s="14">
        <f t="shared" ca="1" si="60"/>
        <v>22</v>
      </c>
      <c r="AC117" s="14">
        <f t="shared" ca="1" si="60"/>
        <v>23</v>
      </c>
      <c r="AD117" s="14">
        <f t="shared" ca="1" si="60"/>
        <v>24</v>
      </c>
      <c r="AE117" s="14">
        <f t="shared" ca="1" si="60"/>
        <v>25</v>
      </c>
      <c r="AF117" s="14">
        <f t="shared" ca="1" si="60"/>
        <v>26</v>
      </c>
      <c r="AG117" s="14">
        <f t="shared" ca="1" si="60"/>
        <v>27</v>
      </c>
      <c r="AH117" s="14">
        <f t="shared" ca="1" si="60"/>
        <v>28</v>
      </c>
      <c r="AI117" s="14">
        <f t="shared" ca="1" si="60"/>
        <v>29</v>
      </c>
      <c r="AJ117" s="14">
        <f t="shared" ca="1" si="60"/>
        <v>30</v>
      </c>
      <c r="AK117" s="14">
        <f t="shared" ca="1" si="60"/>
        <v>31</v>
      </c>
      <c r="AL117" s="14">
        <f t="shared" ca="1" si="60"/>
        <v>32</v>
      </c>
    </row>
    <row r="118" spans="1:38" ht="21" customHeight="1" outlineLevel="1" thickBot="1" x14ac:dyDescent="0.4">
      <c r="E118" s="17" t="s">
        <v>17</v>
      </c>
      <c r="F118" s="14">
        <f ca="1">F116+F114</f>
        <v>-11.637500000000001</v>
      </c>
      <c r="G118" s="14">
        <f t="shared" ref="G118:AL118" ca="1" si="61">G116+G114</f>
        <v>-10.65625</v>
      </c>
      <c r="H118" s="14">
        <f t="shared" ca="1" si="61"/>
        <v>-9.7312499999999993</v>
      </c>
      <c r="I118" s="14">
        <f t="shared" ca="1" si="61"/>
        <v>-8.8312500000004786</v>
      </c>
      <c r="J118" s="14">
        <f t="shared" ca="1" si="61"/>
        <v>-7.9312500007561741</v>
      </c>
      <c r="K118" s="14">
        <f t="shared" ca="1" si="61"/>
        <v>-6.9625000035233775</v>
      </c>
      <c r="L118" s="14">
        <f t="shared" ca="1" si="61"/>
        <v>-5.9875000148996804</v>
      </c>
      <c r="M118" s="14">
        <f t="shared" ca="1" si="61"/>
        <v>-5.0125000576183947</v>
      </c>
      <c r="N118" s="14">
        <f t="shared" ca="1" si="61"/>
        <v>-4.0375002055643918</v>
      </c>
      <c r="O118" s="14">
        <f t="shared" ca="1" si="61"/>
        <v>-3.0625006808018735</v>
      </c>
      <c r="P118" s="14">
        <f t="shared" ca="1" si="61"/>
        <v>-2.0937521186336507</v>
      </c>
      <c r="Q118" s="14">
        <f t="shared" ca="1" si="61"/>
        <v>-1.1187566135441873</v>
      </c>
      <c r="R118" s="14">
        <f t="shared" ca="1" si="61"/>
        <v>-0.14376985185323754</v>
      </c>
      <c r="S118" s="14">
        <f t="shared" ca="1" si="61"/>
        <v>0.83119193065159003</v>
      </c>
      <c r="T118" s="14">
        <f t="shared" ca="1" si="61"/>
        <v>1.8060874960377191</v>
      </c>
      <c r="U118" s="14">
        <f t="shared" ca="1" si="61"/>
        <v>2.7808126561671376</v>
      </c>
      <c r="V118" s="14">
        <f t="shared" ca="1" si="61"/>
        <v>3.75511497655787</v>
      </c>
      <c r="W118" s="14">
        <f t="shared" ca="1" si="61"/>
        <v>4.7346503764666359</v>
      </c>
      <c r="X118" s="14">
        <f t="shared" ca="1" si="61"/>
        <v>5.7055521887922289</v>
      </c>
      <c r="Y118" s="14">
        <f t="shared" ca="1" si="61"/>
        <v>6.6710197108920628</v>
      </c>
      <c r="Z118" s="14">
        <f t="shared" ca="1" si="61"/>
        <v>7.6243657955119346</v>
      </c>
      <c r="AA118" s="14">
        <f t="shared" ca="1" si="61"/>
        <v>7.6699950740959437</v>
      </c>
      <c r="AB118" s="14">
        <f t="shared" ca="1" si="61"/>
        <v>22</v>
      </c>
      <c r="AC118" s="14">
        <f t="shared" ca="1" si="61"/>
        <v>23</v>
      </c>
      <c r="AD118" s="14">
        <f t="shared" ca="1" si="61"/>
        <v>24</v>
      </c>
      <c r="AE118" s="14">
        <f t="shared" ca="1" si="61"/>
        <v>25</v>
      </c>
      <c r="AF118" s="14">
        <f t="shared" ca="1" si="61"/>
        <v>26</v>
      </c>
      <c r="AG118" s="14">
        <f t="shared" ca="1" si="61"/>
        <v>27</v>
      </c>
      <c r="AH118" s="14">
        <f t="shared" ca="1" si="61"/>
        <v>28</v>
      </c>
      <c r="AI118" s="14">
        <f t="shared" ca="1" si="61"/>
        <v>29</v>
      </c>
      <c r="AJ118" s="14">
        <f t="shared" ca="1" si="61"/>
        <v>30</v>
      </c>
      <c r="AK118" s="14">
        <f t="shared" ca="1" si="61"/>
        <v>31</v>
      </c>
      <c r="AL118" s="14">
        <f t="shared" ca="1" si="61"/>
        <v>32</v>
      </c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353.9</v>
      </c>
      <c r="H122" s="4">
        <f ca="1"/>
        <v>434.7</v>
      </c>
      <c r="I122" s="4">
        <f ca="1"/>
        <v>515.4</v>
      </c>
      <c r="J122" s="4">
        <f ca="1"/>
        <v>596.20000000000005</v>
      </c>
      <c r="K122" s="4">
        <f ca="1"/>
        <v>616.4</v>
      </c>
      <c r="L122" s="4">
        <f ca="1"/>
        <v>636.6</v>
      </c>
      <c r="M122" s="4">
        <f ca="1"/>
        <v>656.8</v>
      </c>
      <c r="N122" s="4">
        <f ca="1"/>
        <v>677</v>
      </c>
      <c r="O122" s="4">
        <f ca="1"/>
        <v>697.1</v>
      </c>
      <c r="P122" s="4">
        <f ca="1"/>
        <v>717.3</v>
      </c>
      <c r="Q122" s="4">
        <f ca="1"/>
        <v>737.5</v>
      </c>
      <c r="R122" s="4">
        <f ca="1"/>
        <v>757.7</v>
      </c>
      <c r="S122" s="4">
        <f ca="1"/>
        <v>777.9</v>
      </c>
      <c r="T122" s="20">
        <f ca="1"/>
        <v>798.1</v>
      </c>
      <c r="U122" s="65">
        <f ca="1"/>
        <v>818.3</v>
      </c>
      <c r="V122" s="66">
        <f ca="1"/>
        <v>838.5</v>
      </c>
      <c r="W122" s="68">
        <f ca="1"/>
        <v>858.7</v>
      </c>
      <c r="X122" s="62">
        <f ca="1"/>
        <v>878.9</v>
      </c>
      <c r="Y122" s="4">
        <f ca="1"/>
        <v>899</v>
      </c>
      <c r="Z122" s="4">
        <f ca="1"/>
        <v>919.2</v>
      </c>
      <c r="AA122" s="4">
        <f ca="1"/>
        <v>1000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Раствор (жид): </v>
      </c>
      <c r="F123" s="55">
        <f ca="1"/>
        <v>0</v>
      </c>
      <c r="G123" s="55">
        <f ca="1"/>
        <v>1</v>
      </c>
      <c r="H123" s="55">
        <f ca="1"/>
        <v>2</v>
      </c>
      <c r="I123" s="55">
        <f ca="1"/>
        <v>3</v>
      </c>
      <c r="J123" s="55">
        <f ca="1"/>
        <v>4</v>
      </c>
      <c r="K123" s="55">
        <f ca="1"/>
        <v>5</v>
      </c>
      <c r="L123" s="55">
        <f ca="1"/>
        <v>6</v>
      </c>
      <c r="M123" s="55">
        <f ca="1"/>
        <v>7</v>
      </c>
      <c r="N123" s="55">
        <f ca="1"/>
        <v>8</v>
      </c>
      <c r="O123" s="55">
        <f ca="1"/>
        <v>9</v>
      </c>
      <c r="P123" s="55">
        <f ca="1"/>
        <v>10</v>
      </c>
      <c r="Q123" s="55">
        <f ca="1"/>
        <v>11</v>
      </c>
      <c r="R123" s="55">
        <f ca="1"/>
        <v>12</v>
      </c>
      <c r="S123" s="55">
        <f ca="1"/>
        <v>13</v>
      </c>
      <c r="T123" s="55">
        <f ca="1"/>
        <v>14</v>
      </c>
      <c r="U123" s="55">
        <f ca="1"/>
        <v>15</v>
      </c>
      <c r="V123" s="55">
        <f ca="1"/>
        <v>16</v>
      </c>
      <c r="W123" s="55">
        <f ca="1"/>
        <v>17</v>
      </c>
      <c r="X123" s="55">
        <f ca="1"/>
        <v>18</v>
      </c>
      <c r="Y123" s="55">
        <f ca="1"/>
        <v>19</v>
      </c>
      <c r="Z123" s="55">
        <f ca="1"/>
        <v>20</v>
      </c>
      <c r="AA123" s="55">
        <f ca="1"/>
        <v>21</v>
      </c>
      <c r="AB123" s="55" t="e">
        <f ca="1"/>
        <v>#N/A</v>
      </c>
      <c r="AC123" s="55" t="e">
        <f ca="1"/>
        <v>#N/A</v>
      </c>
      <c r="AD123" s="55" t="e">
        <f ca="1"/>
        <v>#N/A</v>
      </c>
      <c r="AE123" s="55" t="e">
        <f ca="1"/>
        <v>#N/A</v>
      </c>
      <c r="AF123" s="55" t="e">
        <f ca="1"/>
        <v>#N/A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-5.6787934735444514E-34</v>
      </c>
      <c r="G124" s="55">
        <f ca="1"/>
        <v>-8.0719938410411484E-24</v>
      </c>
      <c r="H124" s="55">
        <f ca="1"/>
        <v>-1.9633000223739784E-17</v>
      </c>
      <c r="I124" s="55">
        <f ca="1"/>
        <v>-4.786348099617865E-13</v>
      </c>
      <c r="J124" s="55">
        <f ca="1"/>
        <v>-7.5617360633340844E-10</v>
      </c>
      <c r="K124" s="55">
        <f ca="1"/>
        <v>-3.5233773717862824E-9</v>
      </c>
      <c r="L124" s="55">
        <f ca="1"/>
        <v>-1.4899679287307649E-8</v>
      </c>
      <c r="M124" s="55">
        <f ca="1"/>
        <v>-5.7618395684811074E-8</v>
      </c>
      <c r="N124" s="55">
        <f ca="1"/>
        <v>-2.0556439115261291E-7</v>
      </c>
      <c r="O124" s="55">
        <f ca="1"/>
        <v>-6.8080187385380331E-7</v>
      </c>
      <c r="P124" s="55">
        <f ca="1"/>
        <v>-2.1186336505247058E-6</v>
      </c>
      <c r="Q124" s="55">
        <f ca="1"/>
        <v>-6.6135441862516572E-6</v>
      </c>
      <c r="R124" s="55">
        <f ca="1"/>
        <v>-1.9851853236968716E-5</v>
      </c>
      <c r="S124" s="55">
        <f ca="1"/>
        <v>-5.8069348411056457E-5</v>
      </c>
      <c r="T124" s="55">
        <f ca="1"/>
        <v>-1.6250396227926025E-4</v>
      </c>
      <c r="U124" s="55">
        <f ca="1"/>
        <v>-4.3734383286197766E-4</v>
      </c>
      <c r="V124" s="55">
        <f ca="1"/>
        <v>-1.1350234421290905E-3</v>
      </c>
      <c r="W124" s="55">
        <f ca="1"/>
        <v>-2.8496235333634145E-3</v>
      </c>
      <c r="X124" s="55">
        <f ca="1"/>
        <v>-6.9478112077712801E-3</v>
      </c>
      <c r="Y124" s="55">
        <f ca="1"/>
        <v>-1.648028910793806E-2</v>
      </c>
      <c r="Z124" s="55">
        <f ca="1"/>
        <v>-3.813420448806646E-2</v>
      </c>
      <c r="AA124" s="55">
        <f ca="1"/>
        <v>-0.89875492590405626</v>
      </c>
      <c r="AB124" s="55" t="e">
        <f ca="1"/>
        <v>#N/A</v>
      </c>
      <c r="AC124" s="55" t="e">
        <f ca="1"/>
        <v>#N/A</v>
      </c>
      <c r="AD124" s="55" t="e">
        <f ca="1"/>
        <v>#N/A</v>
      </c>
      <c r="AE124" s="55" t="e">
        <f ca="1"/>
        <v>#N/A</v>
      </c>
      <c r="AF124" s="55" t="e">
        <f ca="1"/>
        <v>#N/A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Газовая: </v>
      </c>
      <c r="F125" s="55">
        <f ca="1"/>
        <v>-11.637500000000001</v>
      </c>
      <c r="G125" s="55">
        <f ca="1"/>
        <v>-11.65625</v>
      </c>
      <c r="H125" s="55">
        <f ca="1"/>
        <v>-11.731249999999999</v>
      </c>
      <c r="I125" s="55">
        <f ca="1"/>
        <v>-11.831250000000479</v>
      </c>
      <c r="J125" s="55">
        <f ca="1"/>
        <v>-11.931250000756174</v>
      </c>
      <c r="K125" s="55">
        <f ca="1"/>
        <v>-11.962500003523378</v>
      </c>
      <c r="L125" s="55">
        <f ca="1"/>
        <v>-11.98750001489968</v>
      </c>
      <c r="M125" s="55">
        <f ca="1"/>
        <v>-12.012500057618395</v>
      </c>
      <c r="N125" s="55">
        <f ca="1"/>
        <v>-12.037500205564392</v>
      </c>
      <c r="O125" s="55">
        <f ca="1"/>
        <v>-12.062500680801874</v>
      </c>
      <c r="P125" s="55">
        <f ca="1"/>
        <v>-12.093752118633651</v>
      </c>
      <c r="Q125" s="55">
        <f ca="1"/>
        <v>-12.118756613544187</v>
      </c>
      <c r="R125" s="55">
        <f ca="1"/>
        <v>-12.143769851853238</v>
      </c>
      <c r="S125" s="55">
        <f ca="1"/>
        <v>-12.16880806934841</v>
      </c>
      <c r="T125" s="55">
        <f ca="1"/>
        <v>-12.193912503962281</v>
      </c>
      <c r="U125" s="55">
        <f ca="1"/>
        <v>-12.219187343832862</v>
      </c>
      <c r="V125" s="55">
        <f ca="1"/>
        <v>-12.24488502344213</v>
      </c>
      <c r="W125" s="55">
        <f ca="1"/>
        <v>-12.265349623533364</v>
      </c>
      <c r="X125" s="55">
        <f ca="1"/>
        <v>-12.294447811207771</v>
      </c>
      <c r="Y125" s="55">
        <f ca="1"/>
        <v>-12.328980289107937</v>
      </c>
      <c r="Z125" s="55">
        <f ca="1"/>
        <v>-12.375634204488065</v>
      </c>
      <c r="AA125" s="55">
        <f ca="1"/>
        <v>-13.330004925904056</v>
      </c>
      <c r="AB125" s="55" t="e">
        <f ca="1"/>
        <v>#N/A</v>
      </c>
      <c r="AC125" s="55" t="e">
        <f ca="1"/>
        <v>#N/A</v>
      </c>
      <c r="AD125" s="55" t="e">
        <f ca="1"/>
        <v>#N/A</v>
      </c>
      <c r="AE125" s="55" t="e">
        <f ca="1"/>
        <v>#N/A</v>
      </c>
      <c r="AF125" s="55" t="e">
        <f ca="1"/>
        <v>#N/A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 xml:space="preserve">Раствор + газовая без Ar: </v>
      </c>
      <c r="F126" s="55">
        <f ca="1"/>
        <v>-5.6787934735444514E-34</v>
      </c>
      <c r="G126" s="55">
        <f ca="1"/>
        <v>1</v>
      </c>
      <c r="H126" s="55">
        <f ca="1"/>
        <v>2</v>
      </c>
      <c r="I126" s="55">
        <f ca="1"/>
        <v>2.9999999999995213</v>
      </c>
      <c r="J126" s="55">
        <f ca="1"/>
        <v>3.9999999992438262</v>
      </c>
      <c r="K126" s="55">
        <f ca="1"/>
        <v>4.9999999964766229</v>
      </c>
      <c r="L126" s="55">
        <f ca="1"/>
        <v>5.9999999851003203</v>
      </c>
      <c r="M126" s="55">
        <f ca="1"/>
        <v>6.9999999423816046</v>
      </c>
      <c r="N126" s="55">
        <f ca="1"/>
        <v>7.9999997944356087</v>
      </c>
      <c r="O126" s="55">
        <f ca="1"/>
        <v>8.9999993191981265</v>
      </c>
      <c r="P126" s="55">
        <f ca="1"/>
        <v>9.9999978813663493</v>
      </c>
      <c r="Q126" s="55">
        <f ca="1"/>
        <v>10.999993386455813</v>
      </c>
      <c r="R126" s="55">
        <f ca="1"/>
        <v>11.999980148146763</v>
      </c>
      <c r="S126" s="55">
        <f ca="1"/>
        <v>12.999941930651589</v>
      </c>
      <c r="T126" s="55">
        <f ca="1"/>
        <v>13.999837496037721</v>
      </c>
      <c r="U126" s="55">
        <f ca="1"/>
        <v>14.999562656167138</v>
      </c>
      <c r="V126" s="55">
        <f ca="1"/>
        <v>15.99886497655787</v>
      </c>
      <c r="W126" s="55">
        <f ca="1"/>
        <v>16.997150376466635</v>
      </c>
      <c r="X126" s="55">
        <f ca="1"/>
        <v>17.99305218879223</v>
      </c>
      <c r="Y126" s="55">
        <f ca="1"/>
        <v>18.983519710892061</v>
      </c>
      <c r="Z126" s="55">
        <f ca="1"/>
        <v>19.961865795511933</v>
      </c>
      <c r="AA126" s="55">
        <f ca="1"/>
        <v>20.101245074095942</v>
      </c>
      <c r="AB126" s="55" t="e">
        <f ca="1"/>
        <v>#N/A</v>
      </c>
      <c r="AC126" s="55" t="e">
        <f ca="1"/>
        <v>#N/A</v>
      </c>
      <c r="AD126" s="55" t="e">
        <f ca="1"/>
        <v>#N/A</v>
      </c>
      <c r="AE126" s="55" t="e">
        <f ca="1"/>
        <v>#N/A</v>
      </c>
      <c r="AF126" s="55" t="e">
        <f ca="1"/>
        <v>#N/A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str">
        <f ca="1"/>
        <v xml:space="preserve">Раствор + газовая: </v>
      </c>
      <c r="F127" s="55">
        <f ca="1"/>
        <v>-11.637500000000001</v>
      </c>
      <c r="G127" s="55">
        <f ca="1"/>
        <v>-10.65625</v>
      </c>
      <c r="H127" s="55">
        <f ca="1"/>
        <v>-9.7312499999999993</v>
      </c>
      <c r="I127" s="55">
        <f ca="1"/>
        <v>-8.8312500000004786</v>
      </c>
      <c r="J127" s="55">
        <f ca="1"/>
        <v>-7.9312500007561741</v>
      </c>
      <c r="K127" s="55">
        <f ca="1"/>
        <v>-6.9625000035233775</v>
      </c>
      <c r="L127" s="55">
        <f ca="1"/>
        <v>-5.9875000148996804</v>
      </c>
      <c r="M127" s="55">
        <f ca="1"/>
        <v>-5.0125000576183947</v>
      </c>
      <c r="N127" s="55">
        <f ca="1"/>
        <v>-4.0375002055643918</v>
      </c>
      <c r="O127" s="55">
        <f ca="1"/>
        <v>-3.0625006808018735</v>
      </c>
      <c r="P127" s="55">
        <f ca="1"/>
        <v>-2.0937521186336507</v>
      </c>
      <c r="Q127" s="55">
        <f ca="1"/>
        <v>-1.1187566135441873</v>
      </c>
      <c r="R127" s="55">
        <f ca="1"/>
        <v>-0.14376985185323754</v>
      </c>
      <c r="S127" s="55">
        <f ca="1"/>
        <v>0.83119193065159003</v>
      </c>
      <c r="T127" s="55">
        <f ca="1"/>
        <v>1.8060874960377191</v>
      </c>
      <c r="U127" s="55">
        <f ca="1"/>
        <v>2.7808126561671376</v>
      </c>
      <c r="V127" s="55">
        <f ca="1"/>
        <v>3.75511497655787</v>
      </c>
      <c r="W127" s="55">
        <f ca="1"/>
        <v>4.7346503764666359</v>
      </c>
      <c r="X127" s="55">
        <f ca="1"/>
        <v>5.7055521887922289</v>
      </c>
      <c r="Y127" s="55">
        <f ca="1"/>
        <v>6.6710197108920628</v>
      </c>
      <c r="Z127" s="55">
        <f ca="1"/>
        <v>7.6243657955119346</v>
      </c>
      <c r="AA127" s="55">
        <f ca="1"/>
        <v>7.6699950740959437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9" priority="49" operator="equal">
      <formula>0</formula>
    </cfRule>
  </conditionalFormatting>
  <conditionalFormatting sqref="A80:D109">
    <cfRule type="cellIs" dxfId="8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BB136"/>
  <sheetViews>
    <sheetView tabSelected="1" topLeftCell="A109" zoomScale="85" zoomScaleNormal="85" zoomScaleSheetLayoutView="25" workbookViewId="0">
      <selection activeCell="AZ128" sqref="AZ128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7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144" t="s">
        <v>26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</row>
    <row r="2" spans="1:54" ht="21" customHeight="1" thickBot="1" x14ac:dyDescent="0.45">
      <c r="A2" s="85">
        <f>Values!B1</f>
        <v>700</v>
      </c>
      <c r="B2" s="86">
        <v>8.3145000000000007</v>
      </c>
      <c r="C2" s="75"/>
      <c r="D2" s="75"/>
      <c r="E2" s="74" t="s">
        <v>20</v>
      </c>
      <c r="F2" s="75"/>
      <c r="G2" s="74"/>
      <c r="H2" s="74"/>
      <c r="I2" s="74"/>
      <c r="J2" s="74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8"/>
      <c r="W2" s="79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80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4"/>
      <c r="BB2" s="87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 t="s">
        <v>68</v>
      </c>
      <c r="F3" s="3">
        <v>273.10000000000002</v>
      </c>
      <c r="G3" s="3">
        <v>293.3</v>
      </c>
      <c r="H3" s="3">
        <v>313.5</v>
      </c>
      <c r="I3" s="3">
        <v>333.7</v>
      </c>
      <c r="J3" s="3">
        <v>353.9</v>
      </c>
      <c r="K3" s="3">
        <v>434.7</v>
      </c>
      <c r="L3" s="3">
        <v>454.9</v>
      </c>
      <c r="M3" s="3">
        <v>475.1</v>
      </c>
      <c r="N3" s="3">
        <v>495.2</v>
      </c>
      <c r="O3" s="3">
        <v>515.4</v>
      </c>
      <c r="P3" s="3">
        <v>535.6</v>
      </c>
      <c r="Q3" s="3">
        <v>555.79999999999995</v>
      </c>
      <c r="R3" s="3">
        <v>576</v>
      </c>
      <c r="S3" s="3">
        <v>596.20000000000005</v>
      </c>
      <c r="T3" s="3">
        <v>677</v>
      </c>
      <c r="U3" s="3">
        <v>757.7</v>
      </c>
      <c r="V3" s="3">
        <v>838.5</v>
      </c>
      <c r="W3" s="3">
        <v>919.2</v>
      </c>
      <c r="X3" s="3">
        <v>1000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4</v>
      </c>
      <c r="C4" s="44">
        <f t="shared" si="0"/>
        <v>3</v>
      </c>
      <c r="D4" s="44">
        <f t="shared" si="0"/>
        <v>0</v>
      </c>
      <c r="E4" s="6" t="s">
        <v>80</v>
      </c>
      <c r="F4" s="49">
        <v>1.7328E-12</v>
      </c>
      <c r="G4" s="49">
        <v>5.8658000000000003E-12</v>
      </c>
      <c r="H4" s="49">
        <v>2.2289999999999999E-12</v>
      </c>
      <c r="I4" s="49">
        <v>1.5316999999999999E-25</v>
      </c>
      <c r="J4" s="49">
        <v>1.0019E-27</v>
      </c>
      <c r="K4" s="49">
        <v>3.1653999999999998E-21</v>
      </c>
      <c r="L4" s="49">
        <v>1.3899000000000001E-23</v>
      </c>
      <c r="M4" s="49">
        <v>6.9124999999999997E-29</v>
      </c>
      <c r="N4" s="49">
        <v>0</v>
      </c>
      <c r="O4" s="49">
        <v>0</v>
      </c>
      <c r="P4" s="49">
        <v>0</v>
      </c>
      <c r="Q4" s="49">
        <v>0</v>
      </c>
      <c r="R4" s="49">
        <v>0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9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5</v>
      </c>
      <c r="C5" s="44">
        <f t="shared" si="0"/>
        <v>4</v>
      </c>
      <c r="D5" s="44">
        <f t="shared" si="0"/>
        <v>0</v>
      </c>
      <c r="E5" s="6" t="s">
        <v>81</v>
      </c>
      <c r="F5" s="49">
        <v>1.6805999999999999E-12</v>
      </c>
      <c r="G5" s="49">
        <v>5.5805999999999999E-12</v>
      </c>
      <c r="H5" s="49">
        <v>2.2454000000000001E-12</v>
      </c>
      <c r="I5" s="49">
        <v>5.3380999999999999E-25</v>
      </c>
      <c r="J5" s="49">
        <v>7.0713999999999996E-27</v>
      </c>
      <c r="K5" s="49">
        <v>4.0008999999999998E-20</v>
      </c>
      <c r="L5" s="49">
        <v>2.4845000000000002E-22</v>
      </c>
      <c r="M5" s="49">
        <v>1.8056000000000001E-27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0</v>
      </c>
      <c r="C6" s="44">
        <f t="shared" si="0"/>
        <v>1</v>
      </c>
      <c r="D6" s="44">
        <f t="shared" si="0"/>
        <v>0</v>
      </c>
      <c r="E6" s="6" t="s">
        <v>40</v>
      </c>
      <c r="F6" s="49">
        <v>0</v>
      </c>
      <c r="G6" s="49">
        <v>0</v>
      </c>
      <c r="H6" s="49">
        <v>0</v>
      </c>
      <c r="I6" s="49">
        <v>0</v>
      </c>
      <c r="J6" s="49">
        <v>0</v>
      </c>
      <c r="K6" s="49">
        <v>5.0070999999999999E-19</v>
      </c>
      <c r="L6" s="49">
        <v>1.7460999999999999E-14</v>
      </c>
      <c r="M6" s="49">
        <v>4.7011999999999999E-11</v>
      </c>
      <c r="N6" s="49">
        <v>2.0171E-9</v>
      </c>
      <c r="O6" s="49">
        <v>2.7532000000000001E-2</v>
      </c>
      <c r="P6" s="49">
        <v>0.16</v>
      </c>
      <c r="Q6" s="49">
        <v>0.16</v>
      </c>
      <c r="R6" s="49">
        <v>0.16</v>
      </c>
      <c r="S6" s="49">
        <v>0.16</v>
      </c>
      <c r="T6" s="49">
        <v>0.16</v>
      </c>
      <c r="U6" s="49">
        <v>0.16</v>
      </c>
      <c r="V6" s="49">
        <v>0.16</v>
      </c>
      <c r="W6" s="49">
        <v>0.16</v>
      </c>
      <c r="X6" s="49">
        <v>0.16</v>
      </c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1</v>
      </c>
      <c r="C7" s="44">
        <f t="shared" si="0"/>
        <v>0</v>
      </c>
      <c r="D7" s="44">
        <f t="shared" si="0"/>
        <v>0</v>
      </c>
      <c r="E7" s="6" t="s">
        <v>37</v>
      </c>
      <c r="F7" s="49">
        <v>2.6805000000000002E-25</v>
      </c>
      <c r="G7" s="49">
        <v>2.0495000000000001E-17</v>
      </c>
      <c r="H7" s="49">
        <v>3.6011000000000002E-11</v>
      </c>
      <c r="I7" s="49">
        <v>2.8117E-8</v>
      </c>
      <c r="J7" s="49">
        <v>0.16</v>
      </c>
      <c r="K7" s="49">
        <v>0.16</v>
      </c>
      <c r="L7" s="49">
        <v>0.16</v>
      </c>
      <c r="M7" s="49">
        <v>0.16</v>
      </c>
      <c r="N7" s="49">
        <v>0.16</v>
      </c>
      <c r="O7" s="49">
        <v>0.21506</v>
      </c>
      <c r="P7" s="49">
        <v>0.48</v>
      </c>
      <c r="Q7" s="49">
        <v>0.48</v>
      </c>
      <c r="R7" s="49">
        <v>0.48</v>
      </c>
      <c r="S7" s="49">
        <v>0.48</v>
      </c>
      <c r="T7" s="49">
        <v>0.48</v>
      </c>
      <c r="U7" s="49">
        <v>0.48</v>
      </c>
      <c r="V7" s="49">
        <v>0.48</v>
      </c>
      <c r="W7" s="49">
        <v>0.48</v>
      </c>
      <c r="X7" s="49">
        <v>0.48</v>
      </c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2</v>
      </c>
      <c r="C8" s="44">
        <f t="shared" si="0"/>
        <v>1</v>
      </c>
      <c r="D8" s="44">
        <f t="shared" si="0"/>
        <v>0</v>
      </c>
      <c r="E8" s="6" t="s">
        <v>46</v>
      </c>
      <c r="F8" s="49">
        <v>0.16</v>
      </c>
      <c r="G8" s="49">
        <v>0.16</v>
      </c>
      <c r="H8" s="49">
        <v>0.16</v>
      </c>
      <c r="I8" s="49">
        <v>0.16</v>
      </c>
      <c r="J8" s="49">
        <v>5.4249000000000002E-9</v>
      </c>
      <c r="K8" s="49">
        <v>3.1469999999999999E-18</v>
      </c>
      <c r="L8" s="49">
        <v>3.4140999999999998E-21</v>
      </c>
      <c r="M8" s="49">
        <v>1.3232999999999999E-26</v>
      </c>
      <c r="N8" s="49">
        <v>0</v>
      </c>
      <c r="O8" s="49">
        <v>0</v>
      </c>
      <c r="P8" s="49">
        <v>0</v>
      </c>
      <c r="Q8" s="49">
        <v>0</v>
      </c>
      <c r="R8" s="49">
        <v>0</v>
      </c>
      <c r="S8" s="49">
        <v>0</v>
      </c>
      <c r="T8" s="49">
        <v>0</v>
      </c>
      <c r="U8" s="49">
        <v>0</v>
      </c>
      <c r="V8" s="49">
        <v>0</v>
      </c>
      <c r="W8" s="49">
        <v>0</v>
      </c>
      <c r="X8" s="49">
        <v>0</v>
      </c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0</v>
      </c>
      <c r="C9" s="44">
        <f t="shared" si="0"/>
        <v>1</v>
      </c>
      <c r="D9" s="44">
        <f t="shared" si="0"/>
        <v>0</v>
      </c>
      <c r="E9" s="6" t="s">
        <v>38</v>
      </c>
      <c r="F9" s="49">
        <v>0</v>
      </c>
      <c r="G9" s="49">
        <v>0</v>
      </c>
      <c r="H9" s="49">
        <v>0</v>
      </c>
      <c r="I9" s="49">
        <v>0</v>
      </c>
      <c r="J9" s="49">
        <v>0</v>
      </c>
      <c r="K9" s="49">
        <v>5.0070999999999999E-19</v>
      </c>
      <c r="L9" s="49">
        <v>1.7460999999999999E-14</v>
      </c>
      <c r="M9" s="49">
        <v>4.7011999999999999E-11</v>
      </c>
      <c r="N9" s="49">
        <v>2.0171E-9</v>
      </c>
      <c r="O9" s="49">
        <v>2.7532000000000001E-2</v>
      </c>
      <c r="P9" s="49">
        <v>0.16</v>
      </c>
      <c r="Q9" s="49">
        <v>0.16</v>
      </c>
      <c r="R9" s="49">
        <v>0.16</v>
      </c>
      <c r="S9" s="49">
        <v>0.16</v>
      </c>
      <c r="T9" s="49">
        <v>0.16</v>
      </c>
      <c r="U9" s="49">
        <v>0.16</v>
      </c>
      <c r="V9" s="49">
        <v>0.16</v>
      </c>
      <c r="W9" s="49">
        <v>0.16</v>
      </c>
      <c r="X9" s="49">
        <v>0.16</v>
      </c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0</v>
      </c>
      <c r="C10" s="44">
        <f t="shared" si="0"/>
        <v>1</v>
      </c>
      <c r="D10" s="44">
        <f t="shared" si="0"/>
        <v>0</v>
      </c>
      <c r="E10" s="6" t="s">
        <v>56</v>
      </c>
      <c r="F10" s="49">
        <v>0</v>
      </c>
      <c r="G10" s="49">
        <v>0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M10" s="49">
        <v>0</v>
      </c>
      <c r="N10" s="49">
        <v>0</v>
      </c>
      <c r="O10" s="49">
        <v>0</v>
      </c>
      <c r="P10" s="49">
        <v>0</v>
      </c>
      <c r="Q10" s="49">
        <v>1.0499E-30</v>
      </c>
      <c r="R10" s="49">
        <v>2.0256000000000001E-23</v>
      </c>
      <c r="S10" s="49">
        <v>1.1368E-18</v>
      </c>
      <c r="T10" s="49">
        <v>3.5636000000000001E-13</v>
      </c>
      <c r="U10" s="49">
        <v>5.0767E-12</v>
      </c>
      <c r="V10" s="49">
        <v>4.8987999999999999E-11</v>
      </c>
      <c r="W10" s="49">
        <v>3.9090000000000001E-10</v>
      </c>
      <c r="X10" s="49">
        <v>2.8992000000000001E-9</v>
      </c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1</v>
      </c>
      <c r="C11" s="44">
        <f t="shared" si="0"/>
        <v>1</v>
      </c>
      <c r="D11" s="44">
        <f t="shared" si="0"/>
        <v>0</v>
      </c>
      <c r="E11" s="6" t="s">
        <v>39</v>
      </c>
      <c r="F11" s="49">
        <v>0.16</v>
      </c>
      <c r="G11" s="49">
        <v>0.16</v>
      </c>
      <c r="H11" s="49">
        <v>0.16</v>
      </c>
      <c r="I11" s="49">
        <v>0.16</v>
      </c>
      <c r="J11" s="49">
        <v>0.32</v>
      </c>
      <c r="K11" s="49">
        <v>0.32</v>
      </c>
      <c r="L11" s="49">
        <v>0.32</v>
      </c>
      <c r="M11" s="49">
        <v>0.32</v>
      </c>
      <c r="N11" s="49">
        <v>0.32</v>
      </c>
      <c r="O11" s="49">
        <v>0.26494000000000001</v>
      </c>
      <c r="P11" s="49">
        <v>4.6556000000000003E-9</v>
      </c>
      <c r="Q11" s="49">
        <v>1.9812999999999999E-10</v>
      </c>
      <c r="R11" s="49">
        <v>1.5669999999999999E-11</v>
      </c>
      <c r="S11" s="49">
        <v>4.7772999999999998E-12</v>
      </c>
      <c r="T11" s="49">
        <v>1.8851000000000001E-21</v>
      </c>
      <c r="U11" s="49">
        <v>1.3119999999999999E-36</v>
      </c>
      <c r="V11" s="49">
        <v>0</v>
      </c>
      <c r="W11" s="49">
        <v>0</v>
      </c>
      <c r="X11" s="49">
        <v>0</v>
      </c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0</v>
      </c>
      <c r="C12" s="44">
        <f t="shared" si="0"/>
        <v>2</v>
      </c>
      <c r="D12" s="44">
        <f t="shared" si="0"/>
        <v>0</v>
      </c>
      <c r="E12" s="6" t="s">
        <v>57</v>
      </c>
      <c r="F12" s="49">
        <v>0</v>
      </c>
      <c r="G12" s="49">
        <v>0</v>
      </c>
      <c r="H12" s="49">
        <v>0</v>
      </c>
      <c r="I12" s="49">
        <v>0</v>
      </c>
      <c r="J12" s="49">
        <v>0</v>
      </c>
      <c r="K12" s="49">
        <v>0</v>
      </c>
      <c r="L12" s="49">
        <v>0</v>
      </c>
      <c r="M12" s="49">
        <v>0</v>
      </c>
      <c r="N12" s="49">
        <v>0</v>
      </c>
      <c r="O12" s="49">
        <v>0</v>
      </c>
      <c r="P12" s="49">
        <v>0</v>
      </c>
      <c r="Q12" s="49">
        <v>0</v>
      </c>
      <c r="R12" s="49">
        <v>2.8410999999999999E-35</v>
      </c>
      <c r="S12" s="49">
        <v>8.6182999999999996E-34</v>
      </c>
      <c r="T12" s="49">
        <v>9.4454000000000001E-29</v>
      </c>
      <c r="U12" s="49">
        <v>8.6050999999999998E-25</v>
      </c>
      <c r="V12" s="49">
        <v>1.3367E-21</v>
      </c>
      <c r="W12" s="49">
        <v>5.6430999999999998E-19</v>
      </c>
      <c r="X12" s="49">
        <v>8.8784999999999997E-17</v>
      </c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0</v>
      </c>
      <c r="C13" s="44">
        <f t="shared" si="0"/>
        <v>1</v>
      </c>
      <c r="D13" s="44">
        <f t="shared" si="0"/>
        <v>0</v>
      </c>
      <c r="E13" s="6" t="s">
        <v>3</v>
      </c>
      <c r="F13" s="49">
        <v>0</v>
      </c>
      <c r="G13" s="49">
        <v>0</v>
      </c>
      <c r="H13" s="49">
        <v>0</v>
      </c>
      <c r="I13" s="49">
        <v>0</v>
      </c>
      <c r="J13" s="49">
        <v>0</v>
      </c>
      <c r="K13" s="49">
        <v>0</v>
      </c>
      <c r="L13" s="49">
        <v>0</v>
      </c>
      <c r="M13" s="49">
        <v>6.1216000000000001E-36</v>
      </c>
      <c r="N13" s="49">
        <v>7.5483999999999999E-34</v>
      </c>
      <c r="O13" s="49">
        <v>6.4778000000000002E-32</v>
      </c>
      <c r="P13" s="49">
        <v>1.7163E-30</v>
      </c>
      <c r="Q13" s="49">
        <v>3.6084E-29</v>
      </c>
      <c r="R13" s="49">
        <v>6.1321999999999997E-28</v>
      </c>
      <c r="S13" s="49">
        <v>8.6068999999999998E-27</v>
      </c>
      <c r="T13" s="49">
        <v>6.9381000000000001E-23</v>
      </c>
      <c r="U13" s="49">
        <v>8.2535E-20</v>
      </c>
      <c r="V13" s="49">
        <v>2.514E-17</v>
      </c>
      <c r="W13" s="49">
        <v>2.8042000000000001E-15</v>
      </c>
      <c r="X13" s="49">
        <v>1.4598E-13</v>
      </c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1</v>
      </c>
      <c r="C14" s="44">
        <f t="shared" si="0"/>
        <v>1</v>
      </c>
      <c r="D14" s="44">
        <f t="shared" si="0"/>
        <v>0</v>
      </c>
      <c r="E14" s="6" t="s">
        <v>82</v>
      </c>
      <c r="F14" s="49">
        <v>0</v>
      </c>
      <c r="G14" s="49">
        <v>1.4789E-36</v>
      </c>
      <c r="H14" s="49">
        <v>1.4752999999999999E-34</v>
      </c>
      <c r="I14" s="49">
        <v>8.3737000000000002E-33</v>
      </c>
      <c r="J14" s="49">
        <v>2.9790999999999999E-31</v>
      </c>
      <c r="K14" s="49">
        <v>1.6497E-26</v>
      </c>
      <c r="L14" s="49">
        <v>1.3662999999999999E-25</v>
      </c>
      <c r="M14" s="49">
        <v>9.4198999999999997E-25</v>
      </c>
      <c r="N14" s="49">
        <v>5.5292999999999999E-24</v>
      </c>
      <c r="O14" s="49">
        <v>2.8124000000000002E-23</v>
      </c>
      <c r="P14" s="49">
        <v>5.3419000000000001E-23</v>
      </c>
      <c r="Q14" s="49">
        <v>9.5889999999999996E-23</v>
      </c>
      <c r="R14" s="49">
        <v>1.6252E-22</v>
      </c>
      <c r="S14" s="49">
        <v>2.6167E-22</v>
      </c>
      <c r="T14" s="49">
        <v>1.1613E-21</v>
      </c>
      <c r="U14" s="49">
        <v>3.1419999999999999E-21</v>
      </c>
      <c r="V14" s="49">
        <v>6.0357999999999998E-21</v>
      </c>
      <c r="W14" s="49">
        <v>9.0656000000000005E-21</v>
      </c>
      <c r="X14" s="49">
        <v>1.1346E-20</v>
      </c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2</v>
      </c>
      <c r="C15" s="44">
        <f t="shared" si="0"/>
        <v>0</v>
      </c>
      <c r="D15" s="44">
        <f t="shared" si="0"/>
        <v>0</v>
      </c>
      <c r="E15" s="6" t="s">
        <v>52</v>
      </c>
      <c r="F15" s="49">
        <v>1.7012999999999999E-36</v>
      </c>
      <c r="G15" s="49">
        <v>1.9338999999999999E-33</v>
      </c>
      <c r="H15" s="49">
        <v>8.8807999999999993E-31</v>
      </c>
      <c r="I15" s="49">
        <v>1.9417E-28</v>
      </c>
      <c r="J15" s="49">
        <v>6.3660000000000002E-27</v>
      </c>
      <c r="K15" s="49">
        <v>6.6177999999999998E-24</v>
      </c>
      <c r="L15" s="49">
        <v>2.272E-23</v>
      </c>
      <c r="M15" s="49">
        <v>6.7347000000000004E-23</v>
      </c>
      <c r="N15" s="49">
        <v>1.7571E-22</v>
      </c>
      <c r="O15" s="49">
        <v>4.1138E-22</v>
      </c>
      <c r="P15" s="49">
        <v>8.6744999999999998E-22</v>
      </c>
      <c r="Q15" s="49">
        <v>1.6832000000000001E-21</v>
      </c>
      <c r="R15" s="49">
        <v>3.025E-21</v>
      </c>
      <c r="S15" s="49">
        <v>5.0780999999999998E-21</v>
      </c>
      <c r="T15" s="49">
        <v>2.3265999999999999E-20</v>
      </c>
      <c r="U15" s="49">
        <v>5.5564999999999998E-20</v>
      </c>
      <c r="V15" s="49">
        <v>8.4864000000000003E-20</v>
      </c>
      <c r="W15" s="49">
        <v>9.4253999999999996E-20</v>
      </c>
      <c r="X15" s="49">
        <v>8.2804000000000002E-20</v>
      </c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1</v>
      </c>
      <c r="C16" s="44">
        <f t="shared" si="0"/>
        <v>0</v>
      </c>
      <c r="D16" s="44">
        <f t="shared" si="0"/>
        <v>0</v>
      </c>
      <c r="E16" s="6" t="s">
        <v>2</v>
      </c>
      <c r="F16" s="49">
        <v>0</v>
      </c>
      <c r="G16" s="49">
        <v>0</v>
      </c>
      <c r="H16" s="49">
        <v>0</v>
      </c>
      <c r="I16" s="49">
        <v>0</v>
      </c>
      <c r="J16" s="49">
        <v>7.7588000000000001E-36</v>
      </c>
      <c r="K16" s="49">
        <v>8.6558000000000003E-30</v>
      </c>
      <c r="L16" s="49">
        <v>1.2250999999999999E-28</v>
      </c>
      <c r="M16" s="49">
        <v>1.3556999999999999E-27</v>
      </c>
      <c r="N16" s="49">
        <v>1.2094999999999999E-26</v>
      </c>
      <c r="O16" s="49">
        <v>8.9431000000000004E-26</v>
      </c>
      <c r="P16" s="49">
        <v>5.5738999999999996E-25</v>
      </c>
      <c r="Q16" s="49">
        <v>2.9985000000000001E-24</v>
      </c>
      <c r="R16" s="49">
        <v>1.4124E-23</v>
      </c>
      <c r="S16" s="49">
        <v>5.9069000000000006E-23</v>
      </c>
      <c r="T16" s="49">
        <v>6.8385000000000006E-21</v>
      </c>
      <c r="U16" s="49">
        <v>2.4507000000000001E-19</v>
      </c>
      <c r="V16" s="49">
        <v>3.8469999999999996E-18</v>
      </c>
      <c r="W16" s="49">
        <v>3.3061E-17</v>
      </c>
      <c r="X16" s="49">
        <v>1.8061999999999999E-16</v>
      </c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1</v>
      </c>
      <c r="B17" s="44">
        <f t="shared" si="0"/>
        <v>0</v>
      </c>
      <c r="C17" s="44">
        <f t="shared" si="0"/>
        <v>0</v>
      </c>
      <c r="D17" s="44">
        <f t="shared" si="0"/>
        <v>0</v>
      </c>
      <c r="E17" s="6" t="s">
        <v>1</v>
      </c>
      <c r="F17" s="49">
        <v>0.2</v>
      </c>
      <c r="G17" s="49">
        <v>0.2</v>
      </c>
      <c r="H17" s="49">
        <v>0.2</v>
      </c>
      <c r="I17" s="49">
        <v>0.2</v>
      </c>
      <c r="J17" s="49">
        <v>0.2</v>
      </c>
      <c r="K17" s="49">
        <v>0.2</v>
      </c>
      <c r="L17" s="49">
        <v>0.2</v>
      </c>
      <c r="M17" s="49">
        <v>0.2</v>
      </c>
      <c r="N17" s="49">
        <v>0.2</v>
      </c>
      <c r="O17" s="49">
        <v>0.2</v>
      </c>
      <c r="P17" s="49">
        <v>0.2</v>
      </c>
      <c r="Q17" s="49">
        <v>0.2</v>
      </c>
      <c r="R17" s="49">
        <v>0.2</v>
      </c>
      <c r="S17" s="49">
        <v>0.2</v>
      </c>
      <c r="T17" s="49">
        <v>0.2</v>
      </c>
      <c r="U17" s="49">
        <v>0.2</v>
      </c>
      <c r="V17" s="49">
        <v>0.2</v>
      </c>
      <c r="W17" s="49">
        <v>0.2</v>
      </c>
      <c r="X17" s="49">
        <v>0.2</v>
      </c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1</v>
      </c>
      <c r="D18" s="44">
        <f t="shared" si="0"/>
        <v>0</v>
      </c>
      <c r="E18" s="6" t="s">
        <v>87</v>
      </c>
      <c r="F18" s="49">
        <v>0</v>
      </c>
      <c r="G18" s="49">
        <v>0</v>
      </c>
      <c r="H18" s="49">
        <v>0</v>
      </c>
      <c r="I18" s="49">
        <v>0</v>
      </c>
      <c r="J18" s="49">
        <v>0</v>
      </c>
      <c r="K18" s="49">
        <v>0</v>
      </c>
      <c r="L18" s="49">
        <v>0</v>
      </c>
      <c r="M18" s="49">
        <v>5.1747999999999999E-35</v>
      </c>
      <c r="N18" s="49">
        <v>0</v>
      </c>
      <c r="O18" s="49">
        <v>0</v>
      </c>
      <c r="P18" s="49">
        <v>0</v>
      </c>
      <c r="Q18" s="49">
        <v>4.9085999999999998E-29</v>
      </c>
      <c r="R18" s="49">
        <v>7.8558000000000003E-22</v>
      </c>
      <c r="S18" s="49">
        <v>3.6916000000000003E-17</v>
      </c>
      <c r="T18" s="49">
        <v>6.1864999999999999E-12</v>
      </c>
      <c r="U18" s="49">
        <v>3.3754000000000002E-11</v>
      </c>
      <c r="V18" s="49">
        <v>9.8782999999999994E-11</v>
      </c>
      <c r="W18" s="49">
        <v>3.9090000000000001E-10</v>
      </c>
      <c r="X18" s="49">
        <v>2.8993000000000001E-9</v>
      </c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1</v>
      </c>
      <c r="C19" s="44">
        <f t="shared" si="0"/>
        <v>0</v>
      </c>
      <c r="D19" s="44">
        <f t="shared" si="0"/>
        <v>0</v>
      </c>
      <c r="E19" s="6" t="s">
        <v>88</v>
      </c>
      <c r="F19" s="49">
        <v>0</v>
      </c>
      <c r="G19" s="49">
        <v>0</v>
      </c>
      <c r="H19" s="49">
        <v>0</v>
      </c>
      <c r="I19" s="49">
        <v>0</v>
      </c>
      <c r="J19" s="49">
        <v>0</v>
      </c>
      <c r="K19" s="49">
        <v>0</v>
      </c>
      <c r="L19" s="49">
        <v>0</v>
      </c>
      <c r="M19" s="49">
        <v>0</v>
      </c>
      <c r="N19" s="49">
        <v>0</v>
      </c>
      <c r="O19" s="49">
        <v>0</v>
      </c>
      <c r="P19" s="49">
        <v>0</v>
      </c>
      <c r="Q19" s="49">
        <v>1.4803E-34</v>
      </c>
      <c r="R19" s="49">
        <v>1.4866999999999999E-27</v>
      </c>
      <c r="S19" s="49">
        <v>4.4685000000000002E-23</v>
      </c>
      <c r="T19" s="49">
        <v>1.4711999999999999E-18</v>
      </c>
      <c r="U19" s="49">
        <v>1.9296000000000001E-18</v>
      </c>
      <c r="V19" s="49">
        <v>1.5774E-18</v>
      </c>
      <c r="W19" s="49">
        <v>1.9562E-18</v>
      </c>
      <c r="X19" s="49">
        <v>4.9766999999999999E-18</v>
      </c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1</v>
      </c>
      <c r="B20" s="44">
        <f t="shared" si="1"/>
        <v>0</v>
      </c>
      <c r="C20" s="44">
        <f t="shared" si="1"/>
        <v>0</v>
      </c>
      <c r="D20" s="44">
        <f t="shared" si="1"/>
        <v>0</v>
      </c>
      <c r="E20" s="48" t="s">
        <v>28</v>
      </c>
      <c r="F20" s="49">
        <v>-18.62</v>
      </c>
      <c r="G20" s="49">
        <v>-18.61</v>
      </c>
      <c r="H20" s="49">
        <v>-18.61</v>
      </c>
      <c r="I20" s="49">
        <v>-18.63</v>
      </c>
      <c r="J20" s="49">
        <v>-18.649999999999999</v>
      </c>
      <c r="K20" s="49">
        <v>-18.77</v>
      </c>
      <c r="L20" s="49">
        <v>-18.809999999999999</v>
      </c>
      <c r="M20" s="49">
        <v>-18.84</v>
      </c>
      <c r="N20" s="49">
        <v>-18.88</v>
      </c>
      <c r="O20" s="49">
        <v>-18.93</v>
      </c>
      <c r="P20" s="49">
        <v>-18.97</v>
      </c>
      <c r="Q20" s="49">
        <v>-19.010000000000002</v>
      </c>
      <c r="R20" s="49">
        <v>-19.05</v>
      </c>
      <c r="S20" s="49">
        <v>-19.09</v>
      </c>
      <c r="T20" s="49">
        <v>-19.260000000000002</v>
      </c>
      <c r="U20" s="49">
        <v>-19.43</v>
      </c>
      <c r="V20" s="49">
        <v>-19.59</v>
      </c>
      <c r="W20" s="49">
        <v>-19.739999999999998</v>
      </c>
      <c r="X20" s="49">
        <v>-19.88</v>
      </c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1</v>
      </c>
      <c r="D21" s="44">
        <f t="shared" si="1"/>
        <v>0</v>
      </c>
      <c r="E21" s="48" t="s">
        <v>6</v>
      </c>
      <c r="F21" s="49">
        <v>-16.29</v>
      </c>
      <c r="G21" s="49">
        <v>-15.52</v>
      </c>
      <c r="H21" s="49">
        <v>-14.86</v>
      </c>
      <c r="I21" s="49">
        <v>-14.3</v>
      </c>
      <c r="J21" s="49">
        <v>-13.17</v>
      </c>
      <c r="K21" s="49">
        <v>-7.9130000000000003</v>
      </c>
      <c r="L21" s="49">
        <v>-6.851</v>
      </c>
      <c r="M21" s="49">
        <v>-5.867</v>
      </c>
      <c r="N21" s="49">
        <v>-4.9489999999999998</v>
      </c>
      <c r="O21" s="49">
        <v>-4.0949999999999998</v>
      </c>
      <c r="P21" s="49">
        <v>-4.1500000000000004</v>
      </c>
      <c r="Q21" s="49">
        <v>-4.2</v>
      </c>
      <c r="R21" s="49">
        <v>-4.2489999999999997</v>
      </c>
      <c r="S21" s="49">
        <v>-4.2990000000000004</v>
      </c>
      <c r="T21" s="49">
        <v>-4.4989999999999997</v>
      </c>
      <c r="U21" s="49">
        <v>-4.6959999999999997</v>
      </c>
      <c r="V21" s="49">
        <v>-4.8869999999999996</v>
      </c>
      <c r="W21" s="49">
        <v>-5.0709999999999997</v>
      </c>
      <c r="X21" s="49">
        <v>-5.2489999999999997</v>
      </c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1</v>
      </c>
      <c r="C22" s="44">
        <f t="shared" si="1"/>
        <v>0</v>
      </c>
      <c r="D22" s="44">
        <f t="shared" si="1"/>
        <v>0</v>
      </c>
      <c r="E22" s="48" t="s">
        <v>7</v>
      </c>
      <c r="F22" s="49">
        <v>-23.52</v>
      </c>
      <c r="G22" s="49">
        <v>-22.18</v>
      </c>
      <c r="H22" s="49">
        <v>-21.02</v>
      </c>
      <c r="I22" s="49">
        <v>-20.010000000000002</v>
      </c>
      <c r="J22" s="49">
        <v>-19.77</v>
      </c>
      <c r="K22" s="49">
        <v>-20.97</v>
      </c>
      <c r="L22" s="49">
        <v>-21.27</v>
      </c>
      <c r="M22" s="49">
        <v>-21.58</v>
      </c>
      <c r="N22" s="49">
        <v>-21.88</v>
      </c>
      <c r="O22" s="49">
        <v>-22.18</v>
      </c>
      <c r="P22" s="49">
        <v>-22.49</v>
      </c>
      <c r="Q22" s="49">
        <v>-22.79</v>
      </c>
      <c r="R22" s="49">
        <v>-23.08</v>
      </c>
      <c r="S22" s="49">
        <v>-23.37</v>
      </c>
      <c r="T22" s="49">
        <v>-24.51</v>
      </c>
      <c r="U22" s="49">
        <v>-25.6</v>
      </c>
      <c r="V22" s="49">
        <v>-26.65</v>
      </c>
      <c r="W22" s="49">
        <v>-27.65</v>
      </c>
      <c r="X22" s="49">
        <v>-28.62</v>
      </c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>MATCH(C34,$E$4:$E$33)</f>
        <v>17</v>
      </c>
      <c r="E34" s="11" t="str">
        <f ca="1">OFFSET($E$3:$AL$3,$D34,0)</f>
        <v>H (Ar)</v>
      </c>
      <c r="F34" s="14">
        <f t="shared" ref="F34:AL37" ca="1" si="3">OFFSET($E$3:$AL$3,$D34,0)</f>
        <v>-18.62</v>
      </c>
      <c r="G34" s="14">
        <f t="shared" ca="1" si="3"/>
        <v>-18.61</v>
      </c>
      <c r="H34" s="14">
        <f t="shared" ca="1" si="3"/>
        <v>-18.61</v>
      </c>
      <c r="I34" s="14">
        <f t="shared" ca="1" si="3"/>
        <v>-18.63</v>
      </c>
      <c r="J34" s="14">
        <f t="shared" ca="1" si="3"/>
        <v>-18.649999999999999</v>
      </c>
      <c r="K34" s="14">
        <f t="shared" ca="1" si="3"/>
        <v>-18.77</v>
      </c>
      <c r="L34" s="14">
        <f t="shared" ca="1" si="3"/>
        <v>-18.809999999999999</v>
      </c>
      <c r="M34" s="14">
        <f t="shared" ca="1" si="3"/>
        <v>-18.84</v>
      </c>
      <c r="N34" s="14">
        <f t="shared" ca="1" si="3"/>
        <v>-18.88</v>
      </c>
      <c r="O34" s="14">
        <f t="shared" ca="1" si="3"/>
        <v>-18.93</v>
      </c>
      <c r="P34" s="14">
        <f t="shared" ca="1" si="3"/>
        <v>-18.97</v>
      </c>
      <c r="Q34" s="14">
        <f t="shared" ca="1" si="3"/>
        <v>-19.010000000000002</v>
      </c>
      <c r="R34" s="14">
        <f t="shared" ca="1" si="3"/>
        <v>-19.05</v>
      </c>
      <c r="S34" s="14">
        <f t="shared" ca="1" si="3"/>
        <v>-19.09</v>
      </c>
      <c r="T34" s="14">
        <f t="shared" ca="1" si="3"/>
        <v>-19.260000000000002</v>
      </c>
      <c r="U34" s="14">
        <f t="shared" ca="1" si="3"/>
        <v>-19.43</v>
      </c>
      <c r="V34" s="14">
        <f t="shared" ca="1" si="3"/>
        <v>-19.59</v>
      </c>
      <c r="W34" s="14">
        <f t="shared" ca="1" si="3"/>
        <v>-19.739999999999998</v>
      </c>
      <c r="X34" s="14">
        <f t="shared" ca="1" si="3"/>
        <v>-19.88</v>
      </c>
      <c r="Y34" s="14">
        <f t="shared" ca="1" si="3"/>
        <v>0</v>
      </c>
      <c r="Z34" s="14">
        <f t="shared" ca="1" si="3"/>
        <v>0</v>
      </c>
      <c r="AA34" s="14">
        <f t="shared" ca="1" si="3"/>
        <v>0</v>
      </c>
      <c r="AB34" s="14">
        <f t="shared" ca="1" si="3"/>
        <v>0</v>
      </c>
      <c r="AC34" s="14">
        <f t="shared" ca="1" si="3"/>
        <v>0</v>
      </c>
      <c r="AD34" s="14">
        <f t="shared" ca="1" si="3"/>
        <v>0</v>
      </c>
      <c r="AE34" s="14">
        <f t="shared" ca="1" si="3"/>
        <v>0</v>
      </c>
      <c r="AF34" s="14">
        <f t="shared" ca="1" si="3"/>
        <v>0</v>
      </c>
      <c r="AG34" s="14">
        <f t="shared" ca="1" si="3"/>
        <v>0</v>
      </c>
      <c r="AH34" s="14">
        <f t="shared" ca="1" si="3"/>
        <v>0</v>
      </c>
      <c r="AI34" s="14">
        <f t="shared" ca="1" si="3"/>
        <v>0</v>
      </c>
      <c r="AJ34" s="14">
        <f t="shared" ca="1" si="3"/>
        <v>0</v>
      </c>
      <c r="AK34" s="14">
        <f t="shared" ca="1" si="3"/>
        <v>0</v>
      </c>
      <c r="AL34" s="14">
        <f t="shared" ca="1" si="3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v>20</v>
      </c>
      <c r="E35" s="11">
        <f t="shared" ref="E35:E37" ca="1" si="4">OFFSET($E$3:$AL$3,$D35,0)</f>
        <v>0</v>
      </c>
      <c r="F35" s="14">
        <f t="shared" ca="1" si="3"/>
        <v>0</v>
      </c>
      <c r="G35" s="14">
        <f t="shared" ca="1" si="3"/>
        <v>0</v>
      </c>
      <c r="H35" s="14">
        <f t="shared" ca="1" si="3"/>
        <v>0</v>
      </c>
      <c r="I35" s="14">
        <f t="shared" ca="1" si="3"/>
        <v>0</v>
      </c>
      <c r="J35" s="14">
        <f t="shared" ca="1" si="3"/>
        <v>0</v>
      </c>
      <c r="K35" s="14">
        <f t="shared" ca="1" si="3"/>
        <v>0</v>
      </c>
      <c r="L35" s="14">
        <f t="shared" ca="1" si="3"/>
        <v>0</v>
      </c>
      <c r="M35" s="14">
        <f t="shared" ca="1" si="3"/>
        <v>0</v>
      </c>
      <c r="N35" s="14">
        <f t="shared" ca="1" si="3"/>
        <v>0</v>
      </c>
      <c r="O35" s="14">
        <f t="shared" ca="1" si="3"/>
        <v>0</v>
      </c>
      <c r="P35" s="14">
        <f t="shared" ca="1" si="3"/>
        <v>0</v>
      </c>
      <c r="Q35" s="14">
        <f t="shared" ca="1" si="3"/>
        <v>0</v>
      </c>
      <c r="R35" s="14">
        <f t="shared" ca="1" si="3"/>
        <v>0</v>
      </c>
      <c r="S35" s="14">
        <f t="shared" ca="1" si="3"/>
        <v>0</v>
      </c>
      <c r="T35" s="14">
        <f t="shared" ca="1" si="3"/>
        <v>0</v>
      </c>
      <c r="U35" s="14">
        <f t="shared" ca="1" si="3"/>
        <v>0</v>
      </c>
      <c r="V35" s="14">
        <f t="shared" ca="1" si="3"/>
        <v>0</v>
      </c>
      <c r="W35" s="14">
        <f t="shared" ca="1" si="3"/>
        <v>0</v>
      </c>
      <c r="X35" s="14">
        <f t="shared" ca="1" si="3"/>
        <v>0</v>
      </c>
      <c r="Y35" s="14">
        <f t="shared" ca="1" si="3"/>
        <v>0</v>
      </c>
      <c r="Z35" s="14">
        <f t="shared" ca="1" si="3"/>
        <v>0</v>
      </c>
      <c r="AA35" s="14">
        <f t="shared" ca="1" si="3"/>
        <v>0</v>
      </c>
      <c r="AB35" s="14">
        <f t="shared" ca="1" si="3"/>
        <v>0</v>
      </c>
      <c r="AC35" s="14">
        <f t="shared" ca="1" si="3"/>
        <v>0</v>
      </c>
      <c r="AD35" s="14">
        <f t="shared" ca="1" si="3"/>
        <v>0</v>
      </c>
      <c r="AE35" s="14">
        <f t="shared" ca="1" si="3"/>
        <v>0</v>
      </c>
      <c r="AF35" s="14">
        <f t="shared" ca="1" si="3"/>
        <v>0</v>
      </c>
      <c r="AG35" s="14">
        <f t="shared" ca="1" si="3"/>
        <v>0</v>
      </c>
      <c r="AH35" s="14">
        <f t="shared" ca="1" si="3"/>
        <v>0</v>
      </c>
      <c r="AI35" s="14">
        <f t="shared" ca="1" si="3"/>
        <v>0</v>
      </c>
      <c r="AJ35" s="14">
        <f t="shared" ca="1" si="3"/>
        <v>0</v>
      </c>
      <c r="AK35" s="14">
        <f t="shared" ca="1" si="3"/>
        <v>0</v>
      </c>
      <c r="AL35" s="14">
        <f t="shared" ca="1" si="3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f t="shared" ref="D36:D37" si="5">MATCH(C36,$E$4:$E$33)</f>
        <v>18</v>
      </c>
      <c r="E36" s="11" t="str">
        <f t="shared" ca="1" si="4"/>
        <v>H (Ge)</v>
      </c>
      <c r="F36" s="14">
        <f t="shared" ca="1" si="3"/>
        <v>-16.29</v>
      </c>
      <c r="G36" s="14">
        <f t="shared" ca="1" si="3"/>
        <v>-15.52</v>
      </c>
      <c r="H36" s="14">
        <f t="shared" ca="1" si="3"/>
        <v>-14.86</v>
      </c>
      <c r="I36" s="14">
        <f t="shared" ca="1" si="3"/>
        <v>-14.3</v>
      </c>
      <c r="J36" s="14">
        <f t="shared" ca="1" si="3"/>
        <v>-13.17</v>
      </c>
      <c r="K36" s="14">
        <f t="shared" ca="1" si="3"/>
        <v>-7.9130000000000003</v>
      </c>
      <c r="L36" s="14">
        <f t="shared" ca="1" si="3"/>
        <v>-6.851</v>
      </c>
      <c r="M36" s="14">
        <f t="shared" ca="1" si="3"/>
        <v>-5.867</v>
      </c>
      <c r="N36" s="14">
        <f t="shared" ca="1" si="3"/>
        <v>-4.9489999999999998</v>
      </c>
      <c r="O36" s="14">
        <f t="shared" ca="1" si="3"/>
        <v>-4.0949999999999998</v>
      </c>
      <c r="P36" s="14">
        <f t="shared" ca="1" si="3"/>
        <v>-4.1500000000000004</v>
      </c>
      <c r="Q36" s="14">
        <f t="shared" ca="1" si="3"/>
        <v>-4.2</v>
      </c>
      <c r="R36" s="14">
        <f t="shared" ca="1" si="3"/>
        <v>-4.2489999999999997</v>
      </c>
      <c r="S36" s="14">
        <f t="shared" ca="1" si="3"/>
        <v>-4.2990000000000004</v>
      </c>
      <c r="T36" s="14">
        <f t="shared" ca="1" si="3"/>
        <v>-4.4989999999999997</v>
      </c>
      <c r="U36" s="14">
        <f t="shared" ca="1" si="3"/>
        <v>-4.6959999999999997</v>
      </c>
      <c r="V36" s="14">
        <f t="shared" ca="1" si="3"/>
        <v>-4.8869999999999996</v>
      </c>
      <c r="W36" s="14">
        <f t="shared" ca="1" si="3"/>
        <v>-5.0709999999999997</v>
      </c>
      <c r="X36" s="14">
        <f t="shared" ca="1" si="3"/>
        <v>-5.2489999999999997</v>
      </c>
      <c r="Y36" s="14">
        <f t="shared" ca="1" si="3"/>
        <v>0</v>
      </c>
      <c r="Z36" s="14">
        <f t="shared" ca="1" si="3"/>
        <v>0</v>
      </c>
      <c r="AA36" s="14">
        <f t="shared" ca="1" si="3"/>
        <v>0</v>
      </c>
      <c r="AB36" s="14">
        <f t="shared" ca="1" si="3"/>
        <v>0</v>
      </c>
      <c r="AC36" s="14">
        <f t="shared" ca="1" si="3"/>
        <v>0</v>
      </c>
      <c r="AD36" s="14">
        <f t="shared" ca="1" si="3"/>
        <v>0</v>
      </c>
      <c r="AE36" s="14">
        <f t="shared" ca="1" si="3"/>
        <v>0</v>
      </c>
      <c r="AF36" s="14">
        <f t="shared" ca="1" si="3"/>
        <v>0</v>
      </c>
      <c r="AG36" s="14">
        <f t="shared" ca="1" si="3"/>
        <v>0</v>
      </c>
      <c r="AH36" s="14">
        <f t="shared" ca="1" si="3"/>
        <v>0</v>
      </c>
      <c r="AI36" s="14">
        <f t="shared" ca="1" si="3"/>
        <v>0</v>
      </c>
      <c r="AJ36" s="14">
        <f t="shared" ca="1" si="3"/>
        <v>0</v>
      </c>
      <c r="AK36" s="14">
        <f t="shared" ca="1" si="3"/>
        <v>0</v>
      </c>
      <c r="AL36" s="14">
        <f t="shared" ca="1" si="3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5"/>
        <v>19</v>
      </c>
      <c r="E37" s="11" t="str">
        <f t="shared" ca="1" si="4"/>
        <v>H (Se)</v>
      </c>
      <c r="F37" s="14">
        <f t="shared" ca="1" si="3"/>
        <v>-23.52</v>
      </c>
      <c r="G37" s="14">
        <f t="shared" ca="1" si="3"/>
        <v>-22.18</v>
      </c>
      <c r="H37" s="14">
        <f t="shared" ca="1" si="3"/>
        <v>-21.02</v>
      </c>
      <c r="I37" s="14">
        <f t="shared" ca="1" si="3"/>
        <v>-20.010000000000002</v>
      </c>
      <c r="J37" s="14">
        <f t="shared" ca="1" si="3"/>
        <v>-19.77</v>
      </c>
      <c r="K37" s="14">
        <f t="shared" ca="1" si="3"/>
        <v>-20.97</v>
      </c>
      <c r="L37" s="14">
        <f t="shared" ca="1" si="3"/>
        <v>-21.27</v>
      </c>
      <c r="M37" s="14">
        <f t="shared" ca="1" si="3"/>
        <v>-21.58</v>
      </c>
      <c r="N37" s="14">
        <f t="shared" ca="1" si="3"/>
        <v>-21.88</v>
      </c>
      <c r="O37" s="14">
        <f t="shared" ca="1" si="3"/>
        <v>-22.18</v>
      </c>
      <c r="P37" s="14">
        <f t="shared" ca="1" si="3"/>
        <v>-22.49</v>
      </c>
      <c r="Q37" s="14">
        <f t="shared" ca="1" si="3"/>
        <v>-22.79</v>
      </c>
      <c r="R37" s="14">
        <f t="shared" ca="1" si="3"/>
        <v>-23.08</v>
      </c>
      <c r="S37" s="14">
        <f t="shared" ca="1" si="3"/>
        <v>-23.37</v>
      </c>
      <c r="T37" s="14">
        <f t="shared" ca="1" si="3"/>
        <v>-24.51</v>
      </c>
      <c r="U37" s="14">
        <f t="shared" ca="1" si="3"/>
        <v>-25.6</v>
      </c>
      <c r="V37" s="14">
        <f t="shared" ca="1" si="3"/>
        <v>-26.65</v>
      </c>
      <c r="W37" s="14">
        <f t="shared" ca="1" si="3"/>
        <v>-27.65</v>
      </c>
      <c r="X37" s="14">
        <f t="shared" ca="1" si="3"/>
        <v>-28.62</v>
      </c>
      <c r="Y37" s="14">
        <f t="shared" ca="1" si="3"/>
        <v>0</v>
      </c>
      <c r="Z37" s="14">
        <f t="shared" ca="1" si="3"/>
        <v>0</v>
      </c>
      <c r="AA37" s="14">
        <f t="shared" ca="1" si="3"/>
        <v>0</v>
      </c>
      <c r="AB37" s="14">
        <f t="shared" ca="1" si="3"/>
        <v>0</v>
      </c>
      <c r="AC37" s="14">
        <f t="shared" ca="1" si="3"/>
        <v>0</v>
      </c>
      <c r="AD37" s="14">
        <f t="shared" ca="1" si="3"/>
        <v>0</v>
      </c>
      <c r="AE37" s="14">
        <f t="shared" ca="1" si="3"/>
        <v>0</v>
      </c>
      <c r="AF37" s="14">
        <f t="shared" ca="1" si="3"/>
        <v>0</v>
      </c>
      <c r="AG37" s="14">
        <f t="shared" ca="1" si="3"/>
        <v>0</v>
      </c>
      <c r="AH37" s="14">
        <f t="shared" ca="1" si="3"/>
        <v>0</v>
      </c>
      <c r="AI37" s="14">
        <f t="shared" ca="1" si="3"/>
        <v>0</v>
      </c>
      <c r="AJ37" s="14">
        <f t="shared" ca="1" si="3"/>
        <v>0</v>
      </c>
      <c r="AK37" s="14">
        <f t="shared" ca="1" si="3"/>
        <v>0</v>
      </c>
      <c r="AL37" s="14">
        <f t="shared" ca="1" si="3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81" t="s">
        <v>8</v>
      </c>
      <c r="B39" s="82"/>
      <c r="C39" s="82"/>
      <c r="D39" s="83"/>
      <c r="E39" s="74" t="s">
        <v>21</v>
      </c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6">G3</f>
        <v>293.3</v>
      </c>
      <c r="H40" s="8">
        <f t="shared" si="6"/>
        <v>313.5</v>
      </c>
      <c r="I40" s="8">
        <f t="shared" si="6"/>
        <v>333.7</v>
      </c>
      <c r="J40" s="8">
        <f t="shared" si="6"/>
        <v>353.9</v>
      </c>
      <c r="K40" s="8">
        <f t="shared" si="6"/>
        <v>434.7</v>
      </c>
      <c r="L40" s="8">
        <f t="shared" si="6"/>
        <v>454.9</v>
      </c>
      <c r="M40" s="8">
        <f t="shared" si="6"/>
        <v>475.1</v>
      </c>
      <c r="N40" s="8">
        <f t="shared" si="6"/>
        <v>495.2</v>
      </c>
      <c r="O40" s="8">
        <f t="shared" si="6"/>
        <v>515.4</v>
      </c>
      <c r="P40" s="8">
        <f t="shared" si="6"/>
        <v>535.6</v>
      </c>
      <c r="Q40" s="8">
        <f t="shared" si="6"/>
        <v>555.79999999999995</v>
      </c>
      <c r="R40" s="8">
        <f t="shared" si="6"/>
        <v>576</v>
      </c>
      <c r="S40" s="8">
        <f t="shared" si="6"/>
        <v>596.20000000000005</v>
      </c>
      <c r="T40" s="8">
        <f t="shared" si="6"/>
        <v>677</v>
      </c>
      <c r="U40" s="8">
        <f t="shared" si="6"/>
        <v>757.7</v>
      </c>
      <c r="V40" s="8">
        <f t="shared" si="6"/>
        <v>838.5</v>
      </c>
      <c r="W40" s="8">
        <f t="shared" si="6"/>
        <v>919.2</v>
      </c>
      <c r="X40" s="8">
        <f t="shared" si="6"/>
        <v>1000</v>
      </c>
      <c r="Y40" s="8">
        <f t="shared" si="6"/>
        <v>0</v>
      </c>
      <c r="Z40" s="8">
        <f t="shared" si="6"/>
        <v>0</v>
      </c>
      <c r="AA40" s="8">
        <f t="shared" si="6"/>
        <v>0</v>
      </c>
      <c r="AB40" s="8">
        <f t="shared" si="6"/>
        <v>0</v>
      </c>
      <c r="AC40" s="8">
        <f t="shared" si="6"/>
        <v>0</v>
      </c>
      <c r="AD40" s="8">
        <f t="shared" si="6"/>
        <v>0</v>
      </c>
      <c r="AE40" s="8">
        <f t="shared" si="6"/>
        <v>0</v>
      </c>
      <c r="AF40" s="8">
        <f t="shared" si="6"/>
        <v>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customHeight="1" outlineLevel="1" thickTop="1" x14ac:dyDescent="0.35">
      <c r="A41" s="9">
        <f t="array" ref="A41">Values!D3:G3/Values!$E$3</f>
        <v>0.625</v>
      </c>
      <c r="B41" s="9">
        <f t="array" ref="B41">Values!E3:H3/Values!$E$3</f>
        <v>1</v>
      </c>
      <c r="C41" s="9">
        <f t="array" ref="C41">Values!F3:I3/Values!$E$3</f>
        <v>0</v>
      </c>
      <c r="D41" s="9">
        <f t="array" ref="D41">Values!G3:J3/Values!$E$3</f>
        <v>1.5</v>
      </c>
      <c r="E41" s="9">
        <f>SUM(A41:D41)</f>
        <v>3.125</v>
      </c>
      <c r="F41" s="10">
        <f t="shared" ref="F41:AL41" ca="1" si="7">($B$41*H.Ge+$C$41*H.Ga+$D$41*H.Se)*F$40*$B$2/1000</f>
        <v>-117.09948072150002</v>
      </c>
      <c r="G41" s="10">
        <f t="shared" ca="1" si="7"/>
        <v>-118.98138465149999</v>
      </c>
      <c r="H41" s="10">
        <f t="shared" ca="1" si="7"/>
        <v>-120.91997684250001</v>
      </c>
      <c r="I41" s="10">
        <f t="shared" ca="1" si="7"/>
        <v>-122.95412342474999</v>
      </c>
      <c r="J41" s="10">
        <f t="shared" ca="1" si="7"/>
        <v>-126.01262887875001</v>
      </c>
      <c r="K41" s="10">
        <f t="shared" ca="1" si="7"/>
        <v>-142.28828008919999</v>
      </c>
      <c r="L41" s="10">
        <f t="shared" ca="1" si="7"/>
        <v>-146.58550303380002</v>
      </c>
      <c r="M41" s="10">
        <f t="shared" ca="1" si="7"/>
        <v>-151.04452199114999</v>
      </c>
      <c r="N41" s="10">
        <f t="shared" ca="1" si="7"/>
        <v>-155.50782956760003</v>
      </c>
      <c r="O41" s="10">
        <f t="shared" ca="1" si="7"/>
        <v>-160.11998415449997</v>
      </c>
      <c r="P41" s="10">
        <f t="shared" ca="1" si="7"/>
        <v>-168.711232287</v>
      </c>
      <c r="Q41" s="10">
        <f t="shared" ca="1" si="7"/>
        <v>-177.38472745350003</v>
      </c>
      <c r="R41" s="10">
        <f t="shared" ca="1" si="7"/>
        <v>-186.14954908800001</v>
      </c>
      <c r="S41" s="10">
        <f t="shared" ca="1" si="7"/>
        <v>-195.08190623460004</v>
      </c>
      <c r="T41" s="10">
        <f t="shared" ca="1" si="7"/>
        <v>-232.27161045600005</v>
      </c>
      <c r="U41" s="10">
        <f t="shared" ca="1" si="7"/>
        <v>-271.50034602840009</v>
      </c>
      <c r="V41" s="10">
        <f t="shared" ca="1" si="7"/>
        <v>-312.76477551150003</v>
      </c>
      <c r="W41" s="10">
        <f t="shared" ca="1" si="7"/>
        <v>-355.73657426639994</v>
      </c>
      <c r="X41" s="10">
        <f t="shared" ca="1" si="7"/>
        <v>-400.5842955</v>
      </c>
      <c r="Y41" s="10">
        <f t="shared" ca="1" si="7"/>
        <v>0</v>
      </c>
      <c r="Z41" s="10">
        <f t="shared" ca="1" si="7"/>
        <v>0</v>
      </c>
      <c r="AA41" s="10">
        <f t="shared" ca="1" si="7"/>
        <v>0</v>
      </c>
      <c r="AB41" s="10">
        <f t="shared" ca="1" si="7"/>
        <v>0</v>
      </c>
      <c r="AC41" s="10">
        <f t="shared" ca="1" si="7"/>
        <v>0</v>
      </c>
      <c r="AD41" s="10">
        <f t="shared" ca="1" si="7"/>
        <v>0</v>
      </c>
      <c r="AE41" s="10">
        <f t="shared" ca="1" si="7"/>
        <v>0</v>
      </c>
      <c r="AF41" s="10">
        <f t="shared" ca="1" si="7"/>
        <v>0</v>
      </c>
      <c r="AG41" s="10">
        <f t="shared" ca="1" si="7"/>
        <v>0</v>
      </c>
      <c r="AH41" s="10">
        <f t="shared" ca="1" si="7"/>
        <v>0</v>
      </c>
      <c r="AI41" s="10">
        <f t="shared" ca="1" si="7"/>
        <v>0</v>
      </c>
      <c r="AJ41" s="10">
        <f t="shared" ca="1" si="7"/>
        <v>0</v>
      </c>
      <c r="AK41" s="10">
        <f t="shared" ca="1" si="7"/>
        <v>0</v>
      </c>
      <c r="AL41" s="10">
        <f t="shared" ca="1" si="7"/>
        <v>0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thickBot="1" x14ac:dyDescent="0.45">
      <c r="A44" s="75"/>
      <c r="B44" s="75"/>
      <c r="C44" s="75"/>
      <c r="D44" s="75"/>
      <c r="E44" s="74" t="s">
        <v>22</v>
      </c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</row>
    <row r="45" spans="1:54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8">E3</f>
        <v>Temperature,К</v>
      </c>
      <c r="F45" s="3">
        <f t="shared" si="8"/>
        <v>273.10000000000002</v>
      </c>
      <c r="G45" s="3">
        <f t="shared" si="8"/>
        <v>293.3</v>
      </c>
      <c r="H45" s="3">
        <f t="shared" si="8"/>
        <v>313.5</v>
      </c>
      <c r="I45" s="3">
        <f t="shared" si="8"/>
        <v>333.7</v>
      </c>
      <c r="J45" s="3">
        <f t="shared" si="8"/>
        <v>353.9</v>
      </c>
      <c r="K45" s="3">
        <f t="shared" si="8"/>
        <v>434.7</v>
      </c>
      <c r="L45" s="3">
        <f t="shared" si="8"/>
        <v>454.9</v>
      </c>
      <c r="M45" s="3">
        <f t="shared" si="8"/>
        <v>475.1</v>
      </c>
      <c r="N45" s="3">
        <f t="shared" si="8"/>
        <v>495.2</v>
      </c>
      <c r="O45" s="3">
        <f t="shared" si="8"/>
        <v>515.4</v>
      </c>
      <c r="P45" s="3">
        <f t="shared" si="8"/>
        <v>535.6</v>
      </c>
      <c r="Q45" s="3">
        <f t="shared" si="8"/>
        <v>555.79999999999995</v>
      </c>
      <c r="R45" s="3">
        <f t="shared" si="8"/>
        <v>576</v>
      </c>
      <c r="S45" s="3">
        <f t="shared" si="8"/>
        <v>596.20000000000005</v>
      </c>
      <c r="T45" s="3">
        <f t="shared" si="8"/>
        <v>677</v>
      </c>
      <c r="U45" s="3">
        <f t="shared" si="8"/>
        <v>757.7</v>
      </c>
      <c r="V45" s="3">
        <f t="shared" si="8"/>
        <v>838.5</v>
      </c>
      <c r="W45" s="3">
        <f t="shared" si="8"/>
        <v>919.2</v>
      </c>
      <c r="X45" s="3">
        <f t="shared" si="8"/>
        <v>1000</v>
      </c>
      <c r="Y45" s="3">
        <f t="shared" si="8"/>
        <v>0</v>
      </c>
      <c r="Z45" s="3">
        <f t="shared" si="8"/>
        <v>0</v>
      </c>
      <c r="AA45" s="3">
        <f t="shared" si="8"/>
        <v>0</v>
      </c>
      <c r="AB45" s="3">
        <f t="shared" si="8"/>
        <v>0</v>
      </c>
      <c r="AC45" s="3">
        <f t="shared" si="8"/>
        <v>0</v>
      </c>
      <c r="AD45" s="3">
        <f t="shared" si="8"/>
        <v>0</v>
      </c>
      <c r="AE45" s="3">
        <f t="shared" si="8"/>
        <v>0</v>
      </c>
      <c r="AF45" s="3">
        <f t="shared" si="8"/>
        <v>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customHeight="1" outlineLevel="1" thickTop="1" thickBot="1" x14ac:dyDescent="0.4">
      <c r="A46" s="5">
        <f t="shared" ref="A46:E55" si="9">A4</f>
        <v>0</v>
      </c>
      <c r="B46" s="5">
        <f t="shared" si="9"/>
        <v>4</v>
      </c>
      <c r="C46" s="5">
        <f t="shared" si="9"/>
        <v>3</v>
      </c>
      <c r="D46" s="5">
        <f t="shared" si="9"/>
        <v>0</v>
      </c>
      <c r="E46" s="6" t="str">
        <f t="shared" si="9"/>
        <v>*Ge3Se4</v>
      </c>
      <c r="F46" s="14">
        <f t="shared" ref="F46:U55" ca="1" si="10">$A46*H.Ar + $B46*H.Se + $C46*H.Ge + $D46*H.Ga</f>
        <v>-142.94999999999999</v>
      </c>
      <c r="G46" s="14">
        <f t="shared" ca="1" si="10"/>
        <v>-135.28</v>
      </c>
      <c r="H46" s="14">
        <f t="shared" ca="1" si="10"/>
        <v>-128.66</v>
      </c>
      <c r="I46" s="14">
        <f t="shared" ca="1" si="10"/>
        <v>-122.94000000000001</v>
      </c>
      <c r="J46" s="14">
        <f t="shared" ca="1" si="10"/>
        <v>-118.59</v>
      </c>
      <c r="K46" s="14">
        <f t="shared" ca="1" si="10"/>
        <v>-107.619</v>
      </c>
      <c r="L46" s="14">
        <f t="shared" ca="1" si="10"/>
        <v>-105.633</v>
      </c>
      <c r="M46" s="14">
        <f t="shared" ca="1" si="10"/>
        <v>-103.92099999999999</v>
      </c>
      <c r="N46" s="14">
        <f t="shared" ca="1" si="10"/>
        <v>-102.36699999999999</v>
      </c>
      <c r="O46" s="14">
        <f t="shared" ca="1" si="10"/>
        <v>-101.005</v>
      </c>
      <c r="P46" s="14">
        <f t="shared" ca="1" si="10"/>
        <v>-102.41</v>
      </c>
      <c r="Q46" s="14">
        <f t="shared" ca="1" si="10"/>
        <v>-103.75999999999999</v>
      </c>
      <c r="R46" s="14">
        <f t="shared" ca="1" si="10"/>
        <v>-105.06699999999999</v>
      </c>
      <c r="S46" s="14">
        <f t="shared" ca="1" si="10"/>
        <v>-106.37700000000001</v>
      </c>
      <c r="T46" s="14">
        <f t="shared" ca="1" si="10"/>
        <v>-111.53700000000001</v>
      </c>
      <c r="U46" s="14">
        <f t="shared" ca="1" si="10"/>
        <v>-116.488</v>
      </c>
      <c r="V46" s="14">
        <f t="shared" ref="V46:AL46" ca="1" si="11">$A46*H.Ar + $B46*H.Se + $C46*H.Ge + $D46*H.Ga</f>
        <v>-121.261</v>
      </c>
      <c r="W46" s="14">
        <f t="shared" ca="1" si="11"/>
        <v>-125.81299999999999</v>
      </c>
      <c r="X46" s="14">
        <f t="shared" ca="1" si="11"/>
        <v>-130.227</v>
      </c>
      <c r="Y46" s="14">
        <f t="shared" ca="1" si="11"/>
        <v>0</v>
      </c>
      <c r="Z46" s="14">
        <f t="shared" ca="1" si="11"/>
        <v>0</v>
      </c>
      <c r="AA46" s="14">
        <f t="shared" ca="1" si="11"/>
        <v>0</v>
      </c>
      <c r="AB46" s="14">
        <f t="shared" ca="1" si="11"/>
        <v>0</v>
      </c>
      <c r="AC46" s="14">
        <f t="shared" ca="1" si="11"/>
        <v>0</v>
      </c>
      <c r="AD46" s="14">
        <f t="shared" ca="1" si="11"/>
        <v>0</v>
      </c>
      <c r="AE46" s="14">
        <f t="shared" ca="1" si="11"/>
        <v>0</v>
      </c>
      <c r="AF46" s="14">
        <f t="shared" ca="1" si="11"/>
        <v>0</v>
      </c>
      <c r="AG46" s="14">
        <f t="shared" ca="1" si="11"/>
        <v>0</v>
      </c>
      <c r="AH46" s="14">
        <f t="shared" ca="1" si="11"/>
        <v>0</v>
      </c>
      <c r="AI46" s="14">
        <f t="shared" ca="1" si="11"/>
        <v>0</v>
      </c>
      <c r="AJ46" s="14">
        <f t="shared" ca="1" si="11"/>
        <v>0</v>
      </c>
      <c r="AK46" s="14">
        <f t="shared" ca="1" si="11"/>
        <v>0</v>
      </c>
      <c r="AL46" s="14">
        <f t="shared" ca="1" si="11"/>
        <v>0</v>
      </c>
    </row>
    <row r="47" spans="1:54" ht="21" customHeight="1" outlineLevel="1" thickBot="1" x14ac:dyDescent="0.4">
      <c r="A47" s="5">
        <f t="shared" si="9"/>
        <v>0</v>
      </c>
      <c r="B47" s="5">
        <f t="shared" si="9"/>
        <v>5</v>
      </c>
      <c r="C47" s="5">
        <f t="shared" si="9"/>
        <v>4</v>
      </c>
      <c r="D47" s="5">
        <f t="shared" si="9"/>
        <v>0</v>
      </c>
      <c r="E47" s="6" t="str">
        <f t="shared" si="9"/>
        <v>*Ge4Se5</v>
      </c>
      <c r="F47" s="14">
        <f t="shared" ca="1" si="10"/>
        <v>-182.76</v>
      </c>
      <c r="G47" s="14">
        <f t="shared" ref="G47:AL54" ca="1" si="12">$A47*H.Ar + $B47*H.Se + $C47*H.Ge + $D47*H.Ga</f>
        <v>-172.98000000000002</v>
      </c>
      <c r="H47" s="14">
        <f t="shared" ca="1" si="12"/>
        <v>-164.54</v>
      </c>
      <c r="I47" s="14">
        <f t="shared" ca="1" si="12"/>
        <v>-157.25</v>
      </c>
      <c r="J47" s="14">
        <f t="shared" ca="1" si="12"/>
        <v>-151.53</v>
      </c>
      <c r="K47" s="14">
        <f t="shared" ca="1" si="12"/>
        <v>-136.50200000000001</v>
      </c>
      <c r="L47" s="14">
        <f t="shared" ca="1" si="12"/>
        <v>-133.75399999999999</v>
      </c>
      <c r="M47" s="14">
        <f t="shared" ca="1" si="12"/>
        <v>-131.36799999999999</v>
      </c>
      <c r="N47" s="14">
        <f t="shared" ca="1" si="12"/>
        <v>-129.196</v>
      </c>
      <c r="O47" s="14">
        <f t="shared" ca="1" si="12"/>
        <v>-127.28</v>
      </c>
      <c r="P47" s="14">
        <f t="shared" ca="1" si="12"/>
        <v>-129.04999999999998</v>
      </c>
      <c r="Q47" s="14">
        <f t="shared" ca="1" si="12"/>
        <v>-130.75</v>
      </c>
      <c r="R47" s="14">
        <f t="shared" ca="1" si="12"/>
        <v>-132.39599999999999</v>
      </c>
      <c r="S47" s="14">
        <f t="shared" ca="1" si="12"/>
        <v>-134.04600000000002</v>
      </c>
      <c r="T47" s="14">
        <f t="shared" ca="1" si="12"/>
        <v>-140.54600000000002</v>
      </c>
      <c r="U47" s="14">
        <f t="shared" ca="1" si="12"/>
        <v>-146.78399999999999</v>
      </c>
      <c r="V47" s="14">
        <f t="shared" ca="1" si="12"/>
        <v>-152.798</v>
      </c>
      <c r="W47" s="14">
        <f t="shared" ca="1" si="12"/>
        <v>-158.53399999999999</v>
      </c>
      <c r="X47" s="14">
        <f t="shared" ca="1" si="12"/>
        <v>-164.096</v>
      </c>
      <c r="Y47" s="14">
        <f t="shared" ca="1" si="12"/>
        <v>0</v>
      </c>
      <c r="Z47" s="14">
        <f t="shared" ca="1" si="12"/>
        <v>0</v>
      </c>
      <c r="AA47" s="14">
        <f t="shared" ca="1" si="12"/>
        <v>0</v>
      </c>
      <c r="AB47" s="14">
        <f t="shared" ca="1" si="12"/>
        <v>0</v>
      </c>
      <c r="AC47" s="14">
        <f t="shared" ca="1" si="12"/>
        <v>0</v>
      </c>
      <c r="AD47" s="14">
        <f t="shared" ca="1" si="12"/>
        <v>0</v>
      </c>
      <c r="AE47" s="14">
        <f t="shared" ca="1" si="12"/>
        <v>0</v>
      </c>
      <c r="AF47" s="14">
        <f t="shared" ca="1" si="12"/>
        <v>0</v>
      </c>
      <c r="AG47" s="14">
        <f t="shared" ca="1" si="12"/>
        <v>0</v>
      </c>
      <c r="AH47" s="14">
        <f t="shared" ca="1" si="12"/>
        <v>0</v>
      </c>
      <c r="AI47" s="14">
        <f t="shared" ca="1" si="12"/>
        <v>0</v>
      </c>
      <c r="AJ47" s="14">
        <f t="shared" ca="1" si="12"/>
        <v>0</v>
      </c>
      <c r="AK47" s="14">
        <f t="shared" ca="1" si="12"/>
        <v>0</v>
      </c>
      <c r="AL47" s="14">
        <f t="shared" ca="1" si="12"/>
        <v>0</v>
      </c>
    </row>
    <row r="48" spans="1:54" ht="21" customHeight="1" outlineLevel="1" thickBot="1" x14ac:dyDescent="0.4">
      <c r="A48" s="5">
        <f t="shared" si="9"/>
        <v>0</v>
      </c>
      <c r="B48" s="5">
        <f t="shared" si="9"/>
        <v>0</v>
      </c>
      <c r="C48" s="5">
        <f t="shared" si="9"/>
        <v>1</v>
      </c>
      <c r="D48" s="5">
        <f t="shared" si="9"/>
        <v>0</v>
      </c>
      <c r="E48" s="6" t="str">
        <f t="shared" si="9"/>
        <v>*Ge</v>
      </c>
      <c r="F48" s="14">
        <f t="shared" ca="1" si="10"/>
        <v>-16.29</v>
      </c>
      <c r="G48" s="14">
        <f t="shared" ca="1" si="12"/>
        <v>-15.52</v>
      </c>
      <c r="H48" s="14">
        <f t="shared" ca="1" si="12"/>
        <v>-14.86</v>
      </c>
      <c r="I48" s="14">
        <f t="shared" ca="1" si="12"/>
        <v>-14.3</v>
      </c>
      <c r="J48" s="14">
        <f t="shared" ca="1" si="12"/>
        <v>-13.17</v>
      </c>
      <c r="K48" s="14">
        <f t="shared" ca="1" si="12"/>
        <v>-7.9130000000000003</v>
      </c>
      <c r="L48" s="14">
        <f t="shared" ca="1" si="12"/>
        <v>-6.851</v>
      </c>
      <c r="M48" s="14">
        <f t="shared" ca="1" si="12"/>
        <v>-5.867</v>
      </c>
      <c r="N48" s="14">
        <f t="shared" ca="1" si="12"/>
        <v>-4.9489999999999998</v>
      </c>
      <c r="O48" s="14">
        <f t="shared" ca="1" si="12"/>
        <v>-4.0949999999999998</v>
      </c>
      <c r="P48" s="14">
        <f t="shared" ca="1" si="12"/>
        <v>-4.1500000000000004</v>
      </c>
      <c r="Q48" s="14">
        <f t="shared" ca="1" si="12"/>
        <v>-4.2</v>
      </c>
      <c r="R48" s="14">
        <f t="shared" ca="1" si="12"/>
        <v>-4.2489999999999997</v>
      </c>
      <c r="S48" s="14">
        <f t="shared" ca="1" si="12"/>
        <v>-4.2990000000000004</v>
      </c>
      <c r="T48" s="14">
        <f t="shared" ca="1" si="12"/>
        <v>-4.4989999999999997</v>
      </c>
      <c r="U48" s="14">
        <f t="shared" ca="1" si="12"/>
        <v>-4.6959999999999997</v>
      </c>
      <c r="V48" s="14">
        <f t="shared" ca="1" si="12"/>
        <v>-4.8869999999999996</v>
      </c>
      <c r="W48" s="14">
        <f t="shared" ca="1" si="12"/>
        <v>-5.0709999999999997</v>
      </c>
      <c r="X48" s="14">
        <f t="shared" ca="1" si="12"/>
        <v>-5.2489999999999997</v>
      </c>
      <c r="Y48" s="14">
        <f t="shared" ca="1" si="12"/>
        <v>0</v>
      </c>
      <c r="Z48" s="14">
        <f t="shared" ca="1" si="12"/>
        <v>0</v>
      </c>
      <c r="AA48" s="14">
        <f t="shared" ca="1" si="12"/>
        <v>0</v>
      </c>
      <c r="AB48" s="14">
        <f t="shared" ca="1" si="12"/>
        <v>0</v>
      </c>
      <c r="AC48" s="14">
        <f t="shared" ca="1" si="12"/>
        <v>0</v>
      </c>
      <c r="AD48" s="14">
        <f t="shared" ca="1" si="12"/>
        <v>0</v>
      </c>
      <c r="AE48" s="14">
        <f t="shared" ca="1" si="12"/>
        <v>0</v>
      </c>
      <c r="AF48" s="14">
        <f t="shared" ca="1" si="12"/>
        <v>0</v>
      </c>
      <c r="AG48" s="14">
        <f t="shared" ca="1" si="12"/>
        <v>0</v>
      </c>
      <c r="AH48" s="14">
        <f t="shared" ca="1" si="12"/>
        <v>0</v>
      </c>
      <c r="AI48" s="14">
        <f t="shared" ca="1" si="12"/>
        <v>0</v>
      </c>
      <c r="AJ48" s="14">
        <f t="shared" ca="1" si="12"/>
        <v>0</v>
      </c>
      <c r="AK48" s="14">
        <f t="shared" ca="1" si="12"/>
        <v>0</v>
      </c>
      <c r="AL48" s="14">
        <f t="shared" ca="1" si="12"/>
        <v>0</v>
      </c>
    </row>
    <row r="49" spans="1:38" ht="21" customHeight="1" outlineLevel="1" thickBot="1" x14ac:dyDescent="0.4">
      <c r="A49" s="5">
        <f t="shared" si="9"/>
        <v>0</v>
      </c>
      <c r="B49" s="5">
        <f t="shared" si="9"/>
        <v>1</v>
      </c>
      <c r="C49" s="5">
        <f t="shared" si="9"/>
        <v>0</v>
      </c>
      <c r="D49" s="5">
        <f t="shared" si="9"/>
        <v>0</v>
      </c>
      <c r="E49" s="6" t="str">
        <f t="shared" si="9"/>
        <v>*Se[m]</v>
      </c>
      <c r="F49" s="14">
        <f t="shared" ca="1" si="10"/>
        <v>-23.52</v>
      </c>
      <c r="G49" s="14">
        <f t="shared" ca="1" si="12"/>
        <v>-22.18</v>
      </c>
      <c r="H49" s="14">
        <f t="shared" ca="1" si="12"/>
        <v>-21.02</v>
      </c>
      <c r="I49" s="14">
        <f t="shared" ca="1" si="12"/>
        <v>-20.010000000000002</v>
      </c>
      <c r="J49" s="14">
        <f t="shared" ca="1" si="12"/>
        <v>-19.77</v>
      </c>
      <c r="K49" s="14">
        <f t="shared" ca="1" si="12"/>
        <v>-20.97</v>
      </c>
      <c r="L49" s="14">
        <f t="shared" ca="1" si="12"/>
        <v>-21.27</v>
      </c>
      <c r="M49" s="14">
        <f t="shared" ca="1" si="12"/>
        <v>-21.58</v>
      </c>
      <c r="N49" s="14">
        <f t="shared" ca="1" si="12"/>
        <v>-21.88</v>
      </c>
      <c r="O49" s="14">
        <f t="shared" ca="1" si="12"/>
        <v>-22.18</v>
      </c>
      <c r="P49" s="14">
        <f t="shared" ca="1" si="12"/>
        <v>-22.49</v>
      </c>
      <c r="Q49" s="14">
        <f t="shared" ca="1" si="12"/>
        <v>-22.79</v>
      </c>
      <c r="R49" s="14">
        <f t="shared" ca="1" si="12"/>
        <v>-23.08</v>
      </c>
      <c r="S49" s="14">
        <f t="shared" ca="1" si="12"/>
        <v>-23.37</v>
      </c>
      <c r="T49" s="14">
        <f t="shared" ca="1" si="12"/>
        <v>-24.51</v>
      </c>
      <c r="U49" s="14">
        <f t="shared" ca="1" si="12"/>
        <v>-25.6</v>
      </c>
      <c r="V49" s="14">
        <f t="shared" ca="1" si="12"/>
        <v>-26.65</v>
      </c>
      <c r="W49" s="14">
        <f t="shared" ca="1" si="12"/>
        <v>-27.65</v>
      </c>
      <c r="X49" s="14">
        <f t="shared" ca="1" si="12"/>
        <v>-28.62</v>
      </c>
      <c r="Y49" s="14">
        <f t="shared" ca="1" si="12"/>
        <v>0</v>
      </c>
      <c r="Z49" s="14">
        <f t="shared" ca="1" si="12"/>
        <v>0</v>
      </c>
      <c r="AA49" s="14">
        <f t="shared" ca="1" si="12"/>
        <v>0</v>
      </c>
      <c r="AB49" s="14">
        <f t="shared" ca="1" si="12"/>
        <v>0</v>
      </c>
      <c r="AC49" s="14">
        <f t="shared" ca="1" si="12"/>
        <v>0</v>
      </c>
      <c r="AD49" s="14">
        <f t="shared" ca="1" si="12"/>
        <v>0</v>
      </c>
      <c r="AE49" s="14">
        <f t="shared" ca="1" si="12"/>
        <v>0</v>
      </c>
      <c r="AF49" s="14">
        <f t="shared" ca="1" si="12"/>
        <v>0</v>
      </c>
      <c r="AG49" s="14">
        <f t="shared" ca="1" si="12"/>
        <v>0</v>
      </c>
      <c r="AH49" s="14">
        <f t="shared" ca="1" si="12"/>
        <v>0</v>
      </c>
      <c r="AI49" s="14">
        <f t="shared" ca="1" si="12"/>
        <v>0</v>
      </c>
      <c r="AJ49" s="14">
        <f t="shared" ca="1" si="12"/>
        <v>0</v>
      </c>
      <c r="AK49" s="14">
        <f t="shared" ca="1" si="12"/>
        <v>0</v>
      </c>
      <c r="AL49" s="14">
        <f t="shared" ca="1" si="12"/>
        <v>0</v>
      </c>
    </row>
    <row r="50" spans="1:38" ht="21" customHeight="1" outlineLevel="1" thickBot="1" x14ac:dyDescent="0.4">
      <c r="A50" s="5">
        <f t="shared" si="9"/>
        <v>0</v>
      </c>
      <c r="B50" s="5">
        <f t="shared" si="9"/>
        <v>2</v>
      </c>
      <c r="C50" s="5">
        <f t="shared" si="9"/>
        <v>1</v>
      </c>
      <c r="D50" s="5">
        <f t="shared" si="9"/>
        <v>0</v>
      </c>
      <c r="E50" s="6" t="str">
        <f t="shared" si="9"/>
        <v>*GeSe2</v>
      </c>
      <c r="F50" s="14">
        <f t="shared" ca="1" si="10"/>
        <v>-63.33</v>
      </c>
      <c r="G50" s="14">
        <f t="shared" ca="1" si="12"/>
        <v>-59.879999999999995</v>
      </c>
      <c r="H50" s="14">
        <f t="shared" ca="1" si="12"/>
        <v>-56.9</v>
      </c>
      <c r="I50" s="14">
        <f t="shared" ca="1" si="12"/>
        <v>-54.320000000000007</v>
      </c>
      <c r="J50" s="14">
        <f t="shared" ca="1" si="12"/>
        <v>-52.71</v>
      </c>
      <c r="K50" s="14">
        <f t="shared" ca="1" si="12"/>
        <v>-49.852999999999994</v>
      </c>
      <c r="L50" s="14">
        <f t="shared" ca="1" si="12"/>
        <v>-49.390999999999998</v>
      </c>
      <c r="M50" s="14">
        <f t="shared" ca="1" si="12"/>
        <v>-49.026999999999994</v>
      </c>
      <c r="N50" s="14">
        <f t="shared" ca="1" si="12"/>
        <v>-48.708999999999996</v>
      </c>
      <c r="O50" s="14">
        <f t="shared" ca="1" si="12"/>
        <v>-48.454999999999998</v>
      </c>
      <c r="P50" s="14">
        <f t="shared" ca="1" si="12"/>
        <v>-49.129999999999995</v>
      </c>
      <c r="Q50" s="14">
        <f t="shared" ca="1" si="12"/>
        <v>-49.78</v>
      </c>
      <c r="R50" s="14">
        <f t="shared" ca="1" si="12"/>
        <v>-50.408999999999999</v>
      </c>
      <c r="S50" s="14">
        <f t="shared" ca="1" si="12"/>
        <v>-51.039000000000001</v>
      </c>
      <c r="T50" s="14">
        <f t="shared" ca="1" si="12"/>
        <v>-53.519000000000005</v>
      </c>
      <c r="U50" s="14">
        <f t="shared" ca="1" si="12"/>
        <v>-55.896000000000001</v>
      </c>
      <c r="V50" s="14">
        <f t="shared" ca="1" si="12"/>
        <v>-58.186999999999998</v>
      </c>
      <c r="W50" s="14">
        <f t="shared" ca="1" si="12"/>
        <v>-60.370999999999995</v>
      </c>
      <c r="X50" s="14">
        <f t="shared" ca="1" si="12"/>
        <v>-62.489000000000004</v>
      </c>
      <c r="Y50" s="14">
        <f t="shared" ca="1" si="12"/>
        <v>0</v>
      </c>
      <c r="Z50" s="14">
        <f t="shared" ca="1" si="12"/>
        <v>0</v>
      </c>
      <c r="AA50" s="14">
        <f t="shared" ca="1" si="12"/>
        <v>0</v>
      </c>
      <c r="AB50" s="14">
        <f t="shared" ca="1" si="12"/>
        <v>0</v>
      </c>
      <c r="AC50" s="14">
        <f t="shared" ca="1" si="12"/>
        <v>0</v>
      </c>
      <c r="AD50" s="14">
        <f t="shared" ca="1" si="12"/>
        <v>0</v>
      </c>
      <c r="AE50" s="14">
        <f t="shared" ca="1" si="12"/>
        <v>0</v>
      </c>
      <c r="AF50" s="14">
        <f t="shared" ca="1" si="12"/>
        <v>0</v>
      </c>
      <c r="AG50" s="14">
        <f t="shared" ca="1" si="12"/>
        <v>0</v>
      </c>
      <c r="AH50" s="14">
        <f t="shared" ca="1" si="12"/>
        <v>0</v>
      </c>
      <c r="AI50" s="14">
        <f t="shared" ca="1" si="12"/>
        <v>0</v>
      </c>
      <c r="AJ50" s="14">
        <f t="shared" ca="1" si="12"/>
        <v>0</v>
      </c>
      <c r="AK50" s="14">
        <f t="shared" ca="1" si="12"/>
        <v>0</v>
      </c>
      <c r="AL50" s="14">
        <f t="shared" ca="1" si="12"/>
        <v>0</v>
      </c>
    </row>
    <row r="51" spans="1:38" ht="21" customHeight="1" outlineLevel="1" thickBot="1" x14ac:dyDescent="0.4">
      <c r="A51" s="5">
        <f t="shared" si="9"/>
        <v>0</v>
      </c>
      <c r="B51" s="5">
        <f t="shared" si="9"/>
        <v>0</v>
      </c>
      <c r="C51" s="5">
        <f t="shared" si="9"/>
        <v>1</v>
      </c>
      <c r="D51" s="5">
        <f t="shared" si="9"/>
        <v>0</v>
      </c>
      <c r="E51" s="6" t="str">
        <f t="shared" si="9"/>
        <v>*Ge[c]</v>
      </c>
      <c r="F51" s="14">
        <f t="shared" ca="1" si="10"/>
        <v>-16.29</v>
      </c>
      <c r="G51" s="14">
        <f t="shared" ca="1" si="12"/>
        <v>-15.52</v>
      </c>
      <c r="H51" s="14">
        <f t="shared" ca="1" si="12"/>
        <v>-14.86</v>
      </c>
      <c r="I51" s="14">
        <f t="shared" ca="1" si="12"/>
        <v>-14.3</v>
      </c>
      <c r="J51" s="14">
        <f t="shared" ca="1" si="12"/>
        <v>-13.17</v>
      </c>
      <c r="K51" s="14">
        <f t="shared" ca="1" si="12"/>
        <v>-7.9130000000000003</v>
      </c>
      <c r="L51" s="14">
        <f t="shared" ca="1" si="12"/>
        <v>-6.851</v>
      </c>
      <c r="M51" s="14">
        <f t="shared" ca="1" si="12"/>
        <v>-5.867</v>
      </c>
      <c r="N51" s="14">
        <f t="shared" ca="1" si="12"/>
        <v>-4.9489999999999998</v>
      </c>
      <c r="O51" s="14">
        <f t="shared" ca="1" si="12"/>
        <v>-4.0949999999999998</v>
      </c>
      <c r="P51" s="14">
        <f t="shared" ca="1" si="12"/>
        <v>-4.1500000000000004</v>
      </c>
      <c r="Q51" s="14">
        <f t="shared" ca="1" si="12"/>
        <v>-4.2</v>
      </c>
      <c r="R51" s="14">
        <f t="shared" ca="1" si="12"/>
        <v>-4.2489999999999997</v>
      </c>
      <c r="S51" s="14">
        <f t="shared" ca="1" si="12"/>
        <v>-4.2990000000000004</v>
      </c>
      <c r="T51" s="14">
        <f t="shared" ca="1" si="12"/>
        <v>-4.4989999999999997</v>
      </c>
      <c r="U51" s="14">
        <f t="shared" ca="1" si="12"/>
        <v>-4.6959999999999997</v>
      </c>
      <c r="V51" s="14">
        <f t="shared" ca="1" si="12"/>
        <v>-4.8869999999999996</v>
      </c>
      <c r="W51" s="14">
        <f t="shared" ca="1" si="12"/>
        <v>-5.0709999999999997</v>
      </c>
      <c r="X51" s="14">
        <f t="shared" ca="1" si="12"/>
        <v>-5.2489999999999997</v>
      </c>
      <c r="Y51" s="14">
        <f t="shared" ca="1" si="12"/>
        <v>0</v>
      </c>
      <c r="Z51" s="14">
        <f t="shared" ca="1" si="12"/>
        <v>0</v>
      </c>
      <c r="AA51" s="14">
        <f t="shared" ca="1" si="12"/>
        <v>0</v>
      </c>
      <c r="AB51" s="14">
        <f t="shared" ca="1" si="12"/>
        <v>0</v>
      </c>
      <c r="AC51" s="14">
        <f t="shared" ca="1" si="12"/>
        <v>0</v>
      </c>
      <c r="AD51" s="14">
        <f t="shared" ca="1" si="12"/>
        <v>0</v>
      </c>
      <c r="AE51" s="14">
        <f t="shared" ca="1" si="12"/>
        <v>0</v>
      </c>
      <c r="AF51" s="14">
        <f t="shared" ca="1" si="12"/>
        <v>0</v>
      </c>
      <c r="AG51" s="14">
        <f t="shared" ca="1" si="12"/>
        <v>0</v>
      </c>
      <c r="AH51" s="14">
        <f t="shared" ca="1" si="12"/>
        <v>0</v>
      </c>
      <c r="AI51" s="14">
        <f t="shared" ca="1" si="12"/>
        <v>0</v>
      </c>
      <c r="AJ51" s="14">
        <f t="shared" ca="1" si="12"/>
        <v>0</v>
      </c>
      <c r="AK51" s="14">
        <f t="shared" ca="1" si="12"/>
        <v>0</v>
      </c>
      <c r="AL51" s="14">
        <f t="shared" ca="1" si="12"/>
        <v>0</v>
      </c>
    </row>
    <row r="52" spans="1:38" ht="21" customHeight="1" outlineLevel="1" thickBot="1" x14ac:dyDescent="0.4">
      <c r="A52" s="5">
        <f t="shared" si="9"/>
        <v>0</v>
      </c>
      <c r="B52" s="5">
        <f t="shared" si="9"/>
        <v>0</v>
      </c>
      <c r="C52" s="5">
        <f t="shared" si="9"/>
        <v>1</v>
      </c>
      <c r="D52" s="5">
        <f t="shared" si="9"/>
        <v>0</v>
      </c>
      <c r="E52" s="6" t="str">
        <f t="shared" si="9"/>
        <v>*Ge[l]</v>
      </c>
      <c r="F52" s="14">
        <f t="shared" ca="1" si="10"/>
        <v>-16.29</v>
      </c>
      <c r="G52" s="14">
        <f t="shared" ca="1" si="12"/>
        <v>-15.52</v>
      </c>
      <c r="H52" s="14">
        <f t="shared" ca="1" si="12"/>
        <v>-14.86</v>
      </c>
      <c r="I52" s="14">
        <f t="shared" ca="1" si="12"/>
        <v>-14.3</v>
      </c>
      <c r="J52" s="14">
        <f t="shared" ca="1" si="12"/>
        <v>-13.17</v>
      </c>
      <c r="K52" s="14">
        <f t="shared" ca="1" si="12"/>
        <v>-7.9130000000000003</v>
      </c>
      <c r="L52" s="14">
        <f t="shared" ca="1" si="12"/>
        <v>-6.851</v>
      </c>
      <c r="M52" s="14">
        <f t="shared" ca="1" si="12"/>
        <v>-5.867</v>
      </c>
      <c r="N52" s="14">
        <f t="shared" ca="1" si="12"/>
        <v>-4.9489999999999998</v>
      </c>
      <c r="O52" s="14">
        <f t="shared" ca="1" si="12"/>
        <v>-4.0949999999999998</v>
      </c>
      <c r="P52" s="14">
        <f t="shared" ca="1" si="12"/>
        <v>-4.1500000000000004</v>
      </c>
      <c r="Q52" s="14">
        <f t="shared" ca="1" si="12"/>
        <v>-4.2</v>
      </c>
      <c r="R52" s="14">
        <f t="shared" ca="1" si="12"/>
        <v>-4.2489999999999997</v>
      </c>
      <c r="S52" s="14">
        <f t="shared" ca="1" si="12"/>
        <v>-4.2990000000000004</v>
      </c>
      <c r="T52" s="14">
        <f t="shared" ca="1" si="12"/>
        <v>-4.4989999999999997</v>
      </c>
      <c r="U52" s="14">
        <f t="shared" ca="1" si="12"/>
        <v>-4.6959999999999997</v>
      </c>
      <c r="V52" s="14">
        <f t="shared" ca="1" si="12"/>
        <v>-4.8869999999999996</v>
      </c>
      <c r="W52" s="14">
        <f t="shared" ca="1" si="12"/>
        <v>-5.0709999999999997</v>
      </c>
      <c r="X52" s="14">
        <f t="shared" ca="1" si="12"/>
        <v>-5.2489999999999997</v>
      </c>
      <c r="Y52" s="14">
        <f t="shared" ca="1" si="12"/>
        <v>0</v>
      </c>
      <c r="Z52" s="14">
        <f t="shared" ca="1" si="12"/>
        <v>0</v>
      </c>
      <c r="AA52" s="14">
        <f t="shared" ca="1" si="12"/>
        <v>0</v>
      </c>
      <c r="AB52" s="14">
        <f t="shared" ca="1" si="12"/>
        <v>0</v>
      </c>
      <c r="AC52" s="14">
        <f t="shared" ca="1" si="12"/>
        <v>0</v>
      </c>
      <c r="AD52" s="14">
        <f t="shared" ca="1" si="12"/>
        <v>0</v>
      </c>
      <c r="AE52" s="14">
        <f t="shared" ca="1" si="12"/>
        <v>0</v>
      </c>
      <c r="AF52" s="14">
        <f t="shared" ca="1" si="12"/>
        <v>0</v>
      </c>
      <c r="AG52" s="14">
        <f t="shared" ca="1" si="12"/>
        <v>0</v>
      </c>
      <c r="AH52" s="14">
        <f t="shared" ca="1" si="12"/>
        <v>0</v>
      </c>
      <c r="AI52" s="14">
        <f t="shared" ca="1" si="12"/>
        <v>0</v>
      </c>
      <c r="AJ52" s="14">
        <f t="shared" ca="1" si="12"/>
        <v>0</v>
      </c>
      <c r="AK52" s="14">
        <f t="shared" ca="1" si="12"/>
        <v>0</v>
      </c>
      <c r="AL52" s="14">
        <f t="shared" ca="1" si="12"/>
        <v>0</v>
      </c>
    </row>
    <row r="53" spans="1:38" ht="21" customHeight="1" outlineLevel="1" thickBot="1" x14ac:dyDescent="0.4">
      <c r="A53" s="5">
        <f t="shared" si="9"/>
        <v>0</v>
      </c>
      <c r="B53" s="5">
        <f t="shared" si="9"/>
        <v>1</v>
      </c>
      <c r="C53" s="5">
        <f t="shared" si="9"/>
        <v>1</v>
      </c>
      <c r="D53" s="5">
        <f t="shared" si="9"/>
        <v>0</v>
      </c>
      <c r="E53" s="6" t="str">
        <f t="shared" si="9"/>
        <v>*GeSe</v>
      </c>
      <c r="F53" s="14">
        <f t="shared" ca="1" si="10"/>
        <v>-39.81</v>
      </c>
      <c r="G53" s="14">
        <f t="shared" ca="1" si="12"/>
        <v>-37.700000000000003</v>
      </c>
      <c r="H53" s="14">
        <f t="shared" ca="1" si="12"/>
        <v>-35.879999999999995</v>
      </c>
      <c r="I53" s="14">
        <f t="shared" ca="1" si="12"/>
        <v>-34.31</v>
      </c>
      <c r="J53" s="14">
        <f t="shared" ca="1" si="12"/>
        <v>-32.94</v>
      </c>
      <c r="K53" s="14">
        <f t="shared" ca="1" si="12"/>
        <v>-28.882999999999999</v>
      </c>
      <c r="L53" s="14">
        <f t="shared" ca="1" si="12"/>
        <v>-28.120999999999999</v>
      </c>
      <c r="M53" s="14">
        <f t="shared" ca="1" si="12"/>
        <v>-27.446999999999999</v>
      </c>
      <c r="N53" s="14">
        <f t="shared" ca="1" si="12"/>
        <v>-26.829000000000001</v>
      </c>
      <c r="O53" s="14">
        <f t="shared" ca="1" si="12"/>
        <v>-26.274999999999999</v>
      </c>
      <c r="P53" s="14">
        <f t="shared" ca="1" si="12"/>
        <v>-26.64</v>
      </c>
      <c r="Q53" s="14">
        <f t="shared" ca="1" si="12"/>
        <v>-26.99</v>
      </c>
      <c r="R53" s="14">
        <f t="shared" ca="1" si="12"/>
        <v>-27.328999999999997</v>
      </c>
      <c r="S53" s="14">
        <f t="shared" ca="1" si="12"/>
        <v>-27.669</v>
      </c>
      <c r="T53" s="14">
        <f t="shared" ca="1" si="12"/>
        <v>-29.009</v>
      </c>
      <c r="U53" s="14">
        <f t="shared" ca="1" si="12"/>
        <v>-30.295999999999999</v>
      </c>
      <c r="V53" s="14">
        <f t="shared" ca="1" si="12"/>
        <v>-31.536999999999999</v>
      </c>
      <c r="W53" s="14">
        <f t="shared" ca="1" si="12"/>
        <v>-32.720999999999997</v>
      </c>
      <c r="X53" s="14">
        <f t="shared" ca="1" si="12"/>
        <v>-33.869</v>
      </c>
      <c r="Y53" s="14">
        <f t="shared" ca="1" si="12"/>
        <v>0</v>
      </c>
      <c r="Z53" s="14">
        <f t="shared" ca="1" si="12"/>
        <v>0</v>
      </c>
      <c r="AA53" s="14">
        <f t="shared" ca="1" si="12"/>
        <v>0</v>
      </c>
      <c r="AB53" s="14">
        <f t="shared" ca="1" si="12"/>
        <v>0</v>
      </c>
      <c r="AC53" s="14">
        <f t="shared" ca="1" si="12"/>
        <v>0</v>
      </c>
      <c r="AD53" s="14">
        <f t="shared" ca="1" si="12"/>
        <v>0</v>
      </c>
      <c r="AE53" s="14">
        <f t="shared" ca="1" si="12"/>
        <v>0</v>
      </c>
      <c r="AF53" s="14">
        <f t="shared" ca="1" si="12"/>
        <v>0</v>
      </c>
      <c r="AG53" s="14">
        <f t="shared" ca="1" si="12"/>
        <v>0</v>
      </c>
      <c r="AH53" s="14">
        <f t="shared" ca="1" si="12"/>
        <v>0</v>
      </c>
      <c r="AI53" s="14">
        <f t="shared" ca="1" si="12"/>
        <v>0</v>
      </c>
      <c r="AJ53" s="14">
        <f t="shared" ca="1" si="12"/>
        <v>0</v>
      </c>
      <c r="AK53" s="14">
        <f t="shared" ca="1" si="12"/>
        <v>0</v>
      </c>
      <c r="AL53" s="14">
        <f t="shared" ca="1" si="12"/>
        <v>0</v>
      </c>
    </row>
    <row r="54" spans="1:38" ht="21" customHeight="1" outlineLevel="1" thickBot="1" x14ac:dyDescent="0.4">
      <c r="A54" s="5">
        <f t="shared" si="9"/>
        <v>0</v>
      </c>
      <c r="B54" s="5">
        <f t="shared" si="9"/>
        <v>0</v>
      </c>
      <c r="C54" s="5">
        <f t="shared" si="9"/>
        <v>2</v>
      </c>
      <c r="D54" s="5">
        <f t="shared" si="9"/>
        <v>0</v>
      </c>
      <c r="E54" s="6" t="str">
        <f t="shared" si="9"/>
        <v>Ge2</v>
      </c>
      <c r="F54" s="14">
        <f t="shared" ca="1" si="10"/>
        <v>-32.58</v>
      </c>
      <c r="G54" s="14">
        <f t="shared" ca="1" si="12"/>
        <v>-31.04</v>
      </c>
      <c r="H54" s="14">
        <f t="shared" ca="1" si="12"/>
        <v>-29.72</v>
      </c>
      <c r="I54" s="14">
        <f t="shared" ca="1" si="12"/>
        <v>-28.6</v>
      </c>
      <c r="J54" s="14">
        <f t="shared" ca="1" si="12"/>
        <v>-26.34</v>
      </c>
      <c r="K54" s="14">
        <f t="shared" ca="1" si="12"/>
        <v>-15.826000000000001</v>
      </c>
      <c r="L54" s="14">
        <f t="shared" ca="1" si="12"/>
        <v>-13.702</v>
      </c>
      <c r="M54" s="14">
        <f t="shared" ca="1" si="12"/>
        <v>-11.734</v>
      </c>
      <c r="N54" s="14">
        <f t="shared" ca="1" si="12"/>
        <v>-9.8979999999999997</v>
      </c>
      <c r="O54" s="14">
        <f t="shared" ca="1" si="12"/>
        <v>-8.19</v>
      </c>
      <c r="P54" s="14">
        <f t="shared" ca="1" si="12"/>
        <v>-8.3000000000000007</v>
      </c>
      <c r="Q54" s="14">
        <f t="shared" ca="1" si="12"/>
        <v>-8.4</v>
      </c>
      <c r="R54" s="14">
        <f t="shared" ca="1" si="12"/>
        <v>-8.4979999999999993</v>
      </c>
      <c r="S54" s="14">
        <f t="shared" ca="1" si="12"/>
        <v>-8.5980000000000008</v>
      </c>
      <c r="T54" s="14">
        <f t="shared" ca="1" si="12"/>
        <v>-8.9979999999999993</v>
      </c>
      <c r="U54" s="14">
        <f t="shared" ref="U54:AL54" ca="1" si="13">$A54*H.Ar + $B54*H.Se + $C54*H.Ge + $D54*H.Ga</f>
        <v>-9.3919999999999995</v>
      </c>
      <c r="V54" s="14">
        <f t="shared" ca="1" si="13"/>
        <v>-9.7739999999999991</v>
      </c>
      <c r="W54" s="14">
        <f t="shared" ca="1" si="13"/>
        <v>-10.141999999999999</v>
      </c>
      <c r="X54" s="14">
        <f t="shared" ca="1" si="13"/>
        <v>-10.497999999999999</v>
      </c>
      <c r="Y54" s="14">
        <f t="shared" ca="1" si="13"/>
        <v>0</v>
      </c>
      <c r="Z54" s="14">
        <f t="shared" ca="1" si="13"/>
        <v>0</v>
      </c>
      <c r="AA54" s="14">
        <f t="shared" ca="1" si="13"/>
        <v>0</v>
      </c>
      <c r="AB54" s="14">
        <f t="shared" ca="1" si="13"/>
        <v>0</v>
      </c>
      <c r="AC54" s="14">
        <f t="shared" ca="1" si="13"/>
        <v>0</v>
      </c>
      <c r="AD54" s="14">
        <f t="shared" ca="1" si="13"/>
        <v>0</v>
      </c>
      <c r="AE54" s="14">
        <f t="shared" ca="1" si="13"/>
        <v>0</v>
      </c>
      <c r="AF54" s="14">
        <f t="shared" ca="1" si="13"/>
        <v>0</v>
      </c>
      <c r="AG54" s="14">
        <f t="shared" ca="1" si="13"/>
        <v>0</v>
      </c>
      <c r="AH54" s="14">
        <f t="shared" ca="1" si="13"/>
        <v>0</v>
      </c>
      <c r="AI54" s="14">
        <f t="shared" ca="1" si="13"/>
        <v>0</v>
      </c>
      <c r="AJ54" s="14">
        <f t="shared" ca="1" si="13"/>
        <v>0</v>
      </c>
      <c r="AK54" s="14">
        <f t="shared" ca="1" si="13"/>
        <v>0</v>
      </c>
      <c r="AL54" s="14">
        <f t="shared" ca="1" si="13"/>
        <v>0</v>
      </c>
    </row>
    <row r="55" spans="1:38" ht="21" customHeight="1" outlineLevel="1" thickBot="1" x14ac:dyDescent="0.4">
      <c r="A55" s="5">
        <f t="shared" si="9"/>
        <v>0</v>
      </c>
      <c r="B55" s="5">
        <f t="shared" si="9"/>
        <v>0</v>
      </c>
      <c r="C55" s="5">
        <f t="shared" si="9"/>
        <v>1</v>
      </c>
      <c r="D55" s="5">
        <f t="shared" si="9"/>
        <v>0</v>
      </c>
      <c r="E55" s="6" t="str">
        <f t="shared" si="9"/>
        <v>Ge</v>
      </c>
      <c r="F55" s="14">
        <f t="shared" ca="1" si="10"/>
        <v>-16.29</v>
      </c>
      <c r="G55" s="14">
        <f t="shared" ref="G55:AL62" ca="1" si="14">$A55*H.Ar + $B55*H.Se + $C55*H.Ge + $D55*H.Ga</f>
        <v>-15.52</v>
      </c>
      <c r="H55" s="14">
        <f t="shared" ca="1" si="14"/>
        <v>-14.86</v>
      </c>
      <c r="I55" s="14">
        <f t="shared" ca="1" si="14"/>
        <v>-14.3</v>
      </c>
      <c r="J55" s="14">
        <f t="shared" ca="1" si="14"/>
        <v>-13.17</v>
      </c>
      <c r="K55" s="14">
        <f t="shared" ca="1" si="14"/>
        <v>-7.9130000000000003</v>
      </c>
      <c r="L55" s="14">
        <f t="shared" ca="1" si="14"/>
        <v>-6.851</v>
      </c>
      <c r="M55" s="14">
        <f t="shared" ca="1" si="14"/>
        <v>-5.867</v>
      </c>
      <c r="N55" s="14">
        <f t="shared" ca="1" si="14"/>
        <v>-4.9489999999999998</v>
      </c>
      <c r="O55" s="14">
        <f t="shared" ca="1" si="14"/>
        <v>-4.0949999999999998</v>
      </c>
      <c r="P55" s="14">
        <f t="shared" ca="1" si="14"/>
        <v>-4.1500000000000004</v>
      </c>
      <c r="Q55" s="14">
        <f t="shared" ca="1" si="14"/>
        <v>-4.2</v>
      </c>
      <c r="R55" s="14">
        <f t="shared" ca="1" si="14"/>
        <v>-4.2489999999999997</v>
      </c>
      <c r="S55" s="14">
        <f t="shared" ca="1" si="14"/>
        <v>-4.2990000000000004</v>
      </c>
      <c r="T55" s="14">
        <f t="shared" ca="1" si="14"/>
        <v>-4.4989999999999997</v>
      </c>
      <c r="U55" s="14">
        <f t="shared" ca="1" si="14"/>
        <v>-4.6959999999999997</v>
      </c>
      <c r="V55" s="14">
        <f t="shared" ca="1" si="14"/>
        <v>-4.8869999999999996</v>
      </c>
      <c r="W55" s="14">
        <f t="shared" ca="1" si="14"/>
        <v>-5.0709999999999997</v>
      </c>
      <c r="X55" s="14">
        <f t="shared" ca="1" si="14"/>
        <v>-5.2489999999999997</v>
      </c>
      <c r="Y55" s="14">
        <f t="shared" ca="1" si="14"/>
        <v>0</v>
      </c>
      <c r="Z55" s="14">
        <f t="shared" ca="1" si="14"/>
        <v>0</v>
      </c>
      <c r="AA55" s="14">
        <f t="shared" ca="1" si="14"/>
        <v>0</v>
      </c>
      <c r="AB55" s="14">
        <f t="shared" ca="1" si="14"/>
        <v>0</v>
      </c>
      <c r="AC55" s="14">
        <f t="shared" ca="1" si="14"/>
        <v>0</v>
      </c>
      <c r="AD55" s="14">
        <f t="shared" ca="1" si="14"/>
        <v>0</v>
      </c>
      <c r="AE55" s="14">
        <f t="shared" ca="1" si="14"/>
        <v>0</v>
      </c>
      <c r="AF55" s="14">
        <f t="shared" ca="1" si="14"/>
        <v>0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customHeight="1" outlineLevel="1" thickBot="1" x14ac:dyDescent="0.4">
      <c r="A56" s="5">
        <f t="shared" ref="A56:E65" si="15">A14</f>
        <v>0</v>
      </c>
      <c r="B56" s="5">
        <f t="shared" si="15"/>
        <v>1</v>
      </c>
      <c r="C56" s="5">
        <f t="shared" si="15"/>
        <v>1</v>
      </c>
      <c r="D56" s="5">
        <f t="shared" si="15"/>
        <v>0</v>
      </c>
      <c r="E56" s="6" t="str">
        <f t="shared" si="15"/>
        <v>GeSe</v>
      </c>
      <c r="F56" s="14">
        <f t="shared" ref="F56:U65" ca="1" si="16">$A56*H.Ar + $B56*H.Se + $C56*H.Ge + $D56*H.Ga</f>
        <v>-39.81</v>
      </c>
      <c r="G56" s="14">
        <f t="shared" ca="1" si="16"/>
        <v>-37.700000000000003</v>
      </c>
      <c r="H56" s="14">
        <f t="shared" ca="1" si="16"/>
        <v>-35.879999999999995</v>
      </c>
      <c r="I56" s="14">
        <f t="shared" ca="1" si="16"/>
        <v>-34.31</v>
      </c>
      <c r="J56" s="14">
        <f t="shared" ca="1" si="16"/>
        <v>-32.94</v>
      </c>
      <c r="K56" s="14">
        <f t="shared" ca="1" si="16"/>
        <v>-28.882999999999999</v>
      </c>
      <c r="L56" s="14">
        <f t="shared" ca="1" si="16"/>
        <v>-28.120999999999999</v>
      </c>
      <c r="M56" s="14">
        <f t="shared" ca="1" si="16"/>
        <v>-27.446999999999999</v>
      </c>
      <c r="N56" s="14">
        <f t="shared" ca="1" si="16"/>
        <v>-26.829000000000001</v>
      </c>
      <c r="O56" s="14">
        <f t="shared" ca="1" si="16"/>
        <v>-26.274999999999999</v>
      </c>
      <c r="P56" s="14">
        <f t="shared" ca="1" si="16"/>
        <v>-26.64</v>
      </c>
      <c r="Q56" s="14">
        <f t="shared" ca="1" si="16"/>
        <v>-26.99</v>
      </c>
      <c r="R56" s="14">
        <f t="shared" ca="1" si="16"/>
        <v>-27.328999999999997</v>
      </c>
      <c r="S56" s="14">
        <f t="shared" ca="1" si="16"/>
        <v>-27.669</v>
      </c>
      <c r="T56" s="14">
        <f t="shared" ca="1" si="16"/>
        <v>-29.009</v>
      </c>
      <c r="U56" s="14">
        <f t="shared" ca="1" si="16"/>
        <v>-30.295999999999999</v>
      </c>
      <c r="V56" s="14">
        <f t="shared" ca="1" si="14"/>
        <v>-31.536999999999999</v>
      </c>
      <c r="W56" s="14">
        <f t="shared" ca="1" si="14"/>
        <v>-32.720999999999997</v>
      </c>
      <c r="X56" s="14">
        <f t="shared" ca="1" si="14"/>
        <v>-33.869</v>
      </c>
      <c r="Y56" s="14">
        <f t="shared" ca="1" si="14"/>
        <v>0</v>
      </c>
      <c r="Z56" s="14">
        <f t="shared" ca="1" si="14"/>
        <v>0</v>
      </c>
      <c r="AA56" s="14">
        <f t="shared" ca="1" si="14"/>
        <v>0</v>
      </c>
      <c r="AB56" s="14">
        <f t="shared" ca="1" si="14"/>
        <v>0</v>
      </c>
      <c r="AC56" s="14">
        <f t="shared" ca="1" si="14"/>
        <v>0</v>
      </c>
      <c r="AD56" s="14">
        <f t="shared" ca="1" si="14"/>
        <v>0</v>
      </c>
      <c r="AE56" s="14">
        <f t="shared" ca="1" si="14"/>
        <v>0</v>
      </c>
      <c r="AF56" s="14">
        <f t="shared" ca="1" si="14"/>
        <v>0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customHeight="1" outlineLevel="1" thickBot="1" x14ac:dyDescent="0.4">
      <c r="A57" s="5">
        <f t="shared" si="15"/>
        <v>0</v>
      </c>
      <c r="B57" s="5">
        <f t="shared" si="15"/>
        <v>2</v>
      </c>
      <c r="C57" s="5">
        <f t="shared" si="15"/>
        <v>0</v>
      </c>
      <c r="D57" s="5">
        <f t="shared" si="15"/>
        <v>0</v>
      </c>
      <c r="E57" s="6" t="str">
        <f t="shared" si="15"/>
        <v>Se2</v>
      </c>
      <c r="F57" s="14">
        <f t="shared" ca="1" si="16"/>
        <v>-47.04</v>
      </c>
      <c r="G57" s="14">
        <f t="shared" ca="1" si="14"/>
        <v>-44.36</v>
      </c>
      <c r="H57" s="14">
        <f t="shared" ca="1" si="14"/>
        <v>-42.04</v>
      </c>
      <c r="I57" s="14">
        <f t="shared" ca="1" si="14"/>
        <v>-40.020000000000003</v>
      </c>
      <c r="J57" s="14">
        <f t="shared" ca="1" si="14"/>
        <v>-39.54</v>
      </c>
      <c r="K57" s="14">
        <f t="shared" ca="1" si="14"/>
        <v>-41.94</v>
      </c>
      <c r="L57" s="14">
        <f t="shared" ca="1" si="14"/>
        <v>-42.54</v>
      </c>
      <c r="M57" s="14">
        <f t="shared" ca="1" si="14"/>
        <v>-43.16</v>
      </c>
      <c r="N57" s="14">
        <f t="shared" ca="1" si="14"/>
        <v>-43.76</v>
      </c>
      <c r="O57" s="14">
        <f t="shared" ca="1" si="14"/>
        <v>-44.36</v>
      </c>
      <c r="P57" s="14">
        <f t="shared" ca="1" si="14"/>
        <v>-44.98</v>
      </c>
      <c r="Q57" s="14">
        <f t="shared" ca="1" si="14"/>
        <v>-45.58</v>
      </c>
      <c r="R57" s="14">
        <f t="shared" ca="1" si="14"/>
        <v>-46.16</v>
      </c>
      <c r="S57" s="14">
        <f t="shared" ca="1" si="14"/>
        <v>-46.74</v>
      </c>
      <c r="T57" s="14">
        <f t="shared" ca="1" si="14"/>
        <v>-49.02</v>
      </c>
      <c r="U57" s="14">
        <f t="shared" ca="1" si="14"/>
        <v>-51.2</v>
      </c>
      <c r="V57" s="14">
        <f t="shared" ca="1" si="14"/>
        <v>-53.3</v>
      </c>
      <c r="W57" s="14">
        <f t="shared" ca="1" si="14"/>
        <v>-55.3</v>
      </c>
      <c r="X57" s="14">
        <f t="shared" ca="1" si="14"/>
        <v>-57.24</v>
      </c>
      <c r="Y57" s="14">
        <f t="shared" ca="1" si="14"/>
        <v>0</v>
      </c>
      <c r="Z57" s="14">
        <f t="shared" ca="1" si="14"/>
        <v>0</v>
      </c>
      <c r="AA57" s="14">
        <f t="shared" ca="1" si="14"/>
        <v>0</v>
      </c>
      <c r="AB57" s="14">
        <f t="shared" ca="1" si="14"/>
        <v>0</v>
      </c>
      <c r="AC57" s="14">
        <f t="shared" ca="1" si="14"/>
        <v>0</v>
      </c>
      <c r="AD57" s="14">
        <f t="shared" ca="1" si="14"/>
        <v>0</v>
      </c>
      <c r="AE57" s="14">
        <f t="shared" ca="1" si="14"/>
        <v>0</v>
      </c>
      <c r="AF57" s="14">
        <f t="shared" ca="1" si="14"/>
        <v>0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customHeight="1" outlineLevel="1" thickBot="1" x14ac:dyDescent="0.4">
      <c r="A58" s="5">
        <f t="shared" si="15"/>
        <v>0</v>
      </c>
      <c r="B58" s="5">
        <f t="shared" si="15"/>
        <v>1</v>
      </c>
      <c r="C58" s="5">
        <f t="shared" si="15"/>
        <v>0</v>
      </c>
      <c r="D58" s="5">
        <f t="shared" si="15"/>
        <v>0</v>
      </c>
      <c r="E58" s="6" t="str">
        <f t="shared" si="15"/>
        <v>Se</v>
      </c>
      <c r="F58" s="14">
        <f t="shared" ca="1" si="16"/>
        <v>-23.52</v>
      </c>
      <c r="G58" s="14">
        <f t="shared" ca="1" si="14"/>
        <v>-22.18</v>
      </c>
      <c r="H58" s="14">
        <f t="shared" ca="1" si="14"/>
        <v>-21.02</v>
      </c>
      <c r="I58" s="14">
        <f t="shared" ca="1" si="14"/>
        <v>-20.010000000000002</v>
      </c>
      <c r="J58" s="14">
        <f t="shared" ca="1" si="14"/>
        <v>-19.77</v>
      </c>
      <c r="K58" s="14">
        <f t="shared" ca="1" si="14"/>
        <v>-20.97</v>
      </c>
      <c r="L58" s="14">
        <f t="shared" ca="1" si="14"/>
        <v>-21.27</v>
      </c>
      <c r="M58" s="14">
        <f t="shared" ca="1" si="14"/>
        <v>-21.58</v>
      </c>
      <c r="N58" s="14">
        <f t="shared" ca="1" si="14"/>
        <v>-21.88</v>
      </c>
      <c r="O58" s="14">
        <f t="shared" ca="1" si="14"/>
        <v>-22.18</v>
      </c>
      <c r="P58" s="14">
        <f t="shared" ca="1" si="14"/>
        <v>-22.49</v>
      </c>
      <c r="Q58" s="14">
        <f t="shared" ca="1" si="14"/>
        <v>-22.79</v>
      </c>
      <c r="R58" s="14">
        <f t="shared" ca="1" si="14"/>
        <v>-23.08</v>
      </c>
      <c r="S58" s="14">
        <f t="shared" ca="1" si="14"/>
        <v>-23.37</v>
      </c>
      <c r="T58" s="14">
        <f t="shared" ca="1" si="14"/>
        <v>-24.51</v>
      </c>
      <c r="U58" s="14">
        <f t="shared" ca="1" si="14"/>
        <v>-25.6</v>
      </c>
      <c r="V58" s="14">
        <f t="shared" ca="1" si="14"/>
        <v>-26.65</v>
      </c>
      <c r="W58" s="14">
        <f t="shared" ca="1" si="14"/>
        <v>-27.65</v>
      </c>
      <c r="X58" s="14">
        <f t="shared" ca="1" si="14"/>
        <v>-28.62</v>
      </c>
      <c r="Y58" s="14">
        <f t="shared" ca="1" si="14"/>
        <v>0</v>
      </c>
      <c r="Z58" s="14">
        <f t="shared" ca="1" si="14"/>
        <v>0</v>
      </c>
      <c r="AA58" s="14">
        <f t="shared" ca="1" si="14"/>
        <v>0</v>
      </c>
      <c r="AB58" s="14">
        <f t="shared" ca="1" si="14"/>
        <v>0</v>
      </c>
      <c r="AC58" s="14">
        <f t="shared" ca="1" si="14"/>
        <v>0</v>
      </c>
      <c r="AD58" s="14">
        <f t="shared" ca="1" si="14"/>
        <v>0</v>
      </c>
      <c r="AE58" s="14">
        <f t="shared" ca="1" si="14"/>
        <v>0</v>
      </c>
      <c r="AF58" s="14">
        <f t="shared" ca="1" si="14"/>
        <v>0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customHeight="1" outlineLevel="1" thickBot="1" x14ac:dyDescent="0.4">
      <c r="A59" s="5">
        <f t="shared" si="15"/>
        <v>1</v>
      </c>
      <c r="B59" s="5">
        <f t="shared" si="15"/>
        <v>0</v>
      </c>
      <c r="C59" s="5">
        <f t="shared" si="15"/>
        <v>0</v>
      </c>
      <c r="D59" s="5">
        <f t="shared" si="15"/>
        <v>0</v>
      </c>
      <c r="E59" s="6" t="str">
        <f t="shared" si="15"/>
        <v>Ar</v>
      </c>
      <c r="F59" s="14">
        <f t="shared" ca="1" si="16"/>
        <v>-18.62</v>
      </c>
      <c r="G59" s="14">
        <f t="shared" ca="1" si="14"/>
        <v>-18.61</v>
      </c>
      <c r="H59" s="14">
        <f t="shared" ca="1" si="14"/>
        <v>-18.61</v>
      </c>
      <c r="I59" s="14">
        <f t="shared" ca="1" si="14"/>
        <v>-18.63</v>
      </c>
      <c r="J59" s="14">
        <f t="shared" ca="1" si="14"/>
        <v>-18.649999999999999</v>
      </c>
      <c r="K59" s="14">
        <f t="shared" ca="1" si="14"/>
        <v>-18.77</v>
      </c>
      <c r="L59" s="14">
        <f t="shared" ca="1" si="14"/>
        <v>-18.809999999999999</v>
      </c>
      <c r="M59" s="14">
        <f t="shared" ca="1" si="14"/>
        <v>-18.84</v>
      </c>
      <c r="N59" s="14">
        <f t="shared" ca="1" si="14"/>
        <v>-18.88</v>
      </c>
      <c r="O59" s="14">
        <f t="shared" ca="1" si="14"/>
        <v>-18.93</v>
      </c>
      <c r="P59" s="14">
        <f t="shared" ca="1" si="14"/>
        <v>-18.97</v>
      </c>
      <c r="Q59" s="14">
        <f t="shared" ca="1" si="14"/>
        <v>-19.010000000000002</v>
      </c>
      <c r="R59" s="14">
        <f t="shared" ca="1" si="14"/>
        <v>-19.05</v>
      </c>
      <c r="S59" s="14">
        <f t="shared" ca="1" si="14"/>
        <v>-19.09</v>
      </c>
      <c r="T59" s="14">
        <f t="shared" ca="1" si="14"/>
        <v>-19.260000000000002</v>
      </c>
      <c r="U59" s="14">
        <f t="shared" ca="1" si="14"/>
        <v>-19.43</v>
      </c>
      <c r="V59" s="14">
        <f t="shared" ca="1" si="14"/>
        <v>-19.59</v>
      </c>
      <c r="W59" s="14">
        <f t="shared" ca="1" si="14"/>
        <v>-19.739999999999998</v>
      </c>
      <c r="X59" s="14">
        <f t="shared" ca="1" si="14"/>
        <v>-19.88</v>
      </c>
      <c r="Y59" s="14">
        <f t="shared" ca="1" si="14"/>
        <v>0</v>
      </c>
      <c r="Z59" s="14">
        <f t="shared" ca="1" si="14"/>
        <v>0</v>
      </c>
      <c r="AA59" s="14">
        <f t="shared" ca="1" si="14"/>
        <v>0</v>
      </c>
      <c r="AB59" s="14">
        <f t="shared" ca="1" si="14"/>
        <v>0</v>
      </c>
      <c r="AC59" s="14">
        <f t="shared" ca="1" si="14"/>
        <v>0</v>
      </c>
      <c r="AD59" s="14">
        <f t="shared" ca="1" si="14"/>
        <v>0</v>
      </c>
      <c r="AE59" s="14">
        <f t="shared" ca="1" si="14"/>
        <v>0</v>
      </c>
      <c r="AF59" s="14">
        <f t="shared" ca="1" si="14"/>
        <v>0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1</v>
      </c>
      <c r="D60" s="5">
        <f t="shared" si="15"/>
        <v>0</v>
      </c>
      <c r="E60" s="6" t="str">
        <f t="shared" si="15"/>
        <v>(1)Ge[l]</v>
      </c>
      <c r="F60" s="14">
        <f t="shared" ca="1" si="16"/>
        <v>-16.29</v>
      </c>
      <c r="G60" s="14">
        <f t="shared" ca="1" si="14"/>
        <v>-15.52</v>
      </c>
      <c r="H60" s="14">
        <f t="shared" ca="1" si="14"/>
        <v>-14.86</v>
      </c>
      <c r="I60" s="14">
        <f t="shared" ca="1" si="14"/>
        <v>-14.3</v>
      </c>
      <c r="J60" s="14">
        <f t="shared" ca="1" si="14"/>
        <v>-13.17</v>
      </c>
      <c r="K60" s="14">
        <f t="shared" ca="1" si="14"/>
        <v>-7.9130000000000003</v>
      </c>
      <c r="L60" s="14">
        <f t="shared" ca="1" si="14"/>
        <v>-6.851</v>
      </c>
      <c r="M60" s="14">
        <f t="shared" ca="1" si="14"/>
        <v>-5.867</v>
      </c>
      <c r="N60" s="14">
        <f t="shared" ca="1" si="14"/>
        <v>-4.9489999999999998</v>
      </c>
      <c r="O60" s="14">
        <f t="shared" ca="1" si="14"/>
        <v>-4.0949999999999998</v>
      </c>
      <c r="P60" s="14">
        <f t="shared" ca="1" si="14"/>
        <v>-4.1500000000000004</v>
      </c>
      <c r="Q60" s="14">
        <f t="shared" ca="1" si="14"/>
        <v>-4.2</v>
      </c>
      <c r="R60" s="14">
        <f t="shared" ca="1" si="14"/>
        <v>-4.2489999999999997</v>
      </c>
      <c r="S60" s="14">
        <f t="shared" ca="1" si="14"/>
        <v>-4.2990000000000004</v>
      </c>
      <c r="T60" s="14">
        <f t="shared" ca="1" si="14"/>
        <v>-4.4989999999999997</v>
      </c>
      <c r="U60" s="14">
        <f t="shared" ca="1" si="14"/>
        <v>-4.6959999999999997</v>
      </c>
      <c r="V60" s="14">
        <f t="shared" ca="1" si="14"/>
        <v>-4.8869999999999996</v>
      </c>
      <c r="W60" s="14">
        <f t="shared" ca="1" si="14"/>
        <v>-5.0709999999999997</v>
      </c>
      <c r="X60" s="14">
        <f t="shared" ca="1" si="14"/>
        <v>-5.2489999999999997</v>
      </c>
      <c r="Y60" s="14">
        <f t="shared" ca="1" si="14"/>
        <v>0</v>
      </c>
      <c r="Z60" s="14">
        <f t="shared" ca="1" si="14"/>
        <v>0</v>
      </c>
      <c r="AA60" s="14">
        <f t="shared" ca="1" si="14"/>
        <v>0</v>
      </c>
      <c r="AB60" s="14">
        <f t="shared" ca="1" si="14"/>
        <v>0</v>
      </c>
      <c r="AC60" s="14">
        <f t="shared" ca="1" si="14"/>
        <v>0</v>
      </c>
      <c r="AD60" s="14">
        <f t="shared" ca="1" si="14"/>
        <v>0</v>
      </c>
      <c r="AE60" s="14">
        <f t="shared" ca="1" si="14"/>
        <v>0</v>
      </c>
      <c r="AF60" s="14">
        <f t="shared" ca="1" si="14"/>
        <v>0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customHeight="1" outlineLevel="1" thickBot="1" x14ac:dyDescent="0.4">
      <c r="A61" s="5">
        <f t="shared" si="15"/>
        <v>0</v>
      </c>
      <c r="B61" s="5">
        <f t="shared" si="15"/>
        <v>1</v>
      </c>
      <c r="C61" s="5">
        <f t="shared" si="15"/>
        <v>0</v>
      </c>
      <c r="D61" s="5">
        <f t="shared" si="15"/>
        <v>0</v>
      </c>
      <c r="E61" s="6" t="str">
        <f t="shared" si="15"/>
        <v>(1)Se[l]</v>
      </c>
      <c r="F61" s="14">
        <f t="shared" ca="1" si="16"/>
        <v>-23.52</v>
      </c>
      <c r="G61" s="14">
        <f t="shared" ca="1" si="14"/>
        <v>-22.18</v>
      </c>
      <c r="H61" s="14">
        <f t="shared" ca="1" si="14"/>
        <v>-21.02</v>
      </c>
      <c r="I61" s="14">
        <f t="shared" ca="1" si="14"/>
        <v>-20.010000000000002</v>
      </c>
      <c r="J61" s="14">
        <f t="shared" ca="1" si="14"/>
        <v>-19.77</v>
      </c>
      <c r="K61" s="14">
        <f t="shared" ca="1" si="14"/>
        <v>-20.97</v>
      </c>
      <c r="L61" s="14">
        <f t="shared" ca="1" si="14"/>
        <v>-21.27</v>
      </c>
      <c r="M61" s="14">
        <f t="shared" ca="1" si="14"/>
        <v>-21.58</v>
      </c>
      <c r="N61" s="14">
        <f t="shared" ca="1" si="14"/>
        <v>-21.88</v>
      </c>
      <c r="O61" s="14">
        <f t="shared" ca="1" si="14"/>
        <v>-22.18</v>
      </c>
      <c r="P61" s="14">
        <f t="shared" ca="1" si="14"/>
        <v>-22.49</v>
      </c>
      <c r="Q61" s="14">
        <f t="shared" ca="1" si="14"/>
        <v>-22.79</v>
      </c>
      <c r="R61" s="14">
        <f t="shared" ca="1" si="14"/>
        <v>-23.08</v>
      </c>
      <c r="S61" s="14">
        <f t="shared" ca="1" si="14"/>
        <v>-23.37</v>
      </c>
      <c r="T61" s="14">
        <f t="shared" ca="1" si="14"/>
        <v>-24.51</v>
      </c>
      <c r="U61" s="14">
        <f t="shared" ca="1" si="14"/>
        <v>-25.6</v>
      </c>
      <c r="V61" s="14">
        <f t="shared" ca="1" si="14"/>
        <v>-26.65</v>
      </c>
      <c r="W61" s="14">
        <f t="shared" ca="1" si="14"/>
        <v>-27.65</v>
      </c>
      <c r="X61" s="14">
        <f t="shared" ca="1" si="14"/>
        <v>-28.62</v>
      </c>
      <c r="Y61" s="14">
        <f t="shared" ca="1" si="14"/>
        <v>0</v>
      </c>
      <c r="Z61" s="14">
        <f t="shared" ca="1" si="14"/>
        <v>0</v>
      </c>
      <c r="AA61" s="14">
        <f t="shared" ca="1" si="14"/>
        <v>0</v>
      </c>
      <c r="AB61" s="14">
        <f t="shared" ca="1" si="14"/>
        <v>0</v>
      </c>
      <c r="AC61" s="14">
        <f t="shared" ca="1" si="14"/>
        <v>0</v>
      </c>
      <c r="AD61" s="14">
        <f t="shared" ca="1" si="14"/>
        <v>0</v>
      </c>
      <c r="AE61" s="14">
        <f t="shared" ca="1" si="14"/>
        <v>0</v>
      </c>
      <c r="AF61" s="14">
        <f t="shared" ca="1" si="14"/>
        <v>0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customHeight="1" outlineLevel="1" thickBot="1" x14ac:dyDescent="0.4">
      <c r="A62" s="5">
        <f t="shared" si="15"/>
        <v>1</v>
      </c>
      <c r="B62" s="5">
        <f t="shared" si="15"/>
        <v>0</v>
      </c>
      <c r="C62" s="5">
        <f t="shared" si="15"/>
        <v>0</v>
      </c>
      <c r="D62" s="5">
        <f t="shared" si="15"/>
        <v>0</v>
      </c>
      <c r="E62" s="6" t="str">
        <f t="shared" si="15"/>
        <v>H (Ar)</v>
      </c>
      <c r="F62" s="14">
        <f t="shared" ca="1" si="16"/>
        <v>-18.62</v>
      </c>
      <c r="G62" s="14">
        <f t="shared" ca="1" si="14"/>
        <v>-18.61</v>
      </c>
      <c r="H62" s="14">
        <f t="shared" ca="1" si="14"/>
        <v>-18.61</v>
      </c>
      <c r="I62" s="14">
        <f t="shared" ca="1" si="14"/>
        <v>-18.63</v>
      </c>
      <c r="J62" s="14">
        <f t="shared" ca="1" si="14"/>
        <v>-18.649999999999999</v>
      </c>
      <c r="K62" s="14">
        <f t="shared" ca="1" si="14"/>
        <v>-18.77</v>
      </c>
      <c r="L62" s="14">
        <f t="shared" ca="1" si="14"/>
        <v>-18.809999999999999</v>
      </c>
      <c r="M62" s="14">
        <f t="shared" ca="1" si="14"/>
        <v>-18.84</v>
      </c>
      <c r="N62" s="14">
        <f t="shared" ca="1" si="14"/>
        <v>-18.88</v>
      </c>
      <c r="O62" s="14">
        <f t="shared" ca="1" si="14"/>
        <v>-18.93</v>
      </c>
      <c r="P62" s="14">
        <f t="shared" ca="1" si="14"/>
        <v>-18.97</v>
      </c>
      <c r="Q62" s="14">
        <f t="shared" ca="1" si="14"/>
        <v>-19.010000000000002</v>
      </c>
      <c r="R62" s="14">
        <f t="shared" ca="1" si="14"/>
        <v>-19.05</v>
      </c>
      <c r="S62" s="14">
        <f t="shared" ca="1" si="14"/>
        <v>-19.09</v>
      </c>
      <c r="T62" s="14">
        <f t="shared" ca="1" si="14"/>
        <v>-19.260000000000002</v>
      </c>
      <c r="U62" s="14">
        <f t="shared" ca="1" si="14"/>
        <v>-19.43</v>
      </c>
      <c r="V62" s="14">
        <f t="shared" ca="1" si="14"/>
        <v>-19.59</v>
      </c>
      <c r="W62" s="14">
        <f t="shared" ca="1" si="14"/>
        <v>-19.739999999999998</v>
      </c>
      <c r="X62" s="14">
        <f t="shared" ca="1" si="14"/>
        <v>-19.88</v>
      </c>
      <c r="Y62" s="14">
        <f t="shared" ca="1" si="14"/>
        <v>0</v>
      </c>
      <c r="Z62" s="14">
        <f t="shared" ca="1" si="14"/>
        <v>0</v>
      </c>
      <c r="AA62" s="14">
        <f t="shared" ca="1" si="14"/>
        <v>0</v>
      </c>
      <c r="AB62" s="14">
        <f t="shared" ca="1" si="14"/>
        <v>0</v>
      </c>
      <c r="AC62" s="14">
        <f t="shared" ca="1" si="14"/>
        <v>0</v>
      </c>
      <c r="AD62" s="14">
        <f t="shared" ca="1" si="14"/>
        <v>0</v>
      </c>
      <c r="AE62" s="14">
        <f t="shared" ca="1" si="14"/>
        <v>0</v>
      </c>
      <c r="AF62" s="14">
        <f t="shared" ca="1" si="14"/>
        <v>0</v>
      </c>
      <c r="AG62" s="14">
        <f t="shared" ca="1" si="14"/>
        <v>0</v>
      </c>
      <c r="AH62" s="14">
        <f t="shared" ca="1" si="14"/>
        <v>0</v>
      </c>
      <c r="AI62" s="14">
        <f t="shared" ref="AI62:AL62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1</v>
      </c>
      <c r="D63" s="5">
        <f t="shared" si="15"/>
        <v>0</v>
      </c>
      <c r="E63" s="6" t="str">
        <f t="shared" si="15"/>
        <v>H (Ge)</v>
      </c>
      <c r="F63" s="14">
        <f t="shared" ca="1" si="16"/>
        <v>-16.29</v>
      </c>
      <c r="G63" s="14">
        <f t="shared" ref="G63:AL71" ca="1" si="18">$A63*H.Ar + $B63*H.Se + $C63*H.Ge + $D63*H.Ga</f>
        <v>-15.52</v>
      </c>
      <c r="H63" s="14">
        <f t="shared" ca="1" si="18"/>
        <v>-14.86</v>
      </c>
      <c r="I63" s="14">
        <f t="shared" ca="1" si="18"/>
        <v>-14.3</v>
      </c>
      <c r="J63" s="14">
        <f t="shared" ca="1" si="18"/>
        <v>-13.17</v>
      </c>
      <c r="K63" s="14">
        <f t="shared" ca="1" si="18"/>
        <v>-7.9130000000000003</v>
      </c>
      <c r="L63" s="14">
        <f t="shared" ca="1" si="18"/>
        <v>-6.851</v>
      </c>
      <c r="M63" s="14">
        <f t="shared" ca="1" si="18"/>
        <v>-5.867</v>
      </c>
      <c r="N63" s="14">
        <f t="shared" ca="1" si="18"/>
        <v>-4.9489999999999998</v>
      </c>
      <c r="O63" s="14">
        <f t="shared" ca="1" si="18"/>
        <v>-4.0949999999999998</v>
      </c>
      <c r="P63" s="14">
        <f t="shared" ca="1" si="18"/>
        <v>-4.1500000000000004</v>
      </c>
      <c r="Q63" s="14">
        <f t="shared" ca="1" si="18"/>
        <v>-4.2</v>
      </c>
      <c r="R63" s="14">
        <f t="shared" ca="1" si="18"/>
        <v>-4.2489999999999997</v>
      </c>
      <c r="S63" s="14">
        <f t="shared" ca="1" si="18"/>
        <v>-4.2990000000000004</v>
      </c>
      <c r="T63" s="14">
        <f t="shared" ca="1" si="18"/>
        <v>-4.4989999999999997</v>
      </c>
      <c r="U63" s="14">
        <f t="shared" ca="1" si="18"/>
        <v>-4.6959999999999997</v>
      </c>
      <c r="V63" s="14">
        <f t="shared" ca="1" si="18"/>
        <v>-4.8869999999999996</v>
      </c>
      <c r="W63" s="14">
        <f t="shared" ca="1" si="18"/>
        <v>-5.0709999999999997</v>
      </c>
      <c r="X63" s="14">
        <f t="shared" ca="1" si="18"/>
        <v>-5.2489999999999997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</row>
    <row r="64" spans="1:38" ht="21" customHeight="1" outlineLevel="1" thickBot="1" x14ac:dyDescent="0.4">
      <c r="A64" s="5">
        <f t="shared" si="15"/>
        <v>0</v>
      </c>
      <c r="B64" s="5">
        <f t="shared" si="15"/>
        <v>1</v>
      </c>
      <c r="C64" s="5">
        <f t="shared" si="15"/>
        <v>0</v>
      </c>
      <c r="D64" s="5">
        <f t="shared" si="15"/>
        <v>0</v>
      </c>
      <c r="E64" s="6" t="str">
        <f t="shared" si="15"/>
        <v>H (Se)</v>
      </c>
      <c r="F64" s="14">
        <f t="shared" ca="1" si="16"/>
        <v>-23.52</v>
      </c>
      <c r="G64" s="14">
        <f t="shared" ca="1" si="18"/>
        <v>-22.18</v>
      </c>
      <c r="H64" s="14">
        <f t="shared" ca="1" si="18"/>
        <v>-21.02</v>
      </c>
      <c r="I64" s="14">
        <f t="shared" ca="1" si="18"/>
        <v>-20.010000000000002</v>
      </c>
      <c r="J64" s="14">
        <f t="shared" ca="1" si="18"/>
        <v>-19.77</v>
      </c>
      <c r="K64" s="14">
        <f t="shared" ca="1" si="18"/>
        <v>-20.97</v>
      </c>
      <c r="L64" s="14">
        <f t="shared" ca="1" si="18"/>
        <v>-21.27</v>
      </c>
      <c r="M64" s="14">
        <f t="shared" ca="1" si="18"/>
        <v>-21.58</v>
      </c>
      <c r="N64" s="14">
        <f t="shared" ca="1" si="18"/>
        <v>-21.88</v>
      </c>
      <c r="O64" s="14">
        <f t="shared" ca="1" si="18"/>
        <v>-22.18</v>
      </c>
      <c r="P64" s="14">
        <f t="shared" ca="1" si="18"/>
        <v>-22.49</v>
      </c>
      <c r="Q64" s="14">
        <f t="shared" ca="1" si="18"/>
        <v>-22.79</v>
      </c>
      <c r="R64" s="14">
        <f t="shared" ca="1" si="18"/>
        <v>-23.08</v>
      </c>
      <c r="S64" s="14">
        <f t="shared" ca="1" si="18"/>
        <v>-23.37</v>
      </c>
      <c r="T64" s="14">
        <f t="shared" ca="1" si="18"/>
        <v>-24.51</v>
      </c>
      <c r="U64" s="14">
        <f t="shared" ca="1" si="18"/>
        <v>-25.6</v>
      </c>
      <c r="V64" s="14">
        <f t="shared" ca="1" si="18"/>
        <v>-26.65</v>
      </c>
      <c r="W64" s="14">
        <f t="shared" ca="1" si="18"/>
        <v>-27.65</v>
      </c>
      <c r="X64" s="14">
        <f t="shared" ca="1" si="18"/>
        <v>-28.62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</row>
    <row r="65" spans="1:54" ht="2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</row>
    <row r="66" spans="1:54" ht="2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</row>
    <row r="67" spans="1:54" ht="2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</row>
    <row r="68" spans="1:54" ht="2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</row>
    <row r="69" spans="1:54" ht="2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</row>
    <row r="70" spans="1:54" ht="2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</row>
    <row r="71" spans="1:54" ht="2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Q71:AL71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</row>
    <row r="72" spans="1:54" ht="2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ref="G72:AL74" ca="1" si="22">$A72*H.Ar + $B72*H.Se + $C72*H.Ge + $D72*H.Ga</f>
        <v>0</v>
      </c>
      <c r="H72" s="14">
        <f t="shared" ca="1" si="22"/>
        <v>0</v>
      </c>
      <c r="I72" s="14">
        <f t="shared" ca="1" si="22"/>
        <v>0</v>
      </c>
      <c r="J72" s="14">
        <f t="shared" ca="1" si="22"/>
        <v>0</v>
      </c>
      <c r="K72" s="14">
        <f t="shared" ca="1" si="22"/>
        <v>0</v>
      </c>
      <c r="L72" s="14">
        <f t="shared" ca="1" si="22"/>
        <v>0</v>
      </c>
      <c r="M72" s="14">
        <f t="shared" ca="1" si="22"/>
        <v>0</v>
      </c>
      <c r="N72" s="14">
        <f t="shared" ca="1" si="22"/>
        <v>0</v>
      </c>
      <c r="O72" s="14">
        <f t="shared" ca="1" si="22"/>
        <v>0</v>
      </c>
      <c r="P72" s="14">
        <f t="shared" ca="1" si="22"/>
        <v>0</v>
      </c>
      <c r="Q72" s="14">
        <f t="shared" ca="1" si="22"/>
        <v>0</v>
      </c>
      <c r="R72" s="14">
        <f t="shared" ca="1" si="22"/>
        <v>0</v>
      </c>
      <c r="S72" s="14">
        <f t="shared" ca="1" si="22"/>
        <v>0</v>
      </c>
      <c r="T72" s="14">
        <f t="shared" ca="1" si="22"/>
        <v>0</v>
      </c>
      <c r="U72" s="14">
        <f t="shared" ca="1" si="22"/>
        <v>0</v>
      </c>
      <c r="V72" s="14">
        <f t="shared" ca="1" si="22"/>
        <v>0</v>
      </c>
      <c r="W72" s="14">
        <f t="shared" ca="1" si="22"/>
        <v>0</v>
      </c>
      <c r="X72" s="14">
        <f t="shared" ca="1" si="22"/>
        <v>0</v>
      </c>
      <c r="Y72" s="14">
        <f t="shared" ca="1" si="22"/>
        <v>0</v>
      </c>
      <c r="Z72" s="14">
        <f t="shared" ca="1" si="22"/>
        <v>0</v>
      </c>
      <c r="AA72" s="14">
        <f t="shared" ca="1" si="22"/>
        <v>0</v>
      </c>
      <c r="AB72" s="14">
        <f t="shared" ca="1" si="22"/>
        <v>0</v>
      </c>
      <c r="AC72" s="14">
        <f t="shared" ca="1" si="22"/>
        <v>0</v>
      </c>
      <c r="AD72" s="14">
        <f t="shared" ca="1" si="22"/>
        <v>0</v>
      </c>
      <c r="AE72" s="14">
        <f t="shared" ca="1" si="22"/>
        <v>0</v>
      </c>
      <c r="AF72" s="14">
        <f t="shared" ca="1" si="22"/>
        <v>0</v>
      </c>
      <c r="AG72" s="14">
        <f t="shared" ca="1" si="22"/>
        <v>0</v>
      </c>
      <c r="AH72" s="14">
        <f t="shared" ca="1" si="22"/>
        <v>0</v>
      </c>
      <c r="AI72" s="14">
        <f t="shared" ca="1" si="22"/>
        <v>0</v>
      </c>
      <c r="AJ72" s="14">
        <f t="shared" ca="1" si="22"/>
        <v>0</v>
      </c>
      <c r="AK72" s="14">
        <f t="shared" ca="1" si="22"/>
        <v>0</v>
      </c>
      <c r="AL72" s="14">
        <f t="shared" ca="1" si="22"/>
        <v>0</v>
      </c>
    </row>
    <row r="73" spans="1:54" ht="2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2"/>
        <v>0</v>
      </c>
      <c r="H73" s="14">
        <f t="shared" ca="1" si="22"/>
        <v>0</v>
      </c>
      <c r="I73" s="14">
        <f t="shared" ca="1" si="22"/>
        <v>0</v>
      </c>
      <c r="J73" s="14">
        <f t="shared" ca="1" si="22"/>
        <v>0</v>
      </c>
      <c r="K73" s="14">
        <f t="shared" ca="1" si="22"/>
        <v>0</v>
      </c>
      <c r="L73" s="14">
        <f t="shared" ca="1" si="22"/>
        <v>0</v>
      </c>
      <c r="M73" s="14">
        <f t="shared" ca="1" si="22"/>
        <v>0</v>
      </c>
      <c r="N73" s="14">
        <f t="shared" ca="1" si="22"/>
        <v>0</v>
      </c>
      <c r="O73" s="14">
        <f t="shared" ca="1" si="22"/>
        <v>0</v>
      </c>
      <c r="P73" s="14">
        <f t="shared" ca="1" si="22"/>
        <v>0</v>
      </c>
      <c r="Q73" s="14">
        <f t="shared" ca="1" si="22"/>
        <v>0</v>
      </c>
      <c r="R73" s="14">
        <f t="shared" ca="1" si="22"/>
        <v>0</v>
      </c>
      <c r="S73" s="14">
        <f t="shared" ca="1" si="22"/>
        <v>0</v>
      </c>
      <c r="T73" s="14">
        <f t="shared" ca="1" si="22"/>
        <v>0</v>
      </c>
      <c r="U73" s="14">
        <f t="shared" ca="1" si="22"/>
        <v>0</v>
      </c>
      <c r="V73" s="14">
        <f t="shared" ca="1" si="22"/>
        <v>0</v>
      </c>
      <c r="W73" s="14">
        <f t="shared" ca="1" si="22"/>
        <v>0</v>
      </c>
      <c r="X73" s="14">
        <f t="shared" ca="1" si="22"/>
        <v>0</v>
      </c>
      <c r="Y73" s="14">
        <f t="shared" ca="1" si="22"/>
        <v>0</v>
      </c>
      <c r="Z73" s="14">
        <f t="shared" ca="1" si="22"/>
        <v>0</v>
      </c>
      <c r="AA73" s="14">
        <f t="shared" ca="1" si="22"/>
        <v>0</v>
      </c>
      <c r="AB73" s="14">
        <f t="shared" ca="1" si="22"/>
        <v>0</v>
      </c>
      <c r="AC73" s="14">
        <f t="shared" ca="1" si="22"/>
        <v>0</v>
      </c>
      <c r="AD73" s="14">
        <f t="shared" ca="1" si="22"/>
        <v>0</v>
      </c>
      <c r="AE73" s="14">
        <f t="shared" ca="1" si="22"/>
        <v>0</v>
      </c>
      <c r="AF73" s="14">
        <f t="shared" ca="1" si="22"/>
        <v>0</v>
      </c>
      <c r="AG73" s="14">
        <f t="shared" ca="1" si="22"/>
        <v>0</v>
      </c>
      <c r="AH73" s="14">
        <f t="shared" ca="1" si="22"/>
        <v>0</v>
      </c>
      <c r="AI73" s="14">
        <f t="shared" ca="1" si="22"/>
        <v>0</v>
      </c>
      <c r="AJ73" s="14">
        <f t="shared" ca="1" si="22"/>
        <v>0</v>
      </c>
      <c r="AK73" s="14">
        <f t="shared" ca="1" si="22"/>
        <v>0</v>
      </c>
      <c r="AL73" s="14">
        <f t="shared" ca="1" si="22"/>
        <v>0</v>
      </c>
    </row>
    <row r="74" spans="1:54" ht="2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2"/>
        <v>0</v>
      </c>
      <c r="H74" s="14">
        <f t="shared" ca="1" si="22"/>
        <v>0</v>
      </c>
      <c r="I74" s="14">
        <f t="shared" ca="1" si="22"/>
        <v>0</v>
      </c>
      <c r="J74" s="14">
        <f t="shared" ca="1" si="22"/>
        <v>0</v>
      </c>
      <c r="K74" s="14">
        <f t="shared" ca="1" si="22"/>
        <v>0</v>
      </c>
      <c r="L74" s="14">
        <f t="shared" ca="1" si="22"/>
        <v>0</v>
      </c>
      <c r="M74" s="14">
        <f t="shared" ca="1" si="22"/>
        <v>0</v>
      </c>
      <c r="N74" s="14">
        <f t="shared" ca="1" si="22"/>
        <v>0</v>
      </c>
      <c r="O74" s="14">
        <f t="shared" ca="1" si="22"/>
        <v>0</v>
      </c>
      <c r="P74" s="14">
        <f t="shared" ca="1" si="22"/>
        <v>0</v>
      </c>
      <c r="Q74" s="14">
        <f t="shared" ca="1" si="22"/>
        <v>0</v>
      </c>
      <c r="R74" s="14">
        <f t="shared" ca="1" si="22"/>
        <v>0</v>
      </c>
      <c r="S74" s="14">
        <f t="shared" ca="1" si="22"/>
        <v>0</v>
      </c>
      <c r="T74" s="14">
        <f t="shared" ca="1" si="22"/>
        <v>0</v>
      </c>
      <c r="U74" s="14">
        <f t="shared" ca="1" si="22"/>
        <v>0</v>
      </c>
      <c r="V74" s="14">
        <f t="shared" ca="1" si="22"/>
        <v>0</v>
      </c>
      <c r="W74" s="14">
        <f t="shared" ca="1" si="22"/>
        <v>0</v>
      </c>
      <c r="X74" s="14">
        <f t="shared" ca="1" si="22"/>
        <v>0</v>
      </c>
      <c r="Y74" s="14">
        <f t="shared" ca="1" si="22"/>
        <v>0</v>
      </c>
      <c r="Z74" s="14">
        <f t="shared" ca="1" si="22"/>
        <v>0</v>
      </c>
      <c r="AA74" s="14">
        <f t="shared" ca="1" si="22"/>
        <v>0</v>
      </c>
      <c r="AB74" s="14">
        <f t="shared" ca="1" si="22"/>
        <v>0</v>
      </c>
      <c r="AC74" s="14">
        <f t="shared" ca="1" si="22"/>
        <v>0</v>
      </c>
      <c r="AD74" s="14">
        <f t="shared" ca="1" si="22"/>
        <v>0</v>
      </c>
      <c r="AE74" s="14">
        <f t="shared" ca="1" si="22"/>
        <v>0</v>
      </c>
      <c r="AF74" s="14">
        <f t="shared" ca="1" si="22"/>
        <v>0</v>
      </c>
      <c r="AG74" s="14">
        <f t="shared" ca="1" si="22"/>
        <v>0</v>
      </c>
      <c r="AH74" s="14">
        <f t="shared" ca="1" si="22"/>
        <v>0</v>
      </c>
      <c r="AI74" s="14">
        <f t="shared" ca="1" si="22"/>
        <v>0</v>
      </c>
      <c r="AJ74" s="14">
        <f t="shared" ca="1" si="22"/>
        <v>0</v>
      </c>
      <c r="AK74" s="14">
        <f t="shared" ca="1" si="22"/>
        <v>0</v>
      </c>
      <c r="AL74" s="14">
        <f t="shared" ca="1" si="22"/>
        <v>0</v>
      </c>
    </row>
    <row r="75" spans="1:54" ht="2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customHeight="1" outlineLevel="1" x14ac:dyDescent="0.35">
      <c r="U76" s="55"/>
      <c r="V76" s="55"/>
      <c r="W76" s="55"/>
    </row>
    <row r="77" spans="1:54" ht="21" customHeight="1" x14ac:dyDescent="0.35">
      <c r="U77" s="55"/>
      <c r="V77" s="55"/>
      <c r="W77" s="55"/>
    </row>
    <row r="78" spans="1:54" ht="21" customHeight="1" thickBot="1" x14ac:dyDescent="0.45">
      <c r="A78" s="88"/>
      <c r="B78" s="88"/>
      <c r="C78" s="89">
        <f>E41</f>
        <v>3.125</v>
      </c>
      <c r="D78" s="75"/>
      <c r="E78" s="74" t="s">
        <v>23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3">E45</f>
        <v>Temperature,К</v>
      </c>
      <c r="F79" s="3">
        <f t="shared" ref="F79:AL79" si="24">F3</f>
        <v>273.10000000000002</v>
      </c>
      <c r="G79" s="3">
        <f t="shared" si="24"/>
        <v>293.3</v>
      </c>
      <c r="H79" s="3">
        <f t="shared" si="24"/>
        <v>313.5</v>
      </c>
      <c r="I79" s="3">
        <f t="shared" si="24"/>
        <v>333.7</v>
      </c>
      <c r="J79" s="3">
        <f t="shared" si="24"/>
        <v>353.9</v>
      </c>
      <c r="K79" s="3">
        <f t="shared" si="24"/>
        <v>434.7</v>
      </c>
      <c r="L79" s="3">
        <f t="shared" si="24"/>
        <v>454.9</v>
      </c>
      <c r="M79" s="3">
        <f t="shared" si="24"/>
        <v>475.1</v>
      </c>
      <c r="N79" s="3">
        <f t="shared" si="24"/>
        <v>495.2</v>
      </c>
      <c r="O79" s="3">
        <f t="shared" si="24"/>
        <v>515.4</v>
      </c>
      <c r="P79" s="3">
        <f t="shared" si="24"/>
        <v>535.6</v>
      </c>
      <c r="Q79" s="3">
        <f t="shared" si="24"/>
        <v>555.79999999999995</v>
      </c>
      <c r="R79" s="3">
        <f t="shared" si="24"/>
        <v>576</v>
      </c>
      <c r="S79" s="3">
        <f t="shared" si="24"/>
        <v>596.20000000000005</v>
      </c>
      <c r="T79" s="3">
        <f t="shared" si="24"/>
        <v>677</v>
      </c>
      <c r="U79" s="3">
        <f t="shared" si="24"/>
        <v>757.7</v>
      </c>
      <c r="V79" s="3">
        <f t="shared" si="24"/>
        <v>838.5</v>
      </c>
      <c r="W79" s="3">
        <f t="shared" si="24"/>
        <v>919.2</v>
      </c>
      <c r="X79" s="3">
        <f t="shared" si="24"/>
        <v>1000</v>
      </c>
      <c r="Y79" s="3">
        <f t="shared" si="24"/>
        <v>0</v>
      </c>
      <c r="Z79" s="3">
        <f t="shared" si="24"/>
        <v>0</v>
      </c>
      <c r="AA79" s="3">
        <f t="shared" si="24"/>
        <v>0</v>
      </c>
      <c r="AB79" s="3">
        <f t="shared" si="24"/>
        <v>0</v>
      </c>
      <c r="AC79" s="3">
        <f t="shared" si="24"/>
        <v>0</v>
      </c>
      <c r="AD79" s="3">
        <f t="shared" si="24"/>
        <v>0</v>
      </c>
      <c r="AE79" s="3">
        <f t="shared" si="24"/>
        <v>0</v>
      </c>
      <c r="AF79" s="3">
        <f t="shared" si="24"/>
        <v>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customHeight="1" outlineLevel="1" thickTop="1" thickBot="1" x14ac:dyDescent="0.4">
      <c r="A80" s="5">
        <f>A46</f>
        <v>0</v>
      </c>
      <c r="B80" s="5">
        <f t="shared" ref="B80:D80" si="25">B46</f>
        <v>4</v>
      </c>
      <c r="C80" s="5">
        <f t="shared" si="25"/>
        <v>3</v>
      </c>
      <c r="D80" s="5">
        <f t="shared" si="25"/>
        <v>0</v>
      </c>
      <c r="E80" s="6" t="str">
        <f t="shared" si="23"/>
        <v>*Ge3Se4</v>
      </c>
      <c r="F80" s="14">
        <f t="shared" ref="F80:AL80" si="26">F4*$C$78</f>
        <v>5.4149999999999998E-12</v>
      </c>
      <c r="G80" s="14">
        <f t="shared" si="26"/>
        <v>1.8330625000000002E-11</v>
      </c>
      <c r="H80" s="14">
        <f t="shared" si="26"/>
        <v>6.965625E-12</v>
      </c>
      <c r="I80" s="14">
        <f t="shared" si="26"/>
        <v>4.7865624999999996E-25</v>
      </c>
      <c r="J80" s="14">
        <f t="shared" si="26"/>
        <v>3.1309375E-27</v>
      </c>
      <c r="K80" s="14">
        <f t="shared" si="26"/>
        <v>9.8918749999999995E-21</v>
      </c>
      <c r="L80" s="14">
        <f t="shared" si="26"/>
        <v>4.3434375000000004E-23</v>
      </c>
      <c r="M80" s="14">
        <f t="shared" si="26"/>
        <v>2.1601562499999997E-28</v>
      </c>
      <c r="N80" s="14">
        <f t="shared" si="26"/>
        <v>0</v>
      </c>
      <c r="O80" s="14">
        <f t="shared" si="26"/>
        <v>0</v>
      </c>
      <c r="P80" s="14">
        <f t="shared" si="26"/>
        <v>0</v>
      </c>
      <c r="Q80" s="14">
        <f t="shared" si="26"/>
        <v>0</v>
      </c>
      <c r="R80" s="14">
        <f t="shared" si="26"/>
        <v>0</v>
      </c>
      <c r="S80" s="14">
        <f t="shared" si="26"/>
        <v>0</v>
      </c>
      <c r="T80" s="14">
        <f t="shared" si="26"/>
        <v>0</v>
      </c>
      <c r="U80" s="14">
        <f t="shared" si="26"/>
        <v>0</v>
      </c>
      <c r="V80" s="14">
        <f t="shared" si="26"/>
        <v>0</v>
      </c>
      <c r="W80" s="14">
        <f t="shared" si="26"/>
        <v>0</v>
      </c>
      <c r="X80" s="14">
        <f t="shared" si="26"/>
        <v>0</v>
      </c>
      <c r="Y80" s="14">
        <f t="shared" si="26"/>
        <v>0</v>
      </c>
      <c r="Z80" s="14">
        <f t="shared" si="26"/>
        <v>0</v>
      </c>
      <c r="AA80" s="14">
        <f t="shared" si="26"/>
        <v>0</v>
      </c>
      <c r="AB80" s="14">
        <f t="shared" si="26"/>
        <v>0</v>
      </c>
      <c r="AC80" s="14">
        <f t="shared" si="26"/>
        <v>0</v>
      </c>
      <c r="AD80" s="14">
        <f t="shared" si="26"/>
        <v>0</v>
      </c>
      <c r="AE80" s="14">
        <f t="shared" si="26"/>
        <v>0</v>
      </c>
      <c r="AF80" s="14">
        <f t="shared" si="26"/>
        <v>0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customHeight="1" outlineLevel="1" thickBot="1" x14ac:dyDescent="0.4">
      <c r="A81" s="5">
        <f t="shared" ref="A81:D96" si="27">A47</f>
        <v>0</v>
      </c>
      <c r="B81" s="5">
        <f t="shared" si="27"/>
        <v>5</v>
      </c>
      <c r="C81" s="5">
        <f t="shared" si="27"/>
        <v>4</v>
      </c>
      <c r="D81" s="5">
        <f t="shared" si="27"/>
        <v>0</v>
      </c>
      <c r="E81" s="6" t="str">
        <f t="shared" si="23"/>
        <v>*Ge4Se5</v>
      </c>
      <c r="F81" s="14">
        <f t="shared" ref="F81:AL81" si="28">F5*$C$78</f>
        <v>5.2518749999999996E-12</v>
      </c>
      <c r="G81" s="14">
        <f t="shared" si="28"/>
        <v>1.7439375000000001E-11</v>
      </c>
      <c r="H81" s="14">
        <f t="shared" si="28"/>
        <v>7.0168750000000002E-12</v>
      </c>
      <c r="I81" s="14">
        <f t="shared" si="28"/>
        <v>1.66815625E-24</v>
      </c>
      <c r="J81" s="14">
        <f t="shared" si="28"/>
        <v>2.2098124999999998E-26</v>
      </c>
      <c r="K81" s="14">
        <f t="shared" si="28"/>
        <v>1.25028125E-19</v>
      </c>
      <c r="L81" s="14">
        <f t="shared" si="28"/>
        <v>7.7640625000000003E-22</v>
      </c>
      <c r="M81" s="14">
        <f t="shared" si="28"/>
        <v>5.6425000000000007E-27</v>
      </c>
      <c r="N81" s="14">
        <f t="shared" si="28"/>
        <v>0</v>
      </c>
      <c r="O81" s="14">
        <f t="shared" si="28"/>
        <v>0</v>
      </c>
      <c r="P81" s="14">
        <f t="shared" si="28"/>
        <v>0</v>
      </c>
      <c r="Q81" s="14">
        <f t="shared" si="28"/>
        <v>0</v>
      </c>
      <c r="R81" s="14">
        <f t="shared" si="28"/>
        <v>0</v>
      </c>
      <c r="S81" s="14">
        <f t="shared" si="28"/>
        <v>0</v>
      </c>
      <c r="T81" s="14">
        <f t="shared" si="28"/>
        <v>0</v>
      </c>
      <c r="U81" s="14">
        <f t="shared" si="28"/>
        <v>0</v>
      </c>
      <c r="V81" s="14">
        <f t="shared" si="28"/>
        <v>0</v>
      </c>
      <c r="W81" s="14">
        <f t="shared" si="28"/>
        <v>0</v>
      </c>
      <c r="X81" s="14">
        <f t="shared" si="28"/>
        <v>0</v>
      </c>
      <c r="Y81" s="14">
        <f t="shared" si="28"/>
        <v>0</v>
      </c>
      <c r="Z81" s="14">
        <f t="shared" si="28"/>
        <v>0</v>
      </c>
      <c r="AA81" s="14">
        <f t="shared" si="28"/>
        <v>0</v>
      </c>
      <c r="AB81" s="14">
        <f t="shared" si="28"/>
        <v>0</v>
      </c>
      <c r="AC81" s="14">
        <f t="shared" si="28"/>
        <v>0</v>
      </c>
      <c r="AD81" s="14">
        <f t="shared" si="28"/>
        <v>0</v>
      </c>
      <c r="AE81" s="14">
        <f t="shared" si="28"/>
        <v>0</v>
      </c>
      <c r="AF81" s="14">
        <f t="shared" si="28"/>
        <v>0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customHeight="1" outlineLevel="1" thickBot="1" x14ac:dyDescent="0.4">
      <c r="A82" s="5">
        <f t="shared" si="27"/>
        <v>0</v>
      </c>
      <c r="B82" s="5">
        <f t="shared" si="27"/>
        <v>0</v>
      </c>
      <c r="C82" s="5">
        <f t="shared" si="27"/>
        <v>1</v>
      </c>
      <c r="D82" s="5">
        <f t="shared" si="27"/>
        <v>0</v>
      </c>
      <c r="E82" s="6" t="str">
        <f t="shared" si="23"/>
        <v>*Ge</v>
      </c>
      <c r="F82" s="14">
        <f t="shared" ref="F82:AL82" si="29">F6*$C$78</f>
        <v>0</v>
      </c>
      <c r="G82" s="14">
        <f t="shared" si="29"/>
        <v>0</v>
      </c>
      <c r="H82" s="14">
        <f t="shared" si="29"/>
        <v>0</v>
      </c>
      <c r="I82" s="14">
        <f t="shared" si="29"/>
        <v>0</v>
      </c>
      <c r="J82" s="14">
        <f t="shared" si="29"/>
        <v>0</v>
      </c>
      <c r="K82" s="14">
        <f t="shared" si="29"/>
        <v>1.5647187499999999E-18</v>
      </c>
      <c r="L82" s="14">
        <f t="shared" si="29"/>
        <v>5.4565624999999994E-14</v>
      </c>
      <c r="M82" s="14">
        <f t="shared" si="29"/>
        <v>1.4691250000000001E-10</v>
      </c>
      <c r="N82" s="14">
        <f t="shared" si="29"/>
        <v>6.3034374999999999E-9</v>
      </c>
      <c r="O82" s="14">
        <f t="shared" si="29"/>
        <v>8.6037500000000003E-2</v>
      </c>
      <c r="P82" s="14">
        <f t="shared" si="29"/>
        <v>0.5</v>
      </c>
      <c r="Q82" s="14">
        <f t="shared" si="29"/>
        <v>0.5</v>
      </c>
      <c r="R82" s="14">
        <f t="shared" si="29"/>
        <v>0.5</v>
      </c>
      <c r="S82" s="14">
        <f t="shared" si="29"/>
        <v>0.5</v>
      </c>
      <c r="T82" s="14">
        <f t="shared" si="29"/>
        <v>0.5</v>
      </c>
      <c r="U82" s="14">
        <f t="shared" si="29"/>
        <v>0.5</v>
      </c>
      <c r="V82" s="14">
        <f t="shared" si="29"/>
        <v>0.5</v>
      </c>
      <c r="W82" s="14">
        <f t="shared" si="29"/>
        <v>0.5</v>
      </c>
      <c r="X82" s="14">
        <f t="shared" si="29"/>
        <v>0.5</v>
      </c>
      <c r="Y82" s="14">
        <f t="shared" si="29"/>
        <v>0</v>
      </c>
      <c r="Z82" s="14">
        <f t="shared" si="29"/>
        <v>0</v>
      </c>
      <c r="AA82" s="14">
        <f t="shared" si="29"/>
        <v>0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customHeight="1" outlineLevel="1" thickBot="1" x14ac:dyDescent="0.4">
      <c r="A83" s="5">
        <f t="shared" si="27"/>
        <v>0</v>
      </c>
      <c r="B83" s="5">
        <f t="shared" si="27"/>
        <v>1</v>
      </c>
      <c r="C83" s="5">
        <f t="shared" si="27"/>
        <v>0</v>
      </c>
      <c r="D83" s="5">
        <f t="shared" si="27"/>
        <v>0</v>
      </c>
      <c r="E83" s="6" t="str">
        <f t="shared" si="23"/>
        <v>*Se[m]</v>
      </c>
      <c r="F83" s="14">
        <f t="shared" ref="F83:AL83" si="30">F7*$C$78</f>
        <v>8.3765625000000004E-25</v>
      </c>
      <c r="G83" s="14">
        <f t="shared" si="30"/>
        <v>6.4046874999999996E-17</v>
      </c>
      <c r="H83" s="14">
        <f t="shared" si="30"/>
        <v>1.1253437500000001E-10</v>
      </c>
      <c r="I83" s="14">
        <f t="shared" si="30"/>
        <v>8.7865625000000004E-8</v>
      </c>
      <c r="J83" s="14">
        <f t="shared" si="30"/>
        <v>0.5</v>
      </c>
      <c r="K83" s="14">
        <f t="shared" si="30"/>
        <v>0.5</v>
      </c>
      <c r="L83" s="14">
        <f t="shared" si="30"/>
        <v>0.5</v>
      </c>
      <c r="M83" s="14">
        <f t="shared" si="30"/>
        <v>0.5</v>
      </c>
      <c r="N83" s="14">
        <f t="shared" si="30"/>
        <v>0.5</v>
      </c>
      <c r="O83" s="14">
        <f t="shared" si="30"/>
        <v>0.67206250000000001</v>
      </c>
      <c r="P83" s="14">
        <f t="shared" si="30"/>
        <v>1.5</v>
      </c>
      <c r="Q83" s="14">
        <f t="shared" si="30"/>
        <v>1.5</v>
      </c>
      <c r="R83" s="14">
        <f t="shared" si="30"/>
        <v>1.5</v>
      </c>
      <c r="S83" s="14">
        <f t="shared" si="30"/>
        <v>1.5</v>
      </c>
      <c r="T83" s="14">
        <f t="shared" si="30"/>
        <v>1.5</v>
      </c>
      <c r="U83" s="14">
        <f t="shared" si="30"/>
        <v>1.5</v>
      </c>
      <c r="V83" s="14">
        <f t="shared" si="30"/>
        <v>1.5</v>
      </c>
      <c r="W83" s="14">
        <f t="shared" si="30"/>
        <v>1.5</v>
      </c>
      <c r="X83" s="14">
        <f t="shared" si="30"/>
        <v>1.5</v>
      </c>
      <c r="Y83" s="14">
        <f t="shared" si="30"/>
        <v>0</v>
      </c>
      <c r="Z83" s="14">
        <f t="shared" si="30"/>
        <v>0</v>
      </c>
      <c r="AA83" s="14">
        <f t="shared" si="30"/>
        <v>0</v>
      </c>
      <c r="AB83" s="14">
        <f t="shared" si="30"/>
        <v>0</v>
      </c>
      <c r="AC83" s="14">
        <f t="shared" si="30"/>
        <v>0</v>
      </c>
      <c r="AD83" s="14">
        <f t="shared" si="30"/>
        <v>0</v>
      </c>
      <c r="AE83" s="14">
        <f t="shared" si="30"/>
        <v>0</v>
      </c>
      <c r="AF83" s="14">
        <f t="shared" si="30"/>
        <v>0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customHeight="1" outlineLevel="1" thickBot="1" x14ac:dyDescent="0.4">
      <c r="A84" s="5">
        <f t="shared" si="27"/>
        <v>0</v>
      </c>
      <c r="B84" s="5">
        <f t="shared" si="27"/>
        <v>2</v>
      </c>
      <c r="C84" s="5">
        <f t="shared" si="27"/>
        <v>1</v>
      </c>
      <c r="D84" s="5">
        <f t="shared" si="27"/>
        <v>0</v>
      </c>
      <c r="E84" s="6" t="str">
        <f t="shared" si="23"/>
        <v>*GeSe2</v>
      </c>
      <c r="F84" s="14">
        <f t="shared" ref="F84:AL84" si="31">F8*$C$78</f>
        <v>0.5</v>
      </c>
      <c r="G84" s="14">
        <f t="shared" si="31"/>
        <v>0.5</v>
      </c>
      <c r="H84" s="14">
        <f t="shared" si="31"/>
        <v>0.5</v>
      </c>
      <c r="I84" s="14">
        <f t="shared" si="31"/>
        <v>0.5</v>
      </c>
      <c r="J84" s="14">
        <f t="shared" si="31"/>
        <v>1.6952812500000001E-8</v>
      </c>
      <c r="K84" s="14">
        <f t="shared" si="31"/>
        <v>9.8343749999999989E-18</v>
      </c>
      <c r="L84" s="14">
        <f t="shared" si="31"/>
        <v>1.06690625E-20</v>
      </c>
      <c r="M84" s="14">
        <f t="shared" si="31"/>
        <v>4.1353124999999995E-26</v>
      </c>
      <c r="N84" s="14">
        <f t="shared" si="31"/>
        <v>0</v>
      </c>
      <c r="O84" s="14">
        <f t="shared" si="31"/>
        <v>0</v>
      </c>
      <c r="P84" s="14">
        <f t="shared" si="31"/>
        <v>0</v>
      </c>
      <c r="Q84" s="14">
        <f t="shared" si="31"/>
        <v>0</v>
      </c>
      <c r="R84" s="14">
        <f t="shared" si="31"/>
        <v>0</v>
      </c>
      <c r="S84" s="14">
        <f t="shared" si="31"/>
        <v>0</v>
      </c>
      <c r="T84" s="14">
        <f t="shared" si="31"/>
        <v>0</v>
      </c>
      <c r="U84" s="14">
        <f t="shared" si="31"/>
        <v>0</v>
      </c>
      <c r="V84" s="14">
        <f t="shared" si="31"/>
        <v>0</v>
      </c>
      <c r="W84" s="14">
        <f t="shared" si="31"/>
        <v>0</v>
      </c>
      <c r="X84" s="14">
        <f t="shared" si="31"/>
        <v>0</v>
      </c>
      <c r="Y84" s="14">
        <f t="shared" si="31"/>
        <v>0</v>
      </c>
      <c r="Z84" s="14">
        <f t="shared" si="31"/>
        <v>0</v>
      </c>
      <c r="AA84" s="14">
        <f t="shared" si="31"/>
        <v>0</v>
      </c>
      <c r="AB84" s="14">
        <f t="shared" si="31"/>
        <v>0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customHeight="1" outlineLevel="1" thickBot="1" x14ac:dyDescent="0.4">
      <c r="A85" s="5">
        <f t="shared" si="27"/>
        <v>0</v>
      </c>
      <c r="B85" s="5">
        <f t="shared" si="27"/>
        <v>0</v>
      </c>
      <c r="C85" s="5">
        <f t="shared" si="27"/>
        <v>1</v>
      </c>
      <c r="D85" s="5">
        <f t="shared" si="27"/>
        <v>0</v>
      </c>
      <c r="E85" s="6" t="str">
        <f t="shared" si="23"/>
        <v>*Ge[c]</v>
      </c>
      <c r="F85" s="14">
        <f t="shared" ref="F85:AL85" si="32">F9*$C$78</f>
        <v>0</v>
      </c>
      <c r="G85" s="14">
        <f t="shared" si="32"/>
        <v>0</v>
      </c>
      <c r="H85" s="14">
        <f t="shared" si="32"/>
        <v>0</v>
      </c>
      <c r="I85" s="14">
        <f t="shared" si="32"/>
        <v>0</v>
      </c>
      <c r="J85" s="14">
        <f t="shared" si="32"/>
        <v>0</v>
      </c>
      <c r="K85" s="14">
        <f t="shared" si="32"/>
        <v>1.5647187499999999E-18</v>
      </c>
      <c r="L85" s="14">
        <f t="shared" si="32"/>
        <v>5.4565624999999994E-14</v>
      </c>
      <c r="M85" s="14">
        <f t="shared" si="32"/>
        <v>1.4691250000000001E-10</v>
      </c>
      <c r="N85" s="14">
        <f t="shared" si="32"/>
        <v>6.3034374999999999E-9</v>
      </c>
      <c r="O85" s="14">
        <f t="shared" si="32"/>
        <v>8.6037500000000003E-2</v>
      </c>
      <c r="P85" s="14">
        <f t="shared" si="32"/>
        <v>0.5</v>
      </c>
      <c r="Q85" s="14">
        <f t="shared" si="32"/>
        <v>0.5</v>
      </c>
      <c r="R85" s="14">
        <f t="shared" si="32"/>
        <v>0.5</v>
      </c>
      <c r="S85" s="14">
        <f t="shared" si="32"/>
        <v>0.5</v>
      </c>
      <c r="T85" s="14">
        <f t="shared" si="32"/>
        <v>0.5</v>
      </c>
      <c r="U85" s="14">
        <f t="shared" si="32"/>
        <v>0.5</v>
      </c>
      <c r="V85" s="14">
        <f t="shared" si="32"/>
        <v>0.5</v>
      </c>
      <c r="W85" s="14">
        <f t="shared" si="32"/>
        <v>0.5</v>
      </c>
      <c r="X85" s="14">
        <f t="shared" si="32"/>
        <v>0.5</v>
      </c>
      <c r="Y85" s="14">
        <f t="shared" si="32"/>
        <v>0</v>
      </c>
      <c r="Z85" s="14">
        <f t="shared" si="32"/>
        <v>0</v>
      </c>
      <c r="AA85" s="14">
        <f t="shared" si="32"/>
        <v>0</v>
      </c>
      <c r="AB85" s="14">
        <f t="shared" si="32"/>
        <v>0</v>
      </c>
      <c r="AC85" s="14">
        <f t="shared" si="32"/>
        <v>0</v>
      </c>
      <c r="AD85" s="14">
        <f t="shared" si="32"/>
        <v>0</v>
      </c>
      <c r="AE85" s="14">
        <f t="shared" si="32"/>
        <v>0</v>
      </c>
      <c r="AF85" s="14">
        <f t="shared" si="32"/>
        <v>0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customHeight="1" outlineLevel="1" thickBot="1" x14ac:dyDescent="0.4">
      <c r="A86" s="5">
        <f t="shared" si="27"/>
        <v>0</v>
      </c>
      <c r="B86" s="5">
        <f t="shared" si="27"/>
        <v>0</v>
      </c>
      <c r="C86" s="5">
        <f t="shared" si="27"/>
        <v>1</v>
      </c>
      <c r="D86" s="5">
        <f t="shared" si="27"/>
        <v>0</v>
      </c>
      <c r="E86" s="6" t="str">
        <f t="shared" si="23"/>
        <v>*Ge[l]</v>
      </c>
      <c r="F86" s="14">
        <f t="shared" ref="F86:AL86" si="33">F10*$C$78</f>
        <v>0</v>
      </c>
      <c r="G86" s="14">
        <f t="shared" si="33"/>
        <v>0</v>
      </c>
      <c r="H86" s="14">
        <f t="shared" si="33"/>
        <v>0</v>
      </c>
      <c r="I86" s="14">
        <f t="shared" si="33"/>
        <v>0</v>
      </c>
      <c r="J86" s="14">
        <f t="shared" si="33"/>
        <v>0</v>
      </c>
      <c r="K86" s="14">
        <f t="shared" si="33"/>
        <v>0</v>
      </c>
      <c r="L86" s="14">
        <f t="shared" si="33"/>
        <v>0</v>
      </c>
      <c r="M86" s="14">
        <f t="shared" si="33"/>
        <v>0</v>
      </c>
      <c r="N86" s="14">
        <f t="shared" si="33"/>
        <v>0</v>
      </c>
      <c r="O86" s="14">
        <f t="shared" si="33"/>
        <v>0</v>
      </c>
      <c r="P86" s="14">
        <f t="shared" si="33"/>
        <v>0</v>
      </c>
      <c r="Q86" s="14">
        <f t="shared" si="33"/>
        <v>3.2809374999999998E-30</v>
      </c>
      <c r="R86" s="14">
        <f t="shared" si="33"/>
        <v>6.330000000000001E-23</v>
      </c>
      <c r="S86" s="14">
        <f t="shared" si="33"/>
        <v>3.5525000000000002E-18</v>
      </c>
      <c r="T86" s="14">
        <f t="shared" si="33"/>
        <v>1.1136250000000001E-12</v>
      </c>
      <c r="U86" s="14">
        <f t="shared" si="33"/>
        <v>1.5864687499999999E-11</v>
      </c>
      <c r="V86" s="14">
        <f t="shared" si="33"/>
        <v>1.5308749999999999E-10</v>
      </c>
      <c r="W86" s="14">
        <f t="shared" si="33"/>
        <v>1.2215625E-9</v>
      </c>
      <c r="X86" s="14">
        <f t="shared" si="33"/>
        <v>9.0599999999999997E-9</v>
      </c>
      <c r="Y86" s="14">
        <f t="shared" si="33"/>
        <v>0</v>
      </c>
      <c r="Z86" s="14">
        <f t="shared" si="33"/>
        <v>0</v>
      </c>
      <c r="AA86" s="14">
        <f t="shared" si="33"/>
        <v>0</v>
      </c>
      <c r="AB86" s="14">
        <f t="shared" si="33"/>
        <v>0</v>
      </c>
      <c r="AC86" s="14">
        <f t="shared" si="33"/>
        <v>0</v>
      </c>
      <c r="AD86" s="14">
        <f t="shared" si="33"/>
        <v>0</v>
      </c>
      <c r="AE86" s="14">
        <f t="shared" si="33"/>
        <v>0</v>
      </c>
      <c r="AF86" s="14">
        <f t="shared" si="33"/>
        <v>0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customHeight="1" outlineLevel="1" thickBot="1" x14ac:dyDescent="0.4">
      <c r="A87" s="5">
        <f t="shared" si="27"/>
        <v>0</v>
      </c>
      <c r="B87" s="5">
        <f t="shared" si="27"/>
        <v>1</v>
      </c>
      <c r="C87" s="5">
        <f t="shared" si="27"/>
        <v>1</v>
      </c>
      <c r="D87" s="5">
        <f t="shared" si="27"/>
        <v>0</v>
      </c>
      <c r="E87" s="6" t="str">
        <f t="shared" si="23"/>
        <v>*GeSe</v>
      </c>
      <c r="F87" s="14">
        <f t="shared" ref="F87:AL87" si="34">F11*$C$78</f>
        <v>0.5</v>
      </c>
      <c r="G87" s="14">
        <f t="shared" si="34"/>
        <v>0.5</v>
      </c>
      <c r="H87" s="14">
        <f t="shared" si="34"/>
        <v>0.5</v>
      </c>
      <c r="I87" s="14">
        <f t="shared" si="34"/>
        <v>0.5</v>
      </c>
      <c r="J87" s="14">
        <f t="shared" si="34"/>
        <v>1</v>
      </c>
      <c r="K87" s="14">
        <f t="shared" si="34"/>
        <v>1</v>
      </c>
      <c r="L87" s="14">
        <f t="shared" si="34"/>
        <v>1</v>
      </c>
      <c r="M87" s="14">
        <f t="shared" si="34"/>
        <v>1</v>
      </c>
      <c r="N87" s="14">
        <f t="shared" si="34"/>
        <v>1</v>
      </c>
      <c r="O87" s="14">
        <f t="shared" si="34"/>
        <v>0.82793749999999999</v>
      </c>
      <c r="P87" s="14">
        <f t="shared" si="34"/>
        <v>1.4548750000000001E-8</v>
      </c>
      <c r="Q87" s="14">
        <f t="shared" si="34"/>
        <v>6.1915625E-10</v>
      </c>
      <c r="R87" s="14">
        <f t="shared" si="34"/>
        <v>4.8968749999999996E-11</v>
      </c>
      <c r="S87" s="14">
        <f t="shared" si="34"/>
        <v>1.4929062499999999E-11</v>
      </c>
      <c r="T87" s="14">
        <f t="shared" si="34"/>
        <v>5.8909375000000001E-21</v>
      </c>
      <c r="U87" s="14">
        <f t="shared" si="34"/>
        <v>4.0999999999999995E-36</v>
      </c>
      <c r="V87" s="14">
        <f t="shared" si="34"/>
        <v>0</v>
      </c>
      <c r="W87" s="14">
        <f t="shared" si="34"/>
        <v>0</v>
      </c>
      <c r="X87" s="14">
        <f t="shared" si="34"/>
        <v>0</v>
      </c>
      <c r="Y87" s="14">
        <f t="shared" si="34"/>
        <v>0</v>
      </c>
      <c r="Z87" s="14">
        <f t="shared" si="34"/>
        <v>0</v>
      </c>
      <c r="AA87" s="14">
        <f t="shared" si="34"/>
        <v>0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customHeight="1" outlineLevel="1" thickBot="1" x14ac:dyDescent="0.4">
      <c r="A88" s="5">
        <f t="shared" si="27"/>
        <v>0</v>
      </c>
      <c r="B88" s="5">
        <f t="shared" si="27"/>
        <v>0</v>
      </c>
      <c r="C88" s="5">
        <f t="shared" si="27"/>
        <v>2</v>
      </c>
      <c r="D88" s="5">
        <f t="shared" si="27"/>
        <v>0</v>
      </c>
      <c r="E88" s="6" t="str">
        <f t="shared" si="23"/>
        <v>Ge2</v>
      </c>
      <c r="F88" s="14">
        <f t="shared" ref="F88:AL88" si="35">F12*$C$78</f>
        <v>0</v>
      </c>
      <c r="G88" s="14">
        <f t="shared" si="35"/>
        <v>0</v>
      </c>
      <c r="H88" s="14">
        <f t="shared" si="35"/>
        <v>0</v>
      </c>
      <c r="I88" s="14">
        <f t="shared" si="35"/>
        <v>0</v>
      </c>
      <c r="J88" s="14">
        <f t="shared" si="35"/>
        <v>0</v>
      </c>
      <c r="K88" s="14">
        <f t="shared" si="35"/>
        <v>0</v>
      </c>
      <c r="L88" s="14">
        <f t="shared" si="35"/>
        <v>0</v>
      </c>
      <c r="M88" s="14">
        <f t="shared" si="35"/>
        <v>0</v>
      </c>
      <c r="N88" s="14">
        <f t="shared" si="35"/>
        <v>0</v>
      </c>
      <c r="O88" s="14">
        <f t="shared" si="35"/>
        <v>0</v>
      </c>
      <c r="P88" s="14">
        <f t="shared" si="35"/>
        <v>0</v>
      </c>
      <c r="Q88" s="14">
        <f t="shared" si="35"/>
        <v>0</v>
      </c>
      <c r="R88" s="14">
        <f t="shared" si="35"/>
        <v>8.8784374999999994E-35</v>
      </c>
      <c r="S88" s="14">
        <f t="shared" si="35"/>
        <v>2.6932187499999999E-33</v>
      </c>
      <c r="T88" s="14">
        <f t="shared" si="35"/>
        <v>2.9516875000000001E-28</v>
      </c>
      <c r="U88" s="14">
        <f t="shared" si="35"/>
        <v>2.68909375E-24</v>
      </c>
      <c r="V88" s="14">
        <f t="shared" si="35"/>
        <v>4.1771874999999998E-21</v>
      </c>
      <c r="W88" s="14">
        <f t="shared" si="35"/>
        <v>1.7634687500000001E-18</v>
      </c>
      <c r="X88" s="14">
        <f t="shared" si="35"/>
        <v>2.7745312499999998E-16</v>
      </c>
      <c r="Y88" s="14">
        <f t="shared" si="35"/>
        <v>0</v>
      </c>
      <c r="Z88" s="14">
        <f t="shared" si="35"/>
        <v>0</v>
      </c>
      <c r="AA88" s="14">
        <f t="shared" si="35"/>
        <v>0</v>
      </c>
      <c r="AB88" s="14">
        <f t="shared" si="35"/>
        <v>0</v>
      </c>
      <c r="AC88" s="14">
        <f t="shared" si="35"/>
        <v>0</v>
      </c>
      <c r="AD88" s="14">
        <f t="shared" si="35"/>
        <v>0</v>
      </c>
      <c r="AE88" s="14">
        <f t="shared" si="35"/>
        <v>0</v>
      </c>
      <c r="AF88" s="14">
        <f t="shared" si="35"/>
        <v>0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customHeight="1" outlineLevel="1" thickBot="1" x14ac:dyDescent="0.4">
      <c r="A89" s="5">
        <f t="shared" si="27"/>
        <v>0</v>
      </c>
      <c r="B89" s="5">
        <f t="shared" si="27"/>
        <v>0</v>
      </c>
      <c r="C89" s="5">
        <f t="shared" si="27"/>
        <v>1</v>
      </c>
      <c r="D89" s="5">
        <f t="shared" si="27"/>
        <v>0</v>
      </c>
      <c r="E89" s="6" t="str">
        <f t="shared" si="23"/>
        <v>Ge</v>
      </c>
      <c r="F89" s="14">
        <f t="shared" ref="F89:AL89" si="36">F13*$C$78</f>
        <v>0</v>
      </c>
      <c r="G89" s="14">
        <f t="shared" si="36"/>
        <v>0</v>
      </c>
      <c r="H89" s="14">
        <f t="shared" si="36"/>
        <v>0</v>
      </c>
      <c r="I89" s="14">
        <f t="shared" si="36"/>
        <v>0</v>
      </c>
      <c r="J89" s="14">
        <f t="shared" si="36"/>
        <v>0</v>
      </c>
      <c r="K89" s="14">
        <f t="shared" si="36"/>
        <v>0</v>
      </c>
      <c r="L89" s="14">
        <f t="shared" si="36"/>
        <v>0</v>
      </c>
      <c r="M89" s="14">
        <f t="shared" si="36"/>
        <v>1.9129999999999999E-35</v>
      </c>
      <c r="N89" s="14">
        <f t="shared" si="36"/>
        <v>2.3588749999999999E-33</v>
      </c>
      <c r="O89" s="14">
        <f t="shared" si="36"/>
        <v>2.0243125000000002E-31</v>
      </c>
      <c r="P89" s="14">
        <f t="shared" si="36"/>
        <v>5.3634375000000002E-30</v>
      </c>
      <c r="Q89" s="14">
        <f t="shared" si="36"/>
        <v>1.127625E-28</v>
      </c>
      <c r="R89" s="14">
        <f t="shared" si="36"/>
        <v>1.9163125000000001E-27</v>
      </c>
      <c r="S89" s="14">
        <f t="shared" si="36"/>
        <v>2.6896562499999998E-26</v>
      </c>
      <c r="T89" s="14">
        <f t="shared" si="36"/>
        <v>2.1681562499999998E-22</v>
      </c>
      <c r="U89" s="14">
        <f t="shared" si="36"/>
        <v>2.57921875E-19</v>
      </c>
      <c r="V89" s="14">
        <f t="shared" si="36"/>
        <v>7.8562500000000007E-17</v>
      </c>
      <c r="W89" s="14">
        <f t="shared" si="36"/>
        <v>8.763125000000001E-15</v>
      </c>
      <c r="X89" s="14">
        <f t="shared" si="36"/>
        <v>4.5618749999999997E-13</v>
      </c>
      <c r="Y89" s="14">
        <f t="shared" si="36"/>
        <v>0</v>
      </c>
      <c r="Z89" s="14">
        <f t="shared" si="36"/>
        <v>0</v>
      </c>
      <c r="AA89" s="14">
        <f t="shared" si="36"/>
        <v>0</v>
      </c>
      <c r="AB89" s="14">
        <f t="shared" si="36"/>
        <v>0</v>
      </c>
      <c r="AC89" s="14">
        <f t="shared" si="36"/>
        <v>0</v>
      </c>
      <c r="AD89" s="14">
        <f t="shared" si="36"/>
        <v>0</v>
      </c>
      <c r="AE89" s="14">
        <f t="shared" si="36"/>
        <v>0</v>
      </c>
      <c r="AF89" s="14">
        <f t="shared" si="36"/>
        <v>0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customHeight="1" outlineLevel="1" thickBot="1" x14ac:dyDescent="0.4">
      <c r="A90" s="5">
        <f t="shared" si="27"/>
        <v>0</v>
      </c>
      <c r="B90" s="5">
        <f t="shared" si="27"/>
        <v>1</v>
      </c>
      <c r="C90" s="5">
        <f t="shared" si="27"/>
        <v>1</v>
      </c>
      <c r="D90" s="5">
        <f t="shared" si="27"/>
        <v>0</v>
      </c>
      <c r="E90" s="6" t="str">
        <f t="shared" si="23"/>
        <v>GeSe</v>
      </c>
      <c r="F90" s="14">
        <f t="shared" ref="F90:AL90" si="37">F14*$C$78</f>
        <v>0</v>
      </c>
      <c r="G90" s="14">
        <f t="shared" si="37"/>
        <v>4.6215625000000004E-36</v>
      </c>
      <c r="H90" s="14">
        <f t="shared" si="37"/>
        <v>4.6103124999999994E-34</v>
      </c>
      <c r="I90" s="14">
        <f t="shared" si="37"/>
        <v>2.6167812500000003E-32</v>
      </c>
      <c r="J90" s="14">
        <f t="shared" si="37"/>
        <v>9.3096874999999994E-31</v>
      </c>
      <c r="K90" s="14">
        <f t="shared" si="37"/>
        <v>5.1553125E-26</v>
      </c>
      <c r="L90" s="14">
        <f t="shared" si="37"/>
        <v>4.2696874999999998E-25</v>
      </c>
      <c r="M90" s="14">
        <f t="shared" si="37"/>
        <v>2.9437187499999998E-24</v>
      </c>
      <c r="N90" s="14">
        <f t="shared" si="37"/>
        <v>1.7279062499999999E-23</v>
      </c>
      <c r="O90" s="14">
        <f t="shared" si="37"/>
        <v>8.7887500000000002E-23</v>
      </c>
      <c r="P90" s="14">
        <f t="shared" si="37"/>
        <v>1.66934375E-22</v>
      </c>
      <c r="Q90" s="14">
        <f t="shared" si="37"/>
        <v>2.9965624999999999E-22</v>
      </c>
      <c r="R90" s="14">
        <f t="shared" si="37"/>
        <v>5.0787499999999998E-22</v>
      </c>
      <c r="S90" s="14">
        <f t="shared" si="37"/>
        <v>8.1771874999999996E-22</v>
      </c>
      <c r="T90" s="14">
        <f t="shared" si="37"/>
        <v>3.6290624999999998E-21</v>
      </c>
      <c r="U90" s="14">
        <f t="shared" si="37"/>
        <v>9.8187499999999995E-21</v>
      </c>
      <c r="V90" s="14">
        <f t="shared" si="37"/>
        <v>1.8861874999999998E-20</v>
      </c>
      <c r="W90" s="14">
        <f t="shared" si="37"/>
        <v>2.8330000000000004E-20</v>
      </c>
      <c r="X90" s="14">
        <f t="shared" si="37"/>
        <v>3.5456250000000003E-20</v>
      </c>
      <c r="Y90" s="14">
        <f t="shared" si="37"/>
        <v>0</v>
      </c>
      <c r="Z90" s="14">
        <f t="shared" si="37"/>
        <v>0</v>
      </c>
      <c r="AA90" s="14">
        <f t="shared" si="37"/>
        <v>0</v>
      </c>
      <c r="AB90" s="14">
        <f t="shared" si="37"/>
        <v>0</v>
      </c>
      <c r="AC90" s="14">
        <f t="shared" si="37"/>
        <v>0</v>
      </c>
      <c r="AD90" s="14">
        <f t="shared" si="37"/>
        <v>0</v>
      </c>
      <c r="AE90" s="14">
        <f t="shared" si="37"/>
        <v>0</v>
      </c>
      <c r="AF90" s="14">
        <f t="shared" si="37"/>
        <v>0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customHeight="1" outlineLevel="1" thickBot="1" x14ac:dyDescent="0.4">
      <c r="A91" s="5">
        <f t="shared" si="27"/>
        <v>0</v>
      </c>
      <c r="B91" s="5">
        <f t="shared" si="27"/>
        <v>2</v>
      </c>
      <c r="C91" s="5">
        <f t="shared" si="27"/>
        <v>0</v>
      </c>
      <c r="D91" s="5">
        <f t="shared" si="27"/>
        <v>0</v>
      </c>
      <c r="E91" s="6" t="str">
        <f t="shared" si="23"/>
        <v>Se2</v>
      </c>
      <c r="F91" s="14">
        <f t="shared" ref="F91:AL91" si="38">F15*$C$78</f>
        <v>5.3165624999999997E-36</v>
      </c>
      <c r="G91" s="14">
        <f t="shared" si="38"/>
        <v>6.0434374999999996E-33</v>
      </c>
      <c r="H91" s="14">
        <f t="shared" si="38"/>
        <v>2.7752499999999999E-30</v>
      </c>
      <c r="I91" s="14">
        <f t="shared" si="38"/>
        <v>6.0678125000000001E-28</v>
      </c>
      <c r="J91" s="14">
        <f t="shared" si="38"/>
        <v>1.9893750000000001E-26</v>
      </c>
      <c r="K91" s="14">
        <f t="shared" si="38"/>
        <v>2.0680625E-23</v>
      </c>
      <c r="L91" s="14">
        <f t="shared" si="38"/>
        <v>7.1000000000000003E-23</v>
      </c>
      <c r="M91" s="14">
        <f t="shared" si="38"/>
        <v>2.10459375E-22</v>
      </c>
      <c r="N91" s="14">
        <f t="shared" si="38"/>
        <v>5.4909374999999998E-22</v>
      </c>
      <c r="O91" s="14">
        <f t="shared" si="38"/>
        <v>1.2855625000000001E-21</v>
      </c>
      <c r="P91" s="14">
        <f t="shared" si="38"/>
        <v>2.71078125E-21</v>
      </c>
      <c r="Q91" s="14">
        <f t="shared" si="38"/>
        <v>5.2600000000000004E-21</v>
      </c>
      <c r="R91" s="14">
        <f t="shared" si="38"/>
        <v>9.4531249999999994E-21</v>
      </c>
      <c r="S91" s="14">
        <f t="shared" si="38"/>
        <v>1.5869062499999998E-20</v>
      </c>
      <c r="T91" s="14">
        <f t="shared" si="38"/>
        <v>7.270625E-20</v>
      </c>
      <c r="U91" s="14">
        <f t="shared" si="38"/>
        <v>1.7364062499999999E-19</v>
      </c>
      <c r="V91" s="14">
        <f t="shared" si="38"/>
        <v>2.6519999999999999E-19</v>
      </c>
      <c r="W91" s="14">
        <f t="shared" si="38"/>
        <v>2.9454374999999997E-19</v>
      </c>
      <c r="X91" s="14">
        <f t="shared" si="38"/>
        <v>2.5876249999999998E-19</v>
      </c>
      <c r="Y91" s="14">
        <f t="shared" si="38"/>
        <v>0</v>
      </c>
      <c r="Z91" s="14">
        <f t="shared" si="38"/>
        <v>0</v>
      </c>
      <c r="AA91" s="14">
        <f t="shared" si="38"/>
        <v>0</v>
      </c>
      <c r="AB91" s="14">
        <f t="shared" si="38"/>
        <v>0</v>
      </c>
      <c r="AC91" s="14">
        <f t="shared" si="38"/>
        <v>0</v>
      </c>
      <c r="AD91" s="14">
        <f t="shared" si="38"/>
        <v>0</v>
      </c>
      <c r="AE91" s="14">
        <f t="shared" si="38"/>
        <v>0</v>
      </c>
      <c r="AF91" s="14">
        <f t="shared" si="38"/>
        <v>0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customHeight="1" outlineLevel="1" thickBot="1" x14ac:dyDescent="0.4">
      <c r="A92" s="5">
        <f t="shared" si="27"/>
        <v>0</v>
      </c>
      <c r="B92" s="5">
        <f t="shared" si="27"/>
        <v>1</v>
      </c>
      <c r="C92" s="5">
        <f t="shared" si="27"/>
        <v>0</v>
      </c>
      <c r="D92" s="5">
        <f t="shared" si="27"/>
        <v>0</v>
      </c>
      <c r="E92" s="6" t="str">
        <f t="shared" si="23"/>
        <v>Se</v>
      </c>
      <c r="F92" s="14">
        <f t="shared" ref="F92:AL92" si="39">F16*$C$78</f>
        <v>0</v>
      </c>
      <c r="G92" s="14">
        <f t="shared" si="39"/>
        <v>0</v>
      </c>
      <c r="H92" s="14">
        <f t="shared" si="39"/>
        <v>0</v>
      </c>
      <c r="I92" s="14">
        <f t="shared" si="39"/>
        <v>0</v>
      </c>
      <c r="J92" s="14">
        <f t="shared" si="39"/>
        <v>2.4246250000000001E-35</v>
      </c>
      <c r="K92" s="14">
        <f t="shared" si="39"/>
        <v>2.7049374999999999E-29</v>
      </c>
      <c r="L92" s="14">
        <f t="shared" si="39"/>
        <v>3.8284374999999999E-28</v>
      </c>
      <c r="M92" s="14">
        <f t="shared" si="39"/>
        <v>4.2365624999999998E-27</v>
      </c>
      <c r="N92" s="14">
        <f t="shared" si="39"/>
        <v>3.7796874999999999E-26</v>
      </c>
      <c r="O92" s="14">
        <f t="shared" si="39"/>
        <v>2.7947187500000002E-25</v>
      </c>
      <c r="P92" s="14">
        <f t="shared" si="39"/>
        <v>1.7418437499999999E-24</v>
      </c>
      <c r="Q92" s="14">
        <f t="shared" si="39"/>
        <v>9.3703124999999994E-24</v>
      </c>
      <c r="R92" s="14">
        <f t="shared" si="39"/>
        <v>4.4137500000000002E-23</v>
      </c>
      <c r="S92" s="14">
        <f t="shared" si="39"/>
        <v>1.8459062500000001E-22</v>
      </c>
      <c r="T92" s="14">
        <f t="shared" si="39"/>
        <v>2.1370312500000001E-20</v>
      </c>
      <c r="U92" s="14">
        <f t="shared" si="39"/>
        <v>7.6584375000000002E-19</v>
      </c>
      <c r="V92" s="14">
        <f t="shared" si="39"/>
        <v>1.2021874999999999E-17</v>
      </c>
      <c r="W92" s="14">
        <f t="shared" si="39"/>
        <v>1.0331562499999999E-16</v>
      </c>
      <c r="X92" s="14">
        <f t="shared" si="39"/>
        <v>5.6443750000000001E-16</v>
      </c>
      <c r="Y92" s="14">
        <f t="shared" si="39"/>
        <v>0</v>
      </c>
      <c r="Z92" s="14">
        <f t="shared" si="39"/>
        <v>0</v>
      </c>
      <c r="AA92" s="14">
        <f t="shared" si="39"/>
        <v>0</v>
      </c>
      <c r="AB92" s="14">
        <f t="shared" si="39"/>
        <v>0</v>
      </c>
      <c r="AC92" s="14">
        <f t="shared" si="39"/>
        <v>0</v>
      </c>
      <c r="AD92" s="14">
        <f t="shared" si="39"/>
        <v>0</v>
      </c>
      <c r="AE92" s="14">
        <f t="shared" si="39"/>
        <v>0</v>
      </c>
      <c r="AF92" s="14">
        <f t="shared" si="39"/>
        <v>0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customHeight="1" outlineLevel="1" thickBot="1" x14ac:dyDescent="0.4">
      <c r="A93" s="5">
        <f t="shared" si="27"/>
        <v>1</v>
      </c>
      <c r="B93" s="5">
        <f t="shared" si="27"/>
        <v>0</v>
      </c>
      <c r="C93" s="5">
        <f t="shared" si="27"/>
        <v>0</v>
      </c>
      <c r="D93" s="5">
        <f t="shared" si="27"/>
        <v>0</v>
      </c>
      <c r="E93" s="6" t="str">
        <f t="shared" si="23"/>
        <v>Ar</v>
      </c>
      <c r="F93" s="14">
        <f t="shared" ref="F93:AL93" si="40">F17*$C$78</f>
        <v>0.625</v>
      </c>
      <c r="G93" s="14">
        <f t="shared" si="40"/>
        <v>0.625</v>
      </c>
      <c r="H93" s="14">
        <f t="shared" si="40"/>
        <v>0.625</v>
      </c>
      <c r="I93" s="14">
        <f t="shared" si="40"/>
        <v>0.625</v>
      </c>
      <c r="J93" s="14">
        <f t="shared" si="40"/>
        <v>0.625</v>
      </c>
      <c r="K93" s="14">
        <f t="shared" si="40"/>
        <v>0.625</v>
      </c>
      <c r="L93" s="14">
        <f t="shared" si="40"/>
        <v>0.625</v>
      </c>
      <c r="M93" s="14">
        <f t="shared" si="40"/>
        <v>0.625</v>
      </c>
      <c r="N93" s="14">
        <f t="shared" si="40"/>
        <v>0.625</v>
      </c>
      <c r="O93" s="14">
        <f t="shared" si="40"/>
        <v>0.625</v>
      </c>
      <c r="P93" s="14">
        <f t="shared" si="40"/>
        <v>0.625</v>
      </c>
      <c r="Q93" s="14">
        <f t="shared" si="40"/>
        <v>0.625</v>
      </c>
      <c r="R93" s="14">
        <f t="shared" si="40"/>
        <v>0.625</v>
      </c>
      <c r="S93" s="14">
        <f t="shared" si="40"/>
        <v>0.625</v>
      </c>
      <c r="T93" s="14">
        <f t="shared" si="40"/>
        <v>0.625</v>
      </c>
      <c r="U93" s="14">
        <f t="shared" si="40"/>
        <v>0.625</v>
      </c>
      <c r="V93" s="14">
        <f t="shared" si="40"/>
        <v>0.625</v>
      </c>
      <c r="W93" s="14">
        <f t="shared" si="40"/>
        <v>0.625</v>
      </c>
      <c r="X93" s="14">
        <f t="shared" si="40"/>
        <v>0.625</v>
      </c>
      <c r="Y93" s="14">
        <f t="shared" si="40"/>
        <v>0</v>
      </c>
      <c r="Z93" s="14">
        <f t="shared" si="40"/>
        <v>0</v>
      </c>
      <c r="AA93" s="14">
        <f t="shared" si="40"/>
        <v>0</v>
      </c>
      <c r="AB93" s="14">
        <f t="shared" si="40"/>
        <v>0</v>
      </c>
      <c r="AC93" s="14">
        <f t="shared" si="40"/>
        <v>0</v>
      </c>
      <c r="AD93" s="14">
        <f t="shared" si="40"/>
        <v>0</v>
      </c>
      <c r="AE93" s="14">
        <f t="shared" si="40"/>
        <v>0</v>
      </c>
      <c r="AF93" s="14">
        <f t="shared" si="40"/>
        <v>0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customHeight="1" outlineLevel="1" thickBot="1" x14ac:dyDescent="0.4">
      <c r="A94" s="5">
        <f t="shared" si="27"/>
        <v>0</v>
      </c>
      <c r="B94" s="5">
        <f t="shared" si="27"/>
        <v>0</v>
      </c>
      <c r="C94" s="5">
        <f t="shared" si="27"/>
        <v>1</v>
      </c>
      <c r="D94" s="5">
        <f t="shared" si="27"/>
        <v>0</v>
      </c>
      <c r="E94" s="6" t="str">
        <f t="shared" si="23"/>
        <v>(1)Ge[l]</v>
      </c>
      <c r="F94" s="14">
        <f t="shared" ref="F94:AL94" si="41">F18*$C$78</f>
        <v>0</v>
      </c>
      <c r="G94" s="14">
        <f t="shared" si="41"/>
        <v>0</v>
      </c>
      <c r="H94" s="14">
        <f t="shared" si="41"/>
        <v>0</v>
      </c>
      <c r="I94" s="14">
        <f t="shared" si="41"/>
        <v>0</v>
      </c>
      <c r="J94" s="14">
        <f t="shared" si="41"/>
        <v>0</v>
      </c>
      <c r="K94" s="14">
        <f t="shared" si="41"/>
        <v>0</v>
      </c>
      <c r="L94" s="14">
        <f t="shared" si="41"/>
        <v>0</v>
      </c>
      <c r="M94" s="14">
        <f t="shared" si="41"/>
        <v>1.6171249999999999E-34</v>
      </c>
      <c r="N94" s="14">
        <f t="shared" si="41"/>
        <v>0</v>
      </c>
      <c r="O94" s="14">
        <f t="shared" si="41"/>
        <v>0</v>
      </c>
      <c r="P94" s="14">
        <f t="shared" si="41"/>
        <v>0</v>
      </c>
      <c r="Q94" s="14">
        <f t="shared" si="41"/>
        <v>1.5339374999999999E-28</v>
      </c>
      <c r="R94" s="14">
        <f t="shared" si="41"/>
        <v>2.4549375000000001E-21</v>
      </c>
      <c r="S94" s="14">
        <f t="shared" si="41"/>
        <v>1.1536250000000001E-16</v>
      </c>
      <c r="T94" s="14">
        <f t="shared" si="41"/>
        <v>1.9332812500000001E-11</v>
      </c>
      <c r="U94" s="14">
        <f t="shared" si="41"/>
        <v>1.0548125E-10</v>
      </c>
      <c r="V94" s="14">
        <f t="shared" si="41"/>
        <v>3.0869687499999996E-10</v>
      </c>
      <c r="W94" s="14">
        <f t="shared" si="41"/>
        <v>1.2215625E-9</v>
      </c>
      <c r="X94" s="14">
        <f t="shared" si="41"/>
        <v>9.0603125000000001E-9</v>
      </c>
      <c r="Y94" s="14">
        <f t="shared" si="41"/>
        <v>0</v>
      </c>
      <c r="Z94" s="14">
        <f t="shared" si="41"/>
        <v>0</v>
      </c>
      <c r="AA94" s="14">
        <f t="shared" si="41"/>
        <v>0</v>
      </c>
      <c r="AB94" s="14">
        <f t="shared" si="41"/>
        <v>0</v>
      </c>
      <c r="AC94" s="14">
        <f t="shared" si="41"/>
        <v>0</v>
      </c>
      <c r="AD94" s="14">
        <f t="shared" si="41"/>
        <v>0</v>
      </c>
      <c r="AE94" s="14">
        <f t="shared" si="41"/>
        <v>0</v>
      </c>
      <c r="AF94" s="14">
        <f t="shared" si="41"/>
        <v>0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customHeight="1" outlineLevel="1" thickBot="1" x14ac:dyDescent="0.4">
      <c r="A95" s="5">
        <f t="shared" si="27"/>
        <v>0</v>
      </c>
      <c r="B95" s="5">
        <f t="shared" si="27"/>
        <v>1</v>
      </c>
      <c r="C95" s="5">
        <f t="shared" si="27"/>
        <v>0</v>
      </c>
      <c r="D95" s="5">
        <f t="shared" si="27"/>
        <v>0</v>
      </c>
      <c r="E95" s="6" t="str">
        <f t="shared" si="23"/>
        <v>(1)Se[l]</v>
      </c>
      <c r="F95" s="14">
        <f t="shared" ref="F95:AL95" si="42">F19*$C$78</f>
        <v>0</v>
      </c>
      <c r="G95" s="14">
        <f t="shared" si="42"/>
        <v>0</v>
      </c>
      <c r="H95" s="14">
        <f t="shared" si="42"/>
        <v>0</v>
      </c>
      <c r="I95" s="14">
        <f t="shared" si="42"/>
        <v>0</v>
      </c>
      <c r="J95" s="14">
        <f t="shared" si="42"/>
        <v>0</v>
      </c>
      <c r="K95" s="14">
        <f t="shared" si="42"/>
        <v>0</v>
      </c>
      <c r="L95" s="14">
        <f t="shared" si="42"/>
        <v>0</v>
      </c>
      <c r="M95" s="14">
        <f t="shared" si="42"/>
        <v>0</v>
      </c>
      <c r="N95" s="14">
        <f t="shared" si="42"/>
        <v>0</v>
      </c>
      <c r="O95" s="14">
        <f t="shared" si="42"/>
        <v>0</v>
      </c>
      <c r="P95" s="14">
        <f t="shared" si="42"/>
        <v>0</v>
      </c>
      <c r="Q95" s="14">
        <f t="shared" si="42"/>
        <v>4.6259375E-34</v>
      </c>
      <c r="R95" s="14">
        <f t="shared" si="42"/>
        <v>4.6459375E-27</v>
      </c>
      <c r="S95" s="14">
        <f t="shared" si="42"/>
        <v>1.3964062500000001E-22</v>
      </c>
      <c r="T95" s="14">
        <f t="shared" si="42"/>
        <v>4.5974999999999996E-18</v>
      </c>
      <c r="U95" s="14">
        <f t="shared" si="42"/>
        <v>6.0300000000000003E-18</v>
      </c>
      <c r="V95" s="14">
        <f t="shared" si="42"/>
        <v>4.929375E-18</v>
      </c>
      <c r="W95" s="14">
        <f t="shared" si="42"/>
        <v>6.1131250000000004E-18</v>
      </c>
      <c r="X95" s="14">
        <f t="shared" si="42"/>
        <v>1.5552187499999999E-17</v>
      </c>
      <c r="Y95" s="14">
        <f t="shared" si="42"/>
        <v>0</v>
      </c>
      <c r="Z95" s="14">
        <f t="shared" si="42"/>
        <v>0</v>
      </c>
      <c r="AA95" s="14">
        <f t="shared" si="42"/>
        <v>0</v>
      </c>
      <c r="AB95" s="14">
        <f t="shared" si="42"/>
        <v>0</v>
      </c>
      <c r="AC95" s="14">
        <f t="shared" si="42"/>
        <v>0</v>
      </c>
      <c r="AD95" s="14">
        <f t="shared" si="42"/>
        <v>0</v>
      </c>
      <c r="AE95" s="14">
        <f t="shared" si="42"/>
        <v>0</v>
      </c>
      <c r="AF95" s="14">
        <f t="shared" si="42"/>
        <v>0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customHeight="1" outlineLevel="1" thickBot="1" x14ac:dyDescent="0.4">
      <c r="A96" s="5">
        <f t="shared" si="27"/>
        <v>1</v>
      </c>
      <c r="B96" s="5">
        <f t="shared" si="27"/>
        <v>0</v>
      </c>
      <c r="C96" s="5">
        <f t="shared" si="27"/>
        <v>0</v>
      </c>
      <c r="D96" s="5">
        <f t="shared" si="27"/>
        <v>0</v>
      </c>
      <c r="E96" s="6" t="str">
        <f t="shared" si="23"/>
        <v>H (Ar)</v>
      </c>
      <c r="F96" s="14">
        <f t="shared" ref="F96:AL96" si="43">F20*$C$78</f>
        <v>-58.1875</v>
      </c>
      <c r="G96" s="14">
        <f t="shared" si="43"/>
        <v>-58.15625</v>
      </c>
      <c r="H96" s="14">
        <f t="shared" si="43"/>
        <v>-58.15625</v>
      </c>
      <c r="I96" s="14">
        <f t="shared" si="43"/>
        <v>-58.21875</v>
      </c>
      <c r="J96" s="14">
        <f t="shared" si="43"/>
        <v>-58.281249999999993</v>
      </c>
      <c r="K96" s="14">
        <f t="shared" si="43"/>
        <v>-58.65625</v>
      </c>
      <c r="L96" s="14">
        <f t="shared" si="43"/>
        <v>-58.781249999999993</v>
      </c>
      <c r="M96" s="14">
        <f t="shared" si="43"/>
        <v>-58.875</v>
      </c>
      <c r="N96" s="14">
        <f t="shared" si="43"/>
        <v>-59</v>
      </c>
      <c r="O96" s="14">
        <f t="shared" si="43"/>
        <v>-59.15625</v>
      </c>
      <c r="P96" s="14">
        <f t="shared" si="43"/>
        <v>-59.28125</v>
      </c>
      <c r="Q96" s="14">
        <f t="shared" si="43"/>
        <v>-59.406250000000007</v>
      </c>
      <c r="R96" s="14">
        <f t="shared" si="43"/>
        <v>-59.53125</v>
      </c>
      <c r="S96" s="14">
        <f t="shared" si="43"/>
        <v>-59.65625</v>
      </c>
      <c r="T96" s="14">
        <f t="shared" si="43"/>
        <v>-60.187500000000007</v>
      </c>
      <c r="U96" s="14">
        <f t="shared" si="43"/>
        <v>-60.71875</v>
      </c>
      <c r="V96" s="14">
        <f t="shared" si="43"/>
        <v>-61.21875</v>
      </c>
      <c r="W96" s="14">
        <f t="shared" si="43"/>
        <v>-61.687499999999993</v>
      </c>
      <c r="X96" s="14">
        <f t="shared" si="43"/>
        <v>-62.125</v>
      </c>
      <c r="Y96" s="14">
        <f t="shared" si="43"/>
        <v>0</v>
      </c>
      <c r="Z96" s="14">
        <f t="shared" si="43"/>
        <v>0</v>
      </c>
      <c r="AA96" s="14">
        <f t="shared" si="43"/>
        <v>0</v>
      </c>
      <c r="AB96" s="14">
        <f t="shared" si="43"/>
        <v>0</v>
      </c>
      <c r="AC96" s="14">
        <f t="shared" si="43"/>
        <v>0</v>
      </c>
      <c r="AD96" s="14">
        <f t="shared" si="43"/>
        <v>0</v>
      </c>
      <c r="AE96" s="14">
        <f t="shared" si="43"/>
        <v>0</v>
      </c>
      <c r="AF96" s="14">
        <f t="shared" si="43"/>
        <v>0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customHeight="1" outlineLevel="1" thickBot="1" x14ac:dyDescent="0.4">
      <c r="A97" s="5">
        <f t="shared" ref="A97:D109" si="44">A63</f>
        <v>0</v>
      </c>
      <c r="B97" s="5">
        <f t="shared" si="44"/>
        <v>0</v>
      </c>
      <c r="C97" s="5">
        <f t="shared" si="44"/>
        <v>1</v>
      </c>
      <c r="D97" s="5">
        <f t="shared" si="44"/>
        <v>0</v>
      </c>
      <c r="E97" s="6" t="str">
        <f t="shared" si="23"/>
        <v>H (Ge)</v>
      </c>
      <c r="F97" s="14">
        <f t="shared" ref="F97:AL97" si="45">F21*$C$78</f>
        <v>-50.90625</v>
      </c>
      <c r="G97" s="14">
        <f t="shared" si="45"/>
        <v>-48.5</v>
      </c>
      <c r="H97" s="14">
        <f t="shared" si="45"/>
        <v>-46.4375</v>
      </c>
      <c r="I97" s="14">
        <f t="shared" si="45"/>
        <v>-44.6875</v>
      </c>
      <c r="J97" s="14">
        <f t="shared" si="45"/>
        <v>-41.15625</v>
      </c>
      <c r="K97" s="14">
        <f t="shared" si="45"/>
        <v>-24.728125000000002</v>
      </c>
      <c r="L97" s="14">
        <f t="shared" si="45"/>
        <v>-21.409375000000001</v>
      </c>
      <c r="M97" s="14">
        <f t="shared" si="45"/>
        <v>-18.334375000000001</v>
      </c>
      <c r="N97" s="14">
        <f t="shared" si="45"/>
        <v>-15.465624999999999</v>
      </c>
      <c r="O97" s="14">
        <f t="shared" si="45"/>
        <v>-12.796875</v>
      </c>
      <c r="P97" s="14">
        <f t="shared" si="45"/>
        <v>-12.968750000000002</v>
      </c>
      <c r="Q97" s="14">
        <f t="shared" si="45"/>
        <v>-13.125</v>
      </c>
      <c r="R97" s="14">
        <f t="shared" si="45"/>
        <v>-13.278124999999999</v>
      </c>
      <c r="S97" s="14">
        <f t="shared" si="45"/>
        <v>-13.434375000000001</v>
      </c>
      <c r="T97" s="14">
        <f t="shared" si="45"/>
        <v>-14.059374999999999</v>
      </c>
      <c r="U97" s="14">
        <f t="shared" si="45"/>
        <v>-14.674999999999999</v>
      </c>
      <c r="V97" s="14">
        <f t="shared" si="45"/>
        <v>-15.271874999999998</v>
      </c>
      <c r="W97" s="14">
        <f t="shared" si="45"/>
        <v>-15.846874999999999</v>
      </c>
      <c r="X97" s="14">
        <f t="shared" si="45"/>
        <v>-16.403124999999999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customHeight="1" outlineLevel="1" thickBot="1" x14ac:dyDescent="0.4">
      <c r="A98" s="5">
        <f t="shared" si="44"/>
        <v>0</v>
      </c>
      <c r="B98" s="5">
        <f t="shared" si="44"/>
        <v>1</v>
      </c>
      <c r="C98" s="5">
        <f t="shared" si="44"/>
        <v>0</v>
      </c>
      <c r="D98" s="5">
        <f t="shared" si="44"/>
        <v>0</v>
      </c>
      <c r="E98" s="6" t="str">
        <f t="shared" si="23"/>
        <v>H (Se)</v>
      </c>
      <c r="F98" s="14">
        <f t="shared" ref="F98:AL98" si="46">F22*$C$78</f>
        <v>-73.5</v>
      </c>
      <c r="G98" s="14">
        <f t="shared" si="46"/>
        <v>-69.3125</v>
      </c>
      <c r="H98" s="14">
        <f t="shared" si="46"/>
        <v>-65.6875</v>
      </c>
      <c r="I98" s="14">
        <f t="shared" si="46"/>
        <v>-62.531250000000007</v>
      </c>
      <c r="J98" s="14">
        <f t="shared" si="46"/>
        <v>-61.78125</v>
      </c>
      <c r="K98" s="14">
        <f t="shared" si="46"/>
        <v>-65.53125</v>
      </c>
      <c r="L98" s="14">
        <f t="shared" si="46"/>
        <v>-66.46875</v>
      </c>
      <c r="M98" s="14">
        <f t="shared" si="46"/>
        <v>-67.4375</v>
      </c>
      <c r="N98" s="14">
        <f t="shared" si="46"/>
        <v>-68.375</v>
      </c>
      <c r="O98" s="14">
        <f t="shared" si="46"/>
        <v>-69.3125</v>
      </c>
      <c r="P98" s="14">
        <f t="shared" si="46"/>
        <v>-70.28125</v>
      </c>
      <c r="Q98" s="14">
        <f t="shared" si="46"/>
        <v>-71.21875</v>
      </c>
      <c r="R98" s="14">
        <f t="shared" si="46"/>
        <v>-72.125</v>
      </c>
      <c r="S98" s="14">
        <f t="shared" si="46"/>
        <v>-73.03125</v>
      </c>
      <c r="T98" s="14">
        <f t="shared" si="46"/>
        <v>-76.59375</v>
      </c>
      <c r="U98" s="14">
        <f t="shared" si="46"/>
        <v>-80</v>
      </c>
      <c r="V98" s="14">
        <f t="shared" si="46"/>
        <v>-83.28125</v>
      </c>
      <c r="W98" s="14">
        <f t="shared" si="46"/>
        <v>-86.40625</v>
      </c>
      <c r="X98" s="14">
        <f t="shared" si="46"/>
        <v>-89.4375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customHeight="1" outlineLevel="1" x14ac:dyDescent="0.35">
      <c r="U110" s="55"/>
      <c r="V110" s="55"/>
      <c r="W110" s="55"/>
    </row>
    <row r="111" spans="1:54" ht="21" customHeight="1" x14ac:dyDescent="0.35">
      <c r="U111" s="55"/>
      <c r="V111" s="55"/>
      <c r="W111" s="55"/>
    </row>
    <row r="112" spans="1:54" ht="21" customHeight="1" thickBot="1" x14ac:dyDescent="0.45">
      <c r="A112" s="75"/>
      <c r="B112" s="75"/>
      <c r="C112" s="75"/>
      <c r="D112" s="75"/>
      <c r="E112" s="74" t="s">
        <v>24</v>
      </c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</row>
    <row r="113" spans="1:38" ht="21" customHeight="1" outlineLevel="1" thickTop="1" thickBot="1" x14ac:dyDescent="0.4">
      <c r="A113" s="140" t="s">
        <v>10</v>
      </c>
      <c r="B113" s="141"/>
      <c r="C113" s="23" t="s">
        <v>11</v>
      </c>
      <c r="D113" s="15" t="s">
        <v>12</v>
      </c>
      <c r="E113" s="15"/>
      <c r="F113" s="4">
        <f t="shared" ref="F113:AL113" si="57">F3</f>
        <v>273.10000000000002</v>
      </c>
      <c r="G113" s="4">
        <f t="shared" si="57"/>
        <v>293.3</v>
      </c>
      <c r="H113" s="4">
        <f t="shared" si="57"/>
        <v>313.5</v>
      </c>
      <c r="I113" s="4">
        <f t="shared" si="57"/>
        <v>333.7</v>
      </c>
      <c r="J113" s="4">
        <f t="shared" si="57"/>
        <v>353.9</v>
      </c>
      <c r="K113" s="4">
        <f t="shared" si="57"/>
        <v>434.7</v>
      </c>
      <c r="L113" s="4">
        <f t="shared" si="57"/>
        <v>454.9</v>
      </c>
      <c r="M113" s="4">
        <f t="shared" si="57"/>
        <v>475.1</v>
      </c>
      <c r="N113" s="4">
        <f t="shared" si="57"/>
        <v>495.2</v>
      </c>
      <c r="O113" s="4">
        <f t="shared" si="57"/>
        <v>515.4</v>
      </c>
      <c r="P113" s="4">
        <f t="shared" si="57"/>
        <v>535.6</v>
      </c>
      <c r="Q113" s="4">
        <f t="shared" si="57"/>
        <v>555.79999999999995</v>
      </c>
      <c r="R113" s="4">
        <f t="shared" si="57"/>
        <v>576</v>
      </c>
      <c r="S113" s="4">
        <f t="shared" si="57"/>
        <v>596.20000000000005</v>
      </c>
      <c r="T113" s="4">
        <f t="shared" si="57"/>
        <v>677</v>
      </c>
      <c r="U113" s="4">
        <f t="shared" si="57"/>
        <v>757.7</v>
      </c>
      <c r="V113" s="4">
        <f t="shared" si="57"/>
        <v>838.5</v>
      </c>
      <c r="W113" s="4">
        <f t="shared" si="57"/>
        <v>919.2</v>
      </c>
      <c r="X113" s="4">
        <f t="shared" si="57"/>
        <v>1000</v>
      </c>
      <c r="Y113" s="4">
        <f t="shared" si="57"/>
        <v>0</v>
      </c>
      <c r="Z113" s="4">
        <f t="shared" si="57"/>
        <v>0</v>
      </c>
      <c r="AA113" s="4">
        <f t="shared" si="57"/>
        <v>0</v>
      </c>
      <c r="AB113" s="4">
        <f t="shared" si="57"/>
        <v>0</v>
      </c>
      <c r="AC113" s="4">
        <f t="shared" si="57"/>
        <v>0</v>
      </c>
      <c r="AD113" s="4">
        <f t="shared" si="57"/>
        <v>0</v>
      </c>
      <c r="AE113" s="4">
        <f t="shared" si="57"/>
        <v>0</v>
      </c>
      <c r="AF113" s="4">
        <f t="shared" si="57"/>
        <v>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MIN(MIN(F114:AL117),MIN(F41:AL41))</f>
        <v>-400.5842955</v>
      </c>
      <c r="C114" s="24">
        <f>COUNTA(E114:E121)+1</f>
        <v>5</v>
      </c>
      <c r="E114" s="17" t="s">
        <v>33</v>
      </c>
      <c r="F114" s="52">
        <f ca="1">F$113*$B$2*SUMPRODUCT(F$94:F$95,F$60:F$61)/1000</f>
        <v>0</v>
      </c>
      <c r="G114" s="52">
        <f t="shared" ref="G114:AL114" ca="1" si="58">G$113*$B$2*SUMPRODUCT(G$94:G$95,G$60:G$61)/1000</f>
        <v>0</v>
      </c>
      <c r="H114" s="52">
        <f t="shared" ca="1" si="58"/>
        <v>0</v>
      </c>
      <c r="I114" s="52">
        <f t="shared" ca="1" si="58"/>
        <v>0</v>
      </c>
      <c r="J114" s="52">
        <f t="shared" ca="1" si="58"/>
        <v>0</v>
      </c>
      <c r="K114" s="52">
        <f t="shared" ca="1" si="58"/>
        <v>0</v>
      </c>
      <c r="L114" s="52">
        <f t="shared" ca="1" si="58"/>
        <v>0</v>
      </c>
      <c r="M114" s="52">
        <f t="shared" ca="1" si="58"/>
        <v>-3.7478383207116506E-33</v>
      </c>
      <c r="N114" s="52">
        <f t="shared" ca="1" si="58"/>
        <v>0</v>
      </c>
      <c r="O114" s="52">
        <f t="shared" ca="1" si="58"/>
        <v>0</v>
      </c>
      <c r="P114" s="52">
        <f t="shared" ca="1" si="58"/>
        <v>0</v>
      </c>
      <c r="Q114" s="52">
        <f t="shared" ca="1" si="58"/>
        <v>-2.9772735687165694E-27</v>
      </c>
      <c r="R114" s="52">
        <f t="shared" ca="1" si="58"/>
        <v>-4.9956299024990075E-20</v>
      </c>
      <c r="S114" s="52">
        <f t="shared" ca="1" si="58"/>
        <v>-2.4584595733219511E-15</v>
      </c>
      <c r="T114" s="52">
        <f t="shared" ca="1" si="58"/>
        <v>-4.8959435423258838E-10</v>
      </c>
      <c r="U114" s="52">
        <f t="shared" ca="1" si="58"/>
        <v>-3.1205914641186131E-9</v>
      </c>
      <c r="V114" s="52">
        <f t="shared" ca="1" si="58"/>
        <v>-1.0517531332620774E-8</v>
      </c>
      <c r="W114" s="52">
        <f t="shared" ca="1" si="58"/>
        <v>-4.7342966564904998E-8</v>
      </c>
      <c r="X114" s="52">
        <f t="shared" ca="1" si="58"/>
        <v>-3.9541750520909509E-7</v>
      </c>
      <c r="Y114" s="52">
        <f t="shared" ca="1" si="58"/>
        <v>0</v>
      </c>
      <c r="Z114" s="52">
        <f t="shared" ca="1" si="58"/>
        <v>0</v>
      </c>
      <c r="AA114" s="52">
        <f t="shared" ca="1" si="58"/>
        <v>0</v>
      </c>
      <c r="AB114" s="52">
        <f t="shared" ca="1" si="58"/>
        <v>0</v>
      </c>
      <c r="AC114" s="52">
        <f t="shared" ca="1" si="58"/>
        <v>0</v>
      </c>
      <c r="AD114" s="52">
        <f t="shared" ca="1" si="58"/>
        <v>0</v>
      </c>
      <c r="AE114" s="52">
        <f t="shared" ca="1" si="58"/>
        <v>0</v>
      </c>
      <c r="AF114" s="52">
        <f t="shared" ca="1" si="58"/>
        <v>0</v>
      </c>
      <c r="AG114" s="52">
        <f t="shared" ca="1" si="58"/>
        <v>0</v>
      </c>
      <c r="AH114" s="52">
        <f t="shared" ca="1" si="58"/>
        <v>0</v>
      </c>
      <c r="AI114" s="52">
        <f t="shared" ca="1" si="58"/>
        <v>0</v>
      </c>
      <c r="AJ114" s="52">
        <f t="shared" ca="1" si="58"/>
        <v>0</v>
      </c>
      <c r="AK114" s="52">
        <f t="shared" ca="1" si="58"/>
        <v>0</v>
      </c>
      <c r="AL114" s="52">
        <f t="shared" ca="1" si="58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MAX(MAX(F114:AL117),MAX(F41:AL41))</f>
        <v>0</v>
      </c>
      <c r="C115" s="25">
        <f xml:space="preserve"> COUNTIF(F113:AL113,"&lt;&gt;"&amp;0)</f>
        <v>19</v>
      </c>
      <c r="E115" s="17" t="s">
        <v>14</v>
      </c>
      <c r="F115" s="14">
        <f ca="1">F$113*$B$2*SUMPRODUCT(F$88:F$92,F$54:F$58)/1000</f>
        <v>-5.6787934735444514E-34</v>
      </c>
      <c r="G115" s="14">
        <f t="shared" ref="G115:AL115" ca="1" si="59">G$113*$B$2*SUMPRODUCT(G$88:G$92,G$54:G$58)/1000</f>
        <v>-6.5419306321169064E-31</v>
      </c>
      <c r="H115" s="14">
        <f t="shared" ca="1" si="59"/>
        <v>-3.0415857990091814E-28</v>
      </c>
      <c r="I115" s="14">
        <f t="shared" ca="1" si="59"/>
        <v>-6.737792584201325E-26</v>
      </c>
      <c r="J115" s="14">
        <f t="shared" ca="1" si="59"/>
        <v>-2.3146586454042856E-24</v>
      </c>
      <c r="K115" s="14">
        <f t="shared" ca="1" si="59"/>
        <v>-3.1402417246027454E-21</v>
      </c>
      <c r="L115" s="14">
        <f t="shared" ca="1" si="59"/>
        <v>-1.1469173108226167E-20</v>
      </c>
      <c r="M115" s="14">
        <f t="shared" ca="1" si="59"/>
        <v>-3.6201048005888614E-20</v>
      </c>
      <c r="N115" s="14">
        <f t="shared" ca="1" si="59"/>
        <v>-1.008449868729376E-19</v>
      </c>
      <c r="O115" s="14">
        <f t="shared" ca="1" si="59"/>
        <v>-2.5430213994468466E-19</v>
      </c>
      <c r="P115" s="14">
        <f t="shared" ca="1" si="59"/>
        <v>-5.6296712242669006E-19</v>
      </c>
      <c r="Q115" s="14">
        <f t="shared" ca="1" si="59"/>
        <v>-1.1462980122629907E-18</v>
      </c>
      <c r="R115" s="14">
        <f t="shared" ca="1" si="59"/>
        <v>-2.1611271934503513E-18</v>
      </c>
      <c r="S115" s="14">
        <f t="shared" ca="1" si="59"/>
        <v>-3.8103254758522015E-18</v>
      </c>
      <c r="T115" s="14">
        <f t="shared" ca="1" si="59"/>
        <v>-2.3608225546823828E-17</v>
      </c>
      <c r="U115" s="14">
        <f t="shared" ca="1" si="59"/>
        <v>-1.8902647896984945E-16</v>
      </c>
      <c r="V115" s="14">
        <f t="shared" ca="1" si="59"/>
        <v>-5.0132769083383937E-15</v>
      </c>
      <c r="W115" s="14">
        <f t="shared" ca="1" si="59"/>
        <v>-3.617252646130867E-13</v>
      </c>
      <c r="X115" s="14">
        <f t="shared" ca="1" si="59"/>
        <v>-2.0067969524951993E-11</v>
      </c>
      <c r="Y115" s="14">
        <f t="shared" ca="1" si="59"/>
        <v>0</v>
      </c>
      <c r="Z115" s="14">
        <f t="shared" ca="1" si="59"/>
        <v>0</v>
      </c>
      <c r="AA115" s="14">
        <f t="shared" ca="1" si="59"/>
        <v>0</v>
      </c>
      <c r="AB115" s="14">
        <f t="shared" ca="1" si="59"/>
        <v>0</v>
      </c>
      <c r="AC115" s="14">
        <f t="shared" ca="1" si="59"/>
        <v>0</v>
      </c>
      <c r="AD115" s="14">
        <f t="shared" ca="1" si="59"/>
        <v>0</v>
      </c>
      <c r="AE115" s="14">
        <f t="shared" ca="1" si="59"/>
        <v>0</v>
      </c>
      <c r="AF115" s="14">
        <f t="shared" ca="1" si="59"/>
        <v>0</v>
      </c>
      <c r="AG115" s="14">
        <f t="shared" ca="1" si="59"/>
        <v>0</v>
      </c>
      <c r="AH115" s="14">
        <f t="shared" ca="1" si="59"/>
        <v>0</v>
      </c>
      <c r="AI115" s="14">
        <f t="shared" ca="1" si="59"/>
        <v>0</v>
      </c>
      <c r="AJ115" s="14">
        <f t="shared" ca="1" si="59"/>
        <v>0</v>
      </c>
      <c r="AK115" s="14">
        <f t="shared" ca="1" si="59"/>
        <v>0</v>
      </c>
      <c r="AL115" s="14">
        <f t="shared" ca="1" si="59"/>
        <v>0</v>
      </c>
    </row>
    <row r="116" spans="1:38" ht="21" customHeight="1" outlineLevel="1" thickBot="1" x14ac:dyDescent="0.4">
      <c r="E116" s="17" t="s">
        <v>15</v>
      </c>
      <c r="F116" s="14">
        <f t="shared" ref="F116:AL116" ca="1" si="60">F$113*$B$2*SUMPRODUCT(F$87:F$89,F$53:F$55)/1000</f>
        <v>-45.198083454750012</v>
      </c>
      <c r="G116" s="14">
        <f t="shared" ca="1" si="60"/>
        <v>-45.968417722500007</v>
      </c>
      <c r="H116" s="14">
        <f t="shared" ca="1" si="60"/>
        <v>-46.762327755000001</v>
      </c>
      <c r="I116" s="14">
        <f t="shared" ca="1" si="60"/>
        <v>-47.597382090750003</v>
      </c>
      <c r="J116" s="14">
        <f t="shared" ca="1" si="60"/>
        <v>-96.926001056999993</v>
      </c>
      <c r="K116" s="14">
        <f t="shared" ca="1" si="60"/>
        <v>-104.39220671145002</v>
      </c>
      <c r="L116" s="14">
        <f t="shared" ca="1" si="60"/>
        <v>-106.36110359205</v>
      </c>
      <c r="M116" s="14">
        <f t="shared" ca="1" si="60"/>
        <v>-108.42165952065001</v>
      </c>
      <c r="N116" s="14">
        <f t="shared" ca="1" si="60"/>
        <v>-110.46412559160001</v>
      </c>
      <c r="O116" s="14">
        <f t="shared" ca="1" si="60"/>
        <v>-93.222518191718905</v>
      </c>
      <c r="P116" s="14">
        <f t="shared" ca="1" si="60"/>
        <v>-1.7259833729759402E-6</v>
      </c>
      <c r="Q116" s="14">
        <f t="shared" ca="1" si="60"/>
        <v>-7.7224983798950523E-8</v>
      </c>
      <c r="R116" s="14">
        <f t="shared" ca="1" si="60"/>
        <v>-6.4091639299229987E-9</v>
      </c>
      <c r="S116" s="14">
        <f t="shared" ca="1" si="60"/>
        <v>-2.047642376936023E-9</v>
      </c>
      <c r="T116" s="14">
        <f t="shared" ca="1" si="60"/>
        <v>-9.6741746112353355E-19</v>
      </c>
      <c r="U116" s="14">
        <f t="shared" ca="1" si="60"/>
        <v>-7.630601019855077E-18</v>
      </c>
      <c r="V116" s="14">
        <f t="shared" ca="1" si="60"/>
        <v>-2.6769670109555827E-15</v>
      </c>
      <c r="W116" s="14">
        <f t="shared" ca="1" si="60"/>
        <v>-3.3976100137178335E-13</v>
      </c>
      <c r="X116" s="14">
        <f t="shared" ca="1" si="60"/>
        <v>-1.9933522283282767E-11</v>
      </c>
      <c r="Y116" s="14">
        <f t="shared" ca="1" si="60"/>
        <v>0</v>
      </c>
      <c r="Z116" s="14">
        <f t="shared" ca="1" si="60"/>
        <v>0</v>
      </c>
      <c r="AA116" s="14">
        <f t="shared" ca="1" si="60"/>
        <v>0</v>
      </c>
      <c r="AB116" s="14">
        <f t="shared" ca="1" si="60"/>
        <v>0</v>
      </c>
      <c r="AC116" s="14">
        <f t="shared" ca="1" si="60"/>
        <v>0</v>
      </c>
      <c r="AD116" s="14">
        <f t="shared" ca="1" si="60"/>
        <v>0</v>
      </c>
      <c r="AE116" s="14">
        <f t="shared" ca="1" si="60"/>
        <v>0</v>
      </c>
      <c r="AF116" s="14">
        <f t="shared" ca="1" si="60"/>
        <v>0</v>
      </c>
      <c r="AG116" s="14">
        <f t="shared" ca="1" si="60"/>
        <v>0</v>
      </c>
      <c r="AH116" s="14">
        <f t="shared" ca="1" si="60"/>
        <v>0</v>
      </c>
      <c r="AI116" s="14">
        <f t="shared" ca="1" si="60"/>
        <v>0</v>
      </c>
      <c r="AJ116" s="14">
        <f t="shared" ca="1" si="60"/>
        <v>0</v>
      </c>
      <c r="AK116" s="14">
        <f t="shared" ca="1" si="60"/>
        <v>0</v>
      </c>
      <c r="AL116" s="14">
        <f t="shared" ca="1" si="60"/>
        <v>0</v>
      </c>
    </row>
    <row r="117" spans="1:38" ht="21" customHeight="1" outlineLevel="1" thickBot="1" x14ac:dyDescent="0.4">
      <c r="E117" s="17" t="s">
        <v>34</v>
      </c>
      <c r="F117" s="14">
        <f ca="1">F115+F114</f>
        <v>-5.6787934735444514E-34</v>
      </c>
      <c r="G117" s="14">
        <f t="shared" ref="G117:AL117" ca="1" si="61">G115+G114</f>
        <v>-6.5419306321169064E-31</v>
      </c>
      <c r="H117" s="14">
        <f t="shared" ca="1" si="61"/>
        <v>-3.0415857990091814E-28</v>
      </c>
      <c r="I117" s="14">
        <f t="shared" ca="1" si="61"/>
        <v>-6.737792584201325E-26</v>
      </c>
      <c r="J117" s="14">
        <f t="shared" ca="1" si="61"/>
        <v>-2.3146586454042856E-24</v>
      </c>
      <c r="K117" s="14">
        <f t="shared" ca="1" si="61"/>
        <v>-3.1402417246027454E-21</v>
      </c>
      <c r="L117" s="14">
        <f t="shared" ca="1" si="61"/>
        <v>-1.1469173108226167E-20</v>
      </c>
      <c r="M117" s="14">
        <f t="shared" ca="1" si="61"/>
        <v>-3.6201048005892364E-20</v>
      </c>
      <c r="N117" s="14">
        <f t="shared" ca="1" si="61"/>
        <v>-1.008449868729376E-19</v>
      </c>
      <c r="O117" s="14">
        <f t="shared" ca="1" si="61"/>
        <v>-2.5430213994468466E-19</v>
      </c>
      <c r="P117" s="14">
        <f t="shared" ca="1" si="61"/>
        <v>-5.6296712242669006E-19</v>
      </c>
      <c r="Q117" s="14">
        <f t="shared" ca="1" si="61"/>
        <v>-1.1462980152402642E-18</v>
      </c>
      <c r="R117" s="14">
        <f t="shared" ca="1" si="61"/>
        <v>-2.2110834924753413E-18</v>
      </c>
      <c r="S117" s="14">
        <f t="shared" ca="1" si="61"/>
        <v>-2.4622698987978033E-15</v>
      </c>
      <c r="T117" s="14">
        <f t="shared" ca="1" si="61"/>
        <v>-4.8959437784081389E-10</v>
      </c>
      <c r="U117" s="14">
        <f t="shared" ca="1" si="61"/>
        <v>-3.120591653145092E-9</v>
      </c>
      <c r="V117" s="14">
        <f t="shared" ca="1" si="61"/>
        <v>-1.0517536345897683E-8</v>
      </c>
      <c r="W117" s="14">
        <f t="shared" ca="1" si="61"/>
        <v>-4.7343328290169613E-8</v>
      </c>
      <c r="X117" s="14">
        <f t="shared" ca="1" si="61"/>
        <v>-3.9543757317862007E-7</v>
      </c>
      <c r="Y117" s="14">
        <f t="shared" ca="1" si="61"/>
        <v>0</v>
      </c>
      <c r="Z117" s="14">
        <f t="shared" ca="1" si="61"/>
        <v>0</v>
      </c>
      <c r="AA117" s="14">
        <f t="shared" ca="1" si="61"/>
        <v>0</v>
      </c>
      <c r="AB117" s="14">
        <f t="shared" ca="1" si="61"/>
        <v>0</v>
      </c>
      <c r="AC117" s="14">
        <f t="shared" ca="1" si="61"/>
        <v>0</v>
      </c>
      <c r="AD117" s="14">
        <f t="shared" ca="1" si="61"/>
        <v>0</v>
      </c>
      <c r="AE117" s="14">
        <f t="shared" ca="1" si="61"/>
        <v>0</v>
      </c>
      <c r="AF117" s="14">
        <f t="shared" ca="1" si="61"/>
        <v>0</v>
      </c>
      <c r="AG117" s="14">
        <f t="shared" ca="1" si="61"/>
        <v>0</v>
      </c>
      <c r="AH117" s="14">
        <f t="shared" ca="1" si="61"/>
        <v>0</v>
      </c>
      <c r="AI117" s="14">
        <f t="shared" ca="1" si="61"/>
        <v>0</v>
      </c>
      <c r="AJ117" s="14">
        <f t="shared" ca="1" si="61"/>
        <v>0</v>
      </c>
      <c r="AK117" s="14">
        <f t="shared" ca="1" si="61"/>
        <v>0</v>
      </c>
      <c r="AL117" s="14">
        <f t="shared" ca="1" si="61"/>
        <v>0</v>
      </c>
    </row>
    <row r="118" spans="1:38" ht="21" customHeight="1" outlineLevel="1" thickBot="1" x14ac:dyDescent="0.4">
      <c r="E118" s="17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293.3</v>
      </c>
      <c r="H122" s="4">
        <f ca="1"/>
        <v>313.5</v>
      </c>
      <c r="I122" s="4">
        <f ca="1"/>
        <v>333.7</v>
      </c>
      <c r="J122" s="4">
        <f ca="1"/>
        <v>353.9</v>
      </c>
      <c r="K122" s="4">
        <f ca="1"/>
        <v>434.7</v>
      </c>
      <c r="L122" s="4">
        <f ca="1"/>
        <v>454.9</v>
      </c>
      <c r="M122" s="4">
        <f ca="1"/>
        <v>475.1</v>
      </c>
      <c r="N122" s="4">
        <f ca="1"/>
        <v>495.2</v>
      </c>
      <c r="O122" s="4">
        <f ca="1"/>
        <v>515.4</v>
      </c>
      <c r="P122" s="4">
        <f ca="1"/>
        <v>535.6</v>
      </c>
      <c r="Q122" s="4">
        <f ca="1"/>
        <v>555.79999999999995</v>
      </c>
      <c r="R122" s="4">
        <f ca="1"/>
        <v>576</v>
      </c>
      <c r="S122" s="4">
        <f ca="1"/>
        <v>596.20000000000005</v>
      </c>
      <c r="T122" s="20">
        <f ca="1"/>
        <v>677</v>
      </c>
      <c r="U122" s="65">
        <f ca="1"/>
        <v>757.7</v>
      </c>
      <c r="V122" s="66">
        <f ca="1"/>
        <v>838.5</v>
      </c>
      <c r="W122" s="68">
        <f ca="1"/>
        <v>919.2</v>
      </c>
      <c r="X122" s="62">
        <f ca="1"/>
        <v>1000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Расвор: </v>
      </c>
      <c r="F123" s="55">
        <f ca="1"/>
        <v>0</v>
      </c>
      <c r="G123" s="55">
        <f ca="1"/>
        <v>0</v>
      </c>
      <c r="H123" s="55">
        <f ca="1"/>
        <v>0</v>
      </c>
      <c r="I123" s="55">
        <f ca="1"/>
        <v>0</v>
      </c>
      <c r="J123" s="55">
        <f ca="1"/>
        <v>0</v>
      </c>
      <c r="K123" s="55">
        <f ca="1"/>
        <v>0</v>
      </c>
      <c r="L123" s="55">
        <f ca="1"/>
        <v>0</v>
      </c>
      <c r="M123" s="55">
        <f ca="1"/>
        <v>-3.7478383207116506E-33</v>
      </c>
      <c r="N123" s="55">
        <f ca="1"/>
        <v>0</v>
      </c>
      <c r="O123" s="55">
        <f ca="1"/>
        <v>0</v>
      </c>
      <c r="P123" s="55">
        <f ca="1"/>
        <v>0</v>
      </c>
      <c r="Q123" s="55">
        <f ca="1"/>
        <v>-2.9772735687165694E-27</v>
      </c>
      <c r="R123" s="55">
        <f ca="1"/>
        <v>-4.9956299024990075E-20</v>
      </c>
      <c r="S123" s="55">
        <f ca="1"/>
        <v>-2.4584595733219511E-15</v>
      </c>
      <c r="T123" s="55">
        <f ca="1"/>
        <v>-4.8959435423258838E-10</v>
      </c>
      <c r="U123" s="55">
        <f ca="1"/>
        <v>-3.1205914641186131E-9</v>
      </c>
      <c r="V123" s="55">
        <f ca="1"/>
        <v>-1.0517531332620774E-8</v>
      </c>
      <c r="W123" s="55">
        <f ca="1"/>
        <v>-4.7342966564904998E-8</v>
      </c>
      <c r="X123" s="55">
        <f ca="1"/>
        <v>-3.9541750520909509E-7</v>
      </c>
      <c r="Y123" s="55" t="e">
        <f ca="1"/>
        <v>#N/A</v>
      </c>
      <c r="Z123" s="55" t="e">
        <f ca="1"/>
        <v>#N/A</v>
      </c>
      <c r="AA123" s="55" t="e">
        <f ca="1"/>
        <v>#N/A</v>
      </c>
      <c r="AB123" s="55" t="e">
        <f ca="1"/>
        <v>#N/A</v>
      </c>
      <c r="AC123" s="55" t="e">
        <f ca="1"/>
        <v>#N/A</v>
      </c>
      <c r="AD123" s="55" t="e">
        <f ca="1"/>
        <v>#N/A</v>
      </c>
      <c r="AE123" s="55" t="e">
        <f ca="1"/>
        <v>#N/A</v>
      </c>
      <c r="AF123" s="55" t="e">
        <f ca="1"/>
        <v>#N/A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-5.6787934735444514E-34</v>
      </c>
      <c r="G124" s="55">
        <f ca="1"/>
        <v>-6.5419306321169064E-31</v>
      </c>
      <c r="H124" s="55">
        <f ca="1"/>
        <v>-3.0415857990091814E-28</v>
      </c>
      <c r="I124" s="55">
        <f ca="1"/>
        <v>-6.737792584201325E-26</v>
      </c>
      <c r="J124" s="55">
        <f ca="1"/>
        <v>-2.3146586454042856E-24</v>
      </c>
      <c r="K124" s="55">
        <f ca="1"/>
        <v>-3.1402417246027454E-21</v>
      </c>
      <c r="L124" s="55">
        <f ca="1"/>
        <v>-1.1469173108226167E-20</v>
      </c>
      <c r="M124" s="55">
        <f ca="1"/>
        <v>-3.6201048005888614E-20</v>
      </c>
      <c r="N124" s="55">
        <f ca="1"/>
        <v>-1.008449868729376E-19</v>
      </c>
      <c r="O124" s="55">
        <f ca="1"/>
        <v>-2.5430213994468466E-19</v>
      </c>
      <c r="P124" s="55">
        <f ca="1"/>
        <v>-5.6296712242669006E-19</v>
      </c>
      <c r="Q124" s="55">
        <f ca="1"/>
        <v>-1.1462980122629907E-18</v>
      </c>
      <c r="R124" s="55">
        <f ca="1"/>
        <v>-2.1611271934503513E-18</v>
      </c>
      <c r="S124" s="55">
        <f ca="1"/>
        <v>-3.8103254758522015E-18</v>
      </c>
      <c r="T124" s="55">
        <f ca="1"/>
        <v>-2.3608225546823828E-17</v>
      </c>
      <c r="U124" s="55">
        <f ca="1"/>
        <v>-1.8902647896984945E-16</v>
      </c>
      <c r="V124" s="55">
        <f ca="1"/>
        <v>-5.0132769083383937E-15</v>
      </c>
      <c r="W124" s="55">
        <f ca="1"/>
        <v>-3.617252646130867E-13</v>
      </c>
      <c r="X124" s="55">
        <f ca="1"/>
        <v>-2.0067969524951993E-11</v>
      </c>
      <c r="Y124" s="55" t="e">
        <f ca="1"/>
        <v>#N/A</v>
      </c>
      <c r="Z124" s="55" t="e">
        <f ca="1"/>
        <v>#N/A</v>
      </c>
      <c r="AA124" s="55" t="e">
        <f ca="1"/>
        <v>#N/A</v>
      </c>
      <c r="AB124" s="55" t="e">
        <f ca="1"/>
        <v>#N/A</v>
      </c>
      <c r="AC124" s="55" t="e">
        <f ca="1"/>
        <v>#N/A</v>
      </c>
      <c r="AD124" s="55" t="e">
        <f ca="1"/>
        <v>#N/A</v>
      </c>
      <c r="AE124" s="55" t="e">
        <f ca="1"/>
        <v>#N/A</v>
      </c>
      <c r="AF124" s="55" t="e">
        <f ca="1"/>
        <v>#N/A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Газовая: </v>
      </c>
      <c r="F125" s="55">
        <f ca="1"/>
        <v>-45.198083454750012</v>
      </c>
      <c r="G125" s="55">
        <f ca="1"/>
        <v>-45.968417722500007</v>
      </c>
      <c r="H125" s="55">
        <f ca="1"/>
        <v>-46.762327755000001</v>
      </c>
      <c r="I125" s="55">
        <f ca="1"/>
        <v>-47.597382090750003</v>
      </c>
      <c r="J125" s="55">
        <f ca="1"/>
        <v>-96.926001056999993</v>
      </c>
      <c r="K125" s="55">
        <f ca="1"/>
        <v>-104.39220671145002</v>
      </c>
      <c r="L125" s="55">
        <f ca="1"/>
        <v>-106.36110359205</v>
      </c>
      <c r="M125" s="55">
        <f ca="1"/>
        <v>-108.42165952065001</v>
      </c>
      <c r="N125" s="55">
        <f ca="1"/>
        <v>-110.46412559160001</v>
      </c>
      <c r="O125" s="55">
        <f ca="1"/>
        <v>-93.222518191718905</v>
      </c>
      <c r="P125" s="55">
        <f ca="1"/>
        <v>-1.7259833729759402E-6</v>
      </c>
      <c r="Q125" s="55">
        <f ca="1"/>
        <v>-7.7224983798950523E-8</v>
      </c>
      <c r="R125" s="55">
        <f ca="1"/>
        <v>-6.4091639299229987E-9</v>
      </c>
      <c r="S125" s="55">
        <f ca="1"/>
        <v>-2.047642376936023E-9</v>
      </c>
      <c r="T125" s="55">
        <f ca="1"/>
        <v>-9.6741746112353355E-19</v>
      </c>
      <c r="U125" s="55">
        <f ca="1"/>
        <v>-7.630601019855077E-18</v>
      </c>
      <c r="V125" s="55">
        <f ca="1"/>
        <v>-2.6769670109555827E-15</v>
      </c>
      <c r="W125" s="55">
        <f ca="1"/>
        <v>-3.3976100137178335E-13</v>
      </c>
      <c r="X125" s="55">
        <f ca="1"/>
        <v>-1.9933522283282767E-11</v>
      </c>
      <c r="Y125" s="55" t="e">
        <f ca="1"/>
        <v>#N/A</v>
      </c>
      <c r="Z125" s="55" t="e">
        <f ca="1"/>
        <v>#N/A</v>
      </c>
      <c r="AA125" s="55" t="e">
        <f ca="1"/>
        <v>#N/A</v>
      </c>
      <c r="AB125" s="55" t="e">
        <f ca="1"/>
        <v>#N/A</v>
      </c>
      <c r="AC125" s="55" t="e">
        <f ca="1"/>
        <v>#N/A</v>
      </c>
      <c r="AD125" s="55" t="e">
        <f ca="1"/>
        <v>#N/A</v>
      </c>
      <c r="AE125" s="55" t="e">
        <f ca="1"/>
        <v>#N/A</v>
      </c>
      <c r="AF125" s="55" t="e">
        <f ca="1"/>
        <v>#N/A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>Раствор + газовая без Ar</v>
      </c>
      <c r="F126" s="55">
        <f ca="1"/>
        <v>-5.6787934735444514E-34</v>
      </c>
      <c r="G126" s="55">
        <f ca="1"/>
        <v>-6.5419306321169064E-31</v>
      </c>
      <c r="H126" s="55">
        <f ca="1"/>
        <v>-3.0415857990091814E-28</v>
      </c>
      <c r="I126" s="55">
        <f ca="1"/>
        <v>-6.737792584201325E-26</v>
      </c>
      <c r="J126" s="55">
        <f ca="1"/>
        <v>-2.3146586454042856E-24</v>
      </c>
      <c r="K126" s="55">
        <f ca="1"/>
        <v>-3.1402417246027454E-21</v>
      </c>
      <c r="L126" s="55">
        <f ca="1"/>
        <v>-1.1469173108226167E-20</v>
      </c>
      <c r="M126" s="55">
        <f ca="1"/>
        <v>-3.6201048005892364E-20</v>
      </c>
      <c r="N126" s="55">
        <f ca="1"/>
        <v>-1.008449868729376E-19</v>
      </c>
      <c r="O126" s="55">
        <f ca="1"/>
        <v>-2.5430213994468466E-19</v>
      </c>
      <c r="P126" s="55">
        <f ca="1"/>
        <v>-5.6296712242669006E-19</v>
      </c>
      <c r="Q126" s="55">
        <f ca="1"/>
        <v>-1.1462980152402642E-18</v>
      </c>
      <c r="R126" s="55">
        <f ca="1"/>
        <v>-2.2110834924753413E-18</v>
      </c>
      <c r="S126" s="55">
        <f ca="1"/>
        <v>-2.4622698987978033E-15</v>
      </c>
      <c r="T126" s="55">
        <f ca="1"/>
        <v>-4.8959437784081389E-10</v>
      </c>
      <c r="U126" s="55">
        <f ca="1"/>
        <v>-3.120591653145092E-9</v>
      </c>
      <c r="V126" s="55">
        <f ca="1"/>
        <v>-1.0517536345897683E-8</v>
      </c>
      <c r="W126" s="55">
        <f ca="1"/>
        <v>-4.7343328290169613E-8</v>
      </c>
      <c r="X126" s="55">
        <f ca="1"/>
        <v>-3.9543757317862007E-7</v>
      </c>
      <c r="Y126" s="55" t="e">
        <f ca="1"/>
        <v>#N/A</v>
      </c>
      <c r="Z126" s="55" t="e">
        <f ca="1"/>
        <v>#N/A</v>
      </c>
      <c r="AA126" s="55" t="e">
        <f ca="1"/>
        <v>#N/A</v>
      </c>
      <c r="AB126" s="55" t="e">
        <f ca="1"/>
        <v>#N/A</v>
      </c>
      <c r="AC126" s="55" t="e">
        <f ca="1"/>
        <v>#N/A</v>
      </c>
      <c r="AD126" s="55" t="e">
        <f ca="1"/>
        <v>#N/A</v>
      </c>
      <c r="AE126" s="55" t="e">
        <f ca="1"/>
        <v>#N/A</v>
      </c>
      <c r="AF126" s="55" t="e">
        <f ca="1"/>
        <v>#N/A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e">
        <f ca="1"/>
        <v>#N/A</v>
      </c>
      <c r="F127" s="55" t="e">
        <f ca="1"/>
        <v>#N/A</v>
      </c>
      <c r="G127" s="55" t="e">
        <f ca="1"/>
        <v>#N/A</v>
      </c>
      <c r="H127" s="55" t="e">
        <f ca="1"/>
        <v>#N/A</v>
      </c>
      <c r="I127" s="55" t="e">
        <f ca="1"/>
        <v>#N/A</v>
      </c>
      <c r="J127" s="55" t="e">
        <f ca="1"/>
        <v>#N/A</v>
      </c>
      <c r="K127" s="55" t="e">
        <f ca="1"/>
        <v>#N/A</v>
      </c>
      <c r="L127" s="55" t="e">
        <f ca="1"/>
        <v>#N/A</v>
      </c>
      <c r="M127" s="55" t="e">
        <f ca="1"/>
        <v>#N/A</v>
      </c>
      <c r="N127" s="55" t="e">
        <f ca="1"/>
        <v>#N/A</v>
      </c>
      <c r="O127" s="55" t="e">
        <f ca="1"/>
        <v>#N/A</v>
      </c>
      <c r="P127" s="55" t="e">
        <f ca="1"/>
        <v>#N/A</v>
      </c>
      <c r="Q127" s="55" t="e">
        <f ca="1"/>
        <v>#N/A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6" priority="49" operator="equal">
      <formula>0</formula>
    </cfRule>
  </conditionalFormatting>
  <conditionalFormatting sqref="A80:D109">
    <cfRule type="cellIs" dxfId="5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C6C071D-4003-4C5C-9A78-C18F168C0DA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SOLID!F29:AK29</xm:f>
              <xm:sqref>AL29</xm:sqref>
            </x14:sparkline>
            <x14:sparkline>
              <xm:f>SOLID!F30:AK30</xm:f>
              <xm:sqref>AL30</xm:sqref>
            </x14:sparkline>
            <x14:sparkline>
              <xm:f>SOLID!F31:AK31</xm:f>
              <xm:sqref>AL31</xm:sqref>
            </x14:sparkline>
            <x14:sparkline>
              <xm:f>SOLID!F32:AK32</xm:f>
              <xm:sqref>AL32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Q156"/>
  <sheetViews>
    <sheetView zoomScale="85" zoomScaleNormal="85" workbookViewId="0">
      <pane ySplit="1" topLeftCell="A109" activePane="bottomLeft" state="frozen"/>
      <selection pane="bottomLeft" activeCell="DF142" sqref="DF142"/>
    </sheetView>
  </sheetViews>
  <sheetFormatPr defaultRowHeight="21" outlineLevelRow="1" x14ac:dyDescent="0.35"/>
  <cols>
    <col min="1" max="1" width="13.81640625" bestFit="1" customWidth="1"/>
    <col min="2" max="5" width="4.26953125" style="38" customWidth="1"/>
    <col min="6" max="33" width="4.26953125" hidden="1" customWidth="1"/>
    <col min="34" max="34" width="4.26953125" customWidth="1"/>
    <col min="35" max="94" width="4.26953125" hidden="1" customWidth="1"/>
    <col min="95" max="95" width="3.453125" style="55" customWidth="1"/>
    <col min="96" max="16384" width="8.7265625" style="37"/>
  </cols>
  <sheetData>
    <row r="1" spans="1:94" ht="18.75" customHeight="1" thickBot="1" x14ac:dyDescent="0.4">
      <c r="A1" s="34" t="s">
        <v>18</v>
      </c>
      <c r="B1" s="39">
        <v>290</v>
      </c>
      <c r="C1" s="69">
        <v>1000</v>
      </c>
      <c r="D1" s="70" t="s">
        <v>19</v>
      </c>
      <c r="E1" s="71">
        <v>80</v>
      </c>
      <c r="F1" s="37"/>
      <c r="G1" s="37"/>
      <c r="H1" s="37"/>
      <c r="I1" s="37"/>
      <c r="J1" s="37"/>
    </row>
    <row r="2" spans="1:94" ht="23.25" customHeight="1" thickTop="1" thickBot="1" x14ac:dyDescent="0.4">
      <c r="A2" s="4" t="s">
        <v>29</v>
      </c>
      <c r="B2" s="72">
        <f>FLUID!F45</f>
        <v>273.10000000000002</v>
      </c>
      <c r="C2" s="72">
        <f>FLUID!G45</f>
        <v>353.9</v>
      </c>
      <c r="D2" s="72">
        <f>FLUID!H45</f>
        <v>434.7</v>
      </c>
      <c r="E2" s="72">
        <f>FLUID!I45</f>
        <v>515.4</v>
      </c>
      <c r="F2" s="72">
        <f>FLUID!J45</f>
        <v>596.20000000000005</v>
      </c>
      <c r="G2" s="72">
        <f>FLUID!K45</f>
        <v>616.4</v>
      </c>
      <c r="H2" s="72">
        <f>FLUID!L45</f>
        <v>636.6</v>
      </c>
      <c r="I2" s="72">
        <f>FLUID!M45</f>
        <v>656.8</v>
      </c>
      <c r="J2" s="72">
        <f>FLUID!N45</f>
        <v>677</v>
      </c>
      <c r="K2" s="72">
        <f>FLUID!O45</f>
        <v>697.1</v>
      </c>
      <c r="L2" s="72">
        <f>FLUID!P45</f>
        <v>717.3</v>
      </c>
      <c r="M2" s="72">
        <f>FLUID!Q45</f>
        <v>737.5</v>
      </c>
      <c r="N2" s="72">
        <f>FLUID!R45</f>
        <v>757.7</v>
      </c>
      <c r="O2" s="72">
        <f>FLUID!S45</f>
        <v>777.9</v>
      </c>
      <c r="P2" s="72">
        <f>FLUID!T45</f>
        <v>798.1</v>
      </c>
      <c r="Q2" s="72">
        <f>FLUID!U45</f>
        <v>818.3</v>
      </c>
      <c r="R2" s="72">
        <f>FLUID!V45</f>
        <v>838.5</v>
      </c>
      <c r="S2" s="72">
        <f>FLUID!W45</f>
        <v>858.7</v>
      </c>
      <c r="T2" s="72">
        <f>FLUID!X45</f>
        <v>878.9</v>
      </c>
      <c r="U2" s="72">
        <f>FLUID!Y45</f>
        <v>899</v>
      </c>
      <c r="V2" s="72">
        <f>FLUID!Z45</f>
        <v>919.2</v>
      </c>
      <c r="W2" s="72">
        <f>FLUID!AA45</f>
        <v>1000</v>
      </c>
      <c r="X2" s="72">
        <f>FLUID!AB45</f>
        <v>0</v>
      </c>
      <c r="Y2" s="72">
        <f>FLUID!AC45</f>
        <v>0</v>
      </c>
      <c r="Z2" s="72">
        <f>FLUID!AD45</f>
        <v>0</v>
      </c>
      <c r="AA2" s="72">
        <f>FLUID!AE45</f>
        <v>0</v>
      </c>
      <c r="AB2" s="72">
        <f>FLUID!AF45</f>
        <v>0</v>
      </c>
      <c r="AC2" s="72">
        <f>FLUID!AG45</f>
        <v>0</v>
      </c>
      <c r="AD2" s="72">
        <f>FLUID!AH45</f>
        <v>0</v>
      </c>
      <c r="AE2" s="72">
        <f>FLUID!AI45</f>
        <v>0</v>
      </c>
      <c r="AF2" s="72">
        <f>FLUID!AJ45</f>
        <v>0</v>
      </c>
      <c r="AG2" s="72">
        <f>FLUID!AK45</f>
        <v>0</v>
      </c>
      <c r="AH2" s="72">
        <f>FLUID!AL45</f>
        <v>0</v>
      </c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</row>
    <row r="3" spans="1:94" ht="22.5" hidden="1" outlineLevel="1" thickTop="1" thickBot="1" x14ac:dyDescent="0.4">
      <c r="A3" s="48" t="str">
        <f>FLUID!E46</f>
        <v>*Ge3Se4</v>
      </c>
      <c r="B3" s="16">
        <f ca="1">FLUID!F46</f>
        <v>-142.94999999999999</v>
      </c>
      <c r="C3" s="16">
        <f ca="1">FLUID!G46</f>
        <v>-117.94999999999999</v>
      </c>
      <c r="D3" s="16">
        <f ca="1">FLUID!H46</f>
        <v>-103.12</v>
      </c>
      <c r="E3" s="16">
        <f ca="1">FLUID!I46</f>
        <v>-93.58</v>
      </c>
      <c r="F3" s="14">
        <f ca="1">FLUID!J46</f>
        <v>-87.09</v>
      </c>
      <c r="G3" s="14">
        <f ca="1">FLUID!K46</f>
        <v>-85.789999999999992</v>
      </c>
      <c r="H3" s="14">
        <f ca="1">FLUID!L46</f>
        <v>-84.61</v>
      </c>
      <c r="I3" s="14">
        <f ca="1">FLUID!M46</f>
        <v>-83.53</v>
      </c>
      <c r="J3" s="14">
        <f ca="1">FLUID!N46</f>
        <v>-82.53</v>
      </c>
      <c r="K3" s="14">
        <f ca="1">FLUID!O46</f>
        <v>-81.599999999999994</v>
      </c>
      <c r="L3" s="14">
        <f ca="1">FLUID!P46</f>
        <v>-80.740000000000009</v>
      </c>
      <c r="M3" s="14">
        <f ca="1">FLUID!Q46</f>
        <v>-80</v>
      </c>
      <c r="N3" s="14">
        <f ca="1">FLUID!R46</f>
        <v>-79.36</v>
      </c>
      <c r="O3" s="14">
        <f ca="1">FLUID!S46</f>
        <v>-78.84</v>
      </c>
      <c r="P3" s="14">
        <f ca="1">FLUID!T46</f>
        <v>-78.349999999999994</v>
      </c>
      <c r="Q3" s="14">
        <f ca="1">FLUID!U46</f>
        <v>-77.900000000000006</v>
      </c>
      <c r="R3" s="14">
        <f ca="1">FLUID!V46</f>
        <v>-77.509999999999991</v>
      </c>
      <c r="S3" s="14">
        <f ca="1">FLUID!W46</f>
        <v>-77.12</v>
      </c>
      <c r="T3" s="14">
        <f ca="1">FLUID!X46</f>
        <v>-76.83</v>
      </c>
      <c r="U3" s="14">
        <f ca="1">FLUID!Y46</f>
        <v>-76.569999999999993</v>
      </c>
      <c r="V3" s="14">
        <f ca="1">FLUID!Z46</f>
        <v>-76.34</v>
      </c>
      <c r="W3" s="14">
        <f ca="1">FLUID!AA46</f>
        <v>-75.736000000000004</v>
      </c>
      <c r="X3" s="14">
        <f ca="1">FLUID!AB46</f>
        <v>0</v>
      </c>
      <c r="Y3" s="14">
        <f ca="1">FLUID!AC46</f>
        <v>0</v>
      </c>
      <c r="Z3" s="14">
        <f ca="1">FLUID!AD46</f>
        <v>0</v>
      </c>
      <c r="AA3" s="14">
        <f ca="1">FLUID!AE46</f>
        <v>0</v>
      </c>
      <c r="AB3" s="14">
        <f ca="1">FLUID!AF46</f>
        <v>0</v>
      </c>
      <c r="AC3" s="14">
        <f ca="1">FLUID!AG46</f>
        <v>0</v>
      </c>
      <c r="AD3" s="14">
        <f ca="1">FLUID!AH46</f>
        <v>0</v>
      </c>
      <c r="AE3" s="14">
        <f ca="1">FLUID!AI46</f>
        <v>0</v>
      </c>
      <c r="AF3" s="14">
        <f ca="1">FLUID!AJ46</f>
        <v>0</v>
      </c>
      <c r="AG3" s="14">
        <f ca="1">FLUID!AK46</f>
        <v>0</v>
      </c>
      <c r="AH3" s="14">
        <f ca="1">FLUID!AL46</f>
        <v>0</v>
      </c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</row>
    <row r="4" spans="1:94" ht="22.5" hidden="1" outlineLevel="1" thickTop="1" thickBot="1" x14ac:dyDescent="0.4">
      <c r="A4" s="36" t="str">
        <f>FLUID!E47</f>
        <v>*Ge4Se5</v>
      </c>
      <c r="B4" s="16">
        <f ca="1">FLUID!F47</f>
        <v>-182.76</v>
      </c>
      <c r="C4" s="16">
        <f ca="1">FLUID!G47</f>
        <v>-150.88999999999999</v>
      </c>
      <c r="D4" s="16">
        <f ca="1">FLUID!H47</f>
        <v>-132</v>
      </c>
      <c r="E4" s="16">
        <f ca="1">FLUID!I47</f>
        <v>-119.86</v>
      </c>
      <c r="F4" s="14">
        <f ca="1">FLUID!J47</f>
        <v>-111.60999999999999</v>
      </c>
      <c r="G4" s="14">
        <f ca="1">FLUID!K47</f>
        <v>-109.96</v>
      </c>
      <c r="H4" s="14">
        <f ca="1">FLUID!L47</f>
        <v>-108.46</v>
      </c>
      <c r="I4" s="14">
        <f ca="1">FLUID!M47</f>
        <v>-107.09</v>
      </c>
      <c r="J4" s="14">
        <f ca="1">FLUID!N47</f>
        <v>-105.82</v>
      </c>
      <c r="K4" s="14">
        <f ca="1">FLUID!O47</f>
        <v>-104.64000000000001</v>
      </c>
      <c r="L4" s="14">
        <f ca="1">FLUID!P47</f>
        <v>-103.55000000000001</v>
      </c>
      <c r="M4" s="14">
        <f ca="1">FLUID!Q47</f>
        <v>-102.63</v>
      </c>
      <c r="N4" s="14">
        <f ca="1">FLUID!R47</f>
        <v>-101.84</v>
      </c>
      <c r="O4" s="14">
        <f ca="1">FLUID!S47</f>
        <v>-101.21000000000001</v>
      </c>
      <c r="P4" s="14">
        <f ca="1">FLUID!T47</f>
        <v>-100.62</v>
      </c>
      <c r="Q4" s="14">
        <f ca="1">FLUID!U47</f>
        <v>-100.08</v>
      </c>
      <c r="R4" s="14">
        <f ca="1">FLUID!V47</f>
        <v>-99.62</v>
      </c>
      <c r="S4" s="14">
        <f ca="1">FLUID!W47</f>
        <v>-99.16</v>
      </c>
      <c r="T4" s="14">
        <f ca="1">FLUID!X47</f>
        <v>-98.83</v>
      </c>
      <c r="U4" s="14">
        <f ca="1">FLUID!Y47</f>
        <v>-98.539999999999992</v>
      </c>
      <c r="V4" s="14">
        <f ca="1">FLUID!Z47</f>
        <v>-98.29</v>
      </c>
      <c r="W4" s="14">
        <f ca="1">FLUID!AA47</f>
        <v>-97.705000000000013</v>
      </c>
      <c r="X4" s="14">
        <f ca="1">FLUID!AB47</f>
        <v>0</v>
      </c>
      <c r="Y4" s="14">
        <f ca="1">FLUID!AC47</f>
        <v>0</v>
      </c>
      <c r="Z4" s="14">
        <f ca="1">FLUID!AD47</f>
        <v>0</v>
      </c>
      <c r="AA4" s="14">
        <f ca="1">FLUID!AE47</f>
        <v>0</v>
      </c>
      <c r="AB4" s="14">
        <f ca="1">FLUID!AF47</f>
        <v>0</v>
      </c>
      <c r="AC4" s="14">
        <f ca="1">FLUID!AG47</f>
        <v>0</v>
      </c>
      <c r="AD4" s="14">
        <f ca="1">FLUID!AH47</f>
        <v>0</v>
      </c>
      <c r="AE4" s="14">
        <f ca="1">FLUID!AI47</f>
        <v>0</v>
      </c>
      <c r="AF4" s="14">
        <f ca="1">FLUID!AJ47</f>
        <v>0</v>
      </c>
      <c r="AG4" s="14">
        <f ca="1">FLUID!AK47</f>
        <v>0</v>
      </c>
      <c r="AH4" s="14">
        <f ca="1">FLUID!AL47</f>
        <v>0</v>
      </c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</row>
    <row r="5" spans="1:94" ht="22.5" hidden="1" outlineLevel="1" thickTop="1" thickBot="1" x14ac:dyDescent="0.4">
      <c r="A5" s="36" t="str">
        <f>FLUID!E48</f>
        <v>*GeSe2</v>
      </c>
      <c r="B5" s="16">
        <f ca="1">FLUID!F48</f>
        <v>-63.33</v>
      </c>
      <c r="C5" s="16">
        <f ca="1">FLUID!G48</f>
        <v>-52.07</v>
      </c>
      <c r="D5" s="16">
        <f ca="1">FLUID!H48</f>
        <v>-45.36</v>
      </c>
      <c r="E5" s="16">
        <f ca="1">FLUID!I48</f>
        <v>-41.019999999999996</v>
      </c>
      <c r="F5" s="14">
        <f ca="1">FLUID!J48</f>
        <v>-38.049999999999997</v>
      </c>
      <c r="G5" s="14">
        <f ca="1">FLUID!K48</f>
        <v>-37.450000000000003</v>
      </c>
      <c r="H5" s="14">
        <f ca="1">FLUID!L48</f>
        <v>-36.909999999999997</v>
      </c>
      <c r="I5" s="14">
        <f ca="1">FLUID!M48</f>
        <v>-36.409999999999997</v>
      </c>
      <c r="J5" s="14">
        <f ca="1">FLUID!N48</f>
        <v>-35.950000000000003</v>
      </c>
      <c r="K5" s="14">
        <f ca="1">FLUID!O48</f>
        <v>-35.520000000000003</v>
      </c>
      <c r="L5" s="14">
        <f ca="1">FLUID!P48</f>
        <v>-35.120000000000005</v>
      </c>
      <c r="M5" s="14">
        <f ca="1">FLUID!Q48</f>
        <v>-34.739999999999995</v>
      </c>
      <c r="N5" s="14">
        <f ca="1">FLUID!R48</f>
        <v>-34.4</v>
      </c>
      <c r="O5" s="14">
        <f ca="1">FLUID!S48</f>
        <v>-34.1</v>
      </c>
      <c r="P5" s="14">
        <f ca="1">FLUID!T48</f>
        <v>-33.81</v>
      </c>
      <c r="Q5" s="14">
        <f ca="1">FLUID!U48</f>
        <v>-33.54</v>
      </c>
      <c r="R5" s="14">
        <f ca="1">FLUID!V48</f>
        <v>-33.29</v>
      </c>
      <c r="S5" s="14">
        <f ca="1">FLUID!W48</f>
        <v>-33.04</v>
      </c>
      <c r="T5" s="14">
        <f ca="1">FLUID!X48</f>
        <v>-32.83</v>
      </c>
      <c r="U5" s="14">
        <f ca="1">FLUID!Y48</f>
        <v>-32.630000000000003</v>
      </c>
      <c r="V5" s="14">
        <f ca="1">FLUID!Z48</f>
        <v>-32.44</v>
      </c>
      <c r="W5" s="14">
        <f ca="1">FLUID!AA48</f>
        <v>-31.798000000000002</v>
      </c>
      <c r="X5" s="14">
        <f ca="1">FLUID!AB48</f>
        <v>0</v>
      </c>
      <c r="Y5" s="14">
        <f ca="1">FLUID!AC48</f>
        <v>0</v>
      </c>
      <c r="Z5" s="14">
        <f ca="1">FLUID!AD48</f>
        <v>0</v>
      </c>
      <c r="AA5" s="14">
        <f ca="1">FLUID!AE48</f>
        <v>0</v>
      </c>
      <c r="AB5" s="14">
        <f ca="1">FLUID!AF48</f>
        <v>0</v>
      </c>
      <c r="AC5" s="14">
        <f ca="1">FLUID!AG48</f>
        <v>0</v>
      </c>
      <c r="AD5" s="14">
        <f ca="1">FLUID!AH48</f>
        <v>0</v>
      </c>
      <c r="AE5" s="14">
        <f ca="1">FLUID!AI48</f>
        <v>0</v>
      </c>
      <c r="AF5" s="14">
        <f ca="1">FLUID!AJ48</f>
        <v>0</v>
      </c>
      <c r="AG5" s="14">
        <f ca="1">FLUID!AK48</f>
        <v>0</v>
      </c>
      <c r="AH5" s="14">
        <f ca="1">FLUID!AL48</f>
        <v>0</v>
      </c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</row>
    <row r="6" spans="1:94" ht="22.5" hidden="1" outlineLevel="1" thickTop="1" thickBot="1" x14ac:dyDescent="0.4">
      <c r="A6" s="36" t="str">
        <f>FLUID!E49</f>
        <v>*GeSe</v>
      </c>
      <c r="B6" s="16">
        <f ca="1">FLUID!F49</f>
        <v>-39.81</v>
      </c>
      <c r="C6" s="16">
        <f ca="1">FLUID!G49</f>
        <v>-32.94</v>
      </c>
      <c r="D6" s="16">
        <f ca="1">FLUID!H49</f>
        <v>-28.880000000000003</v>
      </c>
      <c r="E6" s="16">
        <f ca="1">FLUID!I49</f>
        <v>-26.28</v>
      </c>
      <c r="F6" s="14">
        <f ca="1">FLUID!J49</f>
        <v>-24.52</v>
      </c>
      <c r="G6" s="14">
        <f ca="1">FLUID!K49</f>
        <v>-24.17</v>
      </c>
      <c r="H6" s="14">
        <f ca="1">FLUID!L49</f>
        <v>-23.85</v>
      </c>
      <c r="I6" s="14">
        <f ca="1">FLUID!M49</f>
        <v>-23.560000000000002</v>
      </c>
      <c r="J6" s="14">
        <f ca="1">FLUID!N49</f>
        <v>-23.29</v>
      </c>
      <c r="K6" s="14">
        <f ca="1">FLUID!O49</f>
        <v>-23.04</v>
      </c>
      <c r="L6" s="14">
        <f ca="1">FLUID!P49</f>
        <v>-22.810000000000002</v>
      </c>
      <c r="M6" s="14">
        <f ca="1">FLUID!Q49</f>
        <v>-22.63</v>
      </c>
      <c r="N6" s="14">
        <f ca="1">FLUID!R49</f>
        <v>-22.48</v>
      </c>
      <c r="O6" s="14">
        <f ca="1">FLUID!S49</f>
        <v>-22.37</v>
      </c>
      <c r="P6" s="14">
        <f ca="1">FLUID!T49</f>
        <v>-22.27</v>
      </c>
      <c r="Q6" s="14">
        <f ca="1">FLUID!U49</f>
        <v>-22.18</v>
      </c>
      <c r="R6" s="14">
        <f ca="1">FLUID!V49</f>
        <v>-22.11</v>
      </c>
      <c r="S6" s="14">
        <f ca="1">FLUID!W49</f>
        <v>-22.04</v>
      </c>
      <c r="T6" s="14">
        <f ca="1">FLUID!X49</f>
        <v>-22</v>
      </c>
      <c r="U6" s="14">
        <f ca="1">FLUID!Y49</f>
        <v>-21.97</v>
      </c>
      <c r="V6" s="14">
        <f ca="1">FLUID!Z49</f>
        <v>-21.950000000000003</v>
      </c>
      <c r="W6" s="14">
        <f ca="1">FLUID!AA49</f>
        <v>-21.969000000000001</v>
      </c>
      <c r="X6" s="14">
        <f ca="1">FLUID!AB49</f>
        <v>0</v>
      </c>
      <c r="Y6" s="14">
        <f ca="1">FLUID!AC49</f>
        <v>0</v>
      </c>
      <c r="Z6" s="14">
        <f ca="1">FLUID!AD49</f>
        <v>0</v>
      </c>
      <c r="AA6" s="14">
        <f ca="1">FLUID!AE49</f>
        <v>0</v>
      </c>
      <c r="AB6" s="14">
        <f ca="1">FLUID!AF49</f>
        <v>0</v>
      </c>
      <c r="AC6" s="14">
        <f ca="1">FLUID!AG49</f>
        <v>0</v>
      </c>
      <c r="AD6" s="14">
        <f ca="1">FLUID!AH49</f>
        <v>0</v>
      </c>
      <c r="AE6" s="14">
        <f ca="1">FLUID!AI49</f>
        <v>0</v>
      </c>
      <c r="AF6" s="14">
        <f ca="1">FLUID!AJ49</f>
        <v>0</v>
      </c>
      <c r="AG6" s="14">
        <f ca="1">FLUID!AK49</f>
        <v>0</v>
      </c>
      <c r="AH6" s="14">
        <f ca="1">FLUID!AL49</f>
        <v>0</v>
      </c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</row>
    <row r="7" spans="1:94" ht="22.5" hidden="1" outlineLevel="1" thickTop="1" thickBot="1" x14ac:dyDescent="0.4">
      <c r="A7" s="36" t="str">
        <f>FLUID!E50</f>
        <v>Se7</v>
      </c>
      <c r="B7" s="16">
        <f ca="1">FLUID!F50</f>
        <v>-164.64</v>
      </c>
      <c r="C7" s="16">
        <f ca="1">FLUID!G50</f>
        <v>-133.91</v>
      </c>
      <c r="D7" s="16">
        <f ca="1">FLUID!H50</f>
        <v>-115.36</v>
      </c>
      <c r="E7" s="16">
        <f ca="1">FLUID!I50</f>
        <v>-103.18</v>
      </c>
      <c r="F7" s="14">
        <f ca="1">FLUID!J50</f>
        <v>-94.71</v>
      </c>
      <c r="G7" s="14">
        <f ca="1">FLUID!K50</f>
        <v>-92.96</v>
      </c>
      <c r="H7" s="14">
        <f ca="1">FLUID!L50</f>
        <v>-91.42</v>
      </c>
      <c r="I7" s="14">
        <f ca="1">FLUID!M50</f>
        <v>-89.95</v>
      </c>
      <c r="J7" s="14">
        <f ca="1">FLUID!N50</f>
        <v>-88.62</v>
      </c>
      <c r="K7" s="14">
        <f ca="1">FLUID!O50</f>
        <v>-87.36</v>
      </c>
      <c r="L7" s="14">
        <f ca="1">FLUID!P50</f>
        <v>-86.17</v>
      </c>
      <c r="M7" s="14">
        <f ca="1">FLUID!Q50</f>
        <v>-84.77</v>
      </c>
      <c r="N7" s="14">
        <f ca="1">FLUID!R50</f>
        <v>-83.44</v>
      </c>
      <c r="O7" s="14">
        <f ca="1">FLUID!S50</f>
        <v>-82.11</v>
      </c>
      <c r="P7" s="14">
        <f ca="1">FLUID!T50</f>
        <v>-80.78</v>
      </c>
      <c r="Q7" s="14">
        <f ca="1">FLUID!U50</f>
        <v>-79.52</v>
      </c>
      <c r="R7" s="14">
        <f ca="1">FLUID!V50</f>
        <v>-78.259999999999991</v>
      </c>
      <c r="S7" s="14">
        <f ca="1">FLUID!W50</f>
        <v>-77</v>
      </c>
      <c r="T7" s="14">
        <f ca="1">FLUID!X50</f>
        <v>-75.81</v>
      </c>
      <c r="U7" s="14">
        <f ca="1">FLUID!Y50</f>
        <v>-74.62</v>
      </c>
      <c r="V7" s="14">
        <f ca="1">FLUID!Z50</f>
        <v>-73.430000000000007</v>
      </c>
      <c r="W7" s="14">
        <f ca="1">FLUID!AA50</f>
        <v>-68.802999999999997</v>
      </c>
      <c r="X7" s="14">
        <f ca="1">FLUID!AB50</f>
        <v>0</v>
      </c>
      <c r="Y7" s="14">
        <f ca="1">FLUID!AC50</f>
        <v>0</v>
      </c>
      <c r="Z7" s="14">
        <f ca="1">FLUID!AD50</f>
        <v>0</v>
      </c>
      <c r="AA7" s="14">
        <f ca="1">FLUID!AE50</f>
        <v>0</v>
      </c>
      <c r="AB7" s="14">
        <f ca="1">FLUID!AF50</f>
        <v>0</v>
      </c>
      <c r="AC7" s="14">
        <f ca="1">FLUID!AG50</f>
        <v>0</v>
      </c>
      <c r="AD7" s="14">
        <f ca="1">FLUID!AH50</f>
        <v>0</v>
      </c>
      <c r="AE7" s="14">
        <f ca="1">FLUID!AI50</f>
        <v>0</v>
      </c>
      <c r="AF7" s="14">
        <f ca="1">FLUID!AJ50</f>
        <v>0</v>
      </c>
      <c r="AG7" s="14">
        <f ca="1">FLUID!AK50</f>
        <v>0</v>
      </c>
      <c r="AH7" s="14">
        <f ca="1">FLUID!AL50</f>
        <v>0</v>
      </c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</row>
    <row r="8" spans="1:94" ht="22.5" hidden="1" outlineLevel="1" thickTop="1" thickBot="1" x14ac:dyDescent="0.4">
      <c r="A8" s="36" t="str">
        <f>FLUID!E51</f>
        <v>Se6</v>
      </c>
      <c r="B8" s="16">
        <f ca="1">FLUID!F51</f>
        <v>-141.12</v>
      </c>
      <c r="C8" s="16">
        <f ca="1">FLUID!G51</f>
        <v>-114.78</v>
      </c>
      <c r="D8" s="16">
        <f ca="1">FLUID!H51</f>
        <v>-98.88</v>
      </c>
      <c r="E8" s="16">
        <f ca="1">FLUID!I51</f>
        <v>-88.44</v>
      </c>
      <c r="F8" s="14">
        <f ca="1">FLUID!J51</f>
        <v>-81.179999999999993</v>
      </c>
      <c r="G8" s="14">
        <f ca="1">FLUID!K51</f>
        <v>-79.679999999999993</v>
      </c>
      <c r="H8" s="14">
        <f ca="1">FLUID!L51</f>
        <v>-78.36</v>
      </c>
      <c r="I8" s="14">
        <f ca="1">FLUID!M51</f>
        <v>-77.099999999999994</v>
      </c>
      <c r="J8" s="14">
        <f ca="1">FLUID!N51</f>
        <v>-75.960000000000008</v>
      </c>
      <c r="K8" s="14">
        <f ca="1">FLUID!O51</f>
        <v>-74.88</v>
      </c>
      <c r="L8" s="14">
        <f ca="1">FLUID!P51</f>
        <v>-73.86</v>
      </c>
      <c r="M8" s="14">
        <f ca="1">FLUID!Q51</f>
        <v>-72.66</v>
      </c>
      <c r="N8" s="14">
        <f ca="1">FLUID!R51</f>
        <v>-71.52</v>
      </c>
      <c r="O8" s="14">
        <f ca="1">FLUID!S51</f>
        <v>-70.38</v>
      </c>
      <c r="P8" s="14">
        <f ca="1">FLUID!T51</f>
        <v>-69.239999999999995</v>
      </c>
      <c r="Q8" s="14">
        <f ca="1">FLUID!U51</f>
        <v>-68.16</v>
      </c>
      <c r="R8" s="14">
        <f ca="1">FLUID!V51</f>
        <v>-67.08</v>
      </c>
      <c r="S8" s="14">
        <f ca="1">FLUID!W51</f>
        <v>-66</v>
      </c>
      <c r="T8" s="14">
        <f ca="1">FLUID!X51</f>
        <v>-64.98</v>
      </c>
      <c r="U8" s="14">
        <f ca="1">FLUID!Y51</f>
        <v>-63.96</v>
      </c>
      <c r="V8" s="14">
        <f ca="1">FLUID!Z51</f>
        <v>-62.94</v>
      </c>
      <c r="W8" s="14">
        <f ca="1">FLUID!AA51</f>
        <v>-58.974000000000004</v>
      </c>
      <c r="X8" s="14">
        <f ca="1">FLUID!AB51</f>
        <v>0</v>
      </c>
      <c r="Y8" s="14">
        <f ca="1">FLUID!AC51</f>
        <v>0</v>
      </c>
      <c r="Z8" s="14">
        <f ca="1">FLUID!AD51</f>
        <v>0</v>
      </c>
      <c r="AA8" s="14">
        <f ca="1">FLUID!AE51</f>
        <v>0</v>
      </c>
      <c r="AB8" s="14">
        <f ca="1">FLUID!AF51</f>
        <v>0</v>
      </c>
      <c r="AC8" s="14">
        <f ca="1">FLUID!AG51</f>
        <v>0</v>
      </c>
      <c r="AD8" s="14">
        <f ca="1">FLUID!AH51</f>
        <v>0</v>
      </c>
      <c r="AE8" s="14">
        <f ca="1">FLUID!AI51</f>
        <v>0</v>
      </c>
      <c r="AF8" s="14">
        <f ca="1">FLUID!AJ51</f>
        <v>0</v>
      </c>
      <c r="AG8" s="14">
        <f ca="1">FLUID!AK51</f>
        <v>0</v>
      </c>
      <c r="AH8" s="14">
        <f ca="1">FLUID!AL51</f>
        <v>0</v>
      </c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</row>
    <row r="9" spans="1:94" ht="22.5" hidden="1" outlineLevel="1" thickTop="1" thickBot="1" x14ac:dyDescent="0.4">
      <c r="A9" s="36" t="str">
        <f>FLUID!E52</f>
        <v>Se5</v>
      </c>
      <c r="B9" s="16">
        <f ca="1">FLUID!F52</f>
        <v>-117.6</v>
      </c>
      <c r="C9" s="16">
        <f ca="1">FLUID!G52</f>
        <v>-95.649999999999991</v>
      </c>
      <c r="D9" s="16">
        <f ca="1">FLUID!H52</f>
        <v>-82.4</v>
      </c>
      <c r="E9" s="16">
        <f ca="1">FLUID!I52</f>
        <v>-73.7</v>
      </c>
      <c r="F9" s="14">
        <f ca="1">FLUID!J52</f>
        <v>-67.649999999999991</v>
      </c>
      <c r="G9" s="14">
        <f ca="1">FLUID!K52</f>
        <v>-66.399999999999991</v>
      </c>
      <c r="H9" s="14">
        <f ca="1">FLUID!L52</f>
        <v>-65.3</v>
      </c>
      <c r="I9" s="14">
        <f ca="1">FLUID!M52</f>
        <v>-64.25</v>
      </c>
      <c r="J9" s="14">
        <f ca="1">FLUID!N52</f>
        <v>-63.3</v>
      </c>
      <c r="K9" s="14">
        <f ca="1">FLUID!O52</f>
        <v>-62.400000000000006</v>
      </c>
      <c r="L9" s="14">
        <f ca="1">FLUID!P52</f>
        <v>-61.550000000000004</v>
      </c>
      <c r="M9" s="14">
        <f ca="1">FLUID!Q52</f>
        <v>-60.55</v>
      </c>
      <c r="N9" s="14">
        <f ca="1">FLUID!R52</f>
        <v>-59.6</v>
      </c>
      <c r="O9" s="14">
        <f ca="1">FLUID!S52</f>
        <v>-58.650000000000006</v>
      </c>
      <c r="P9" s="14">
        <f ca="1">FLUID!T52</f>
        <v>-57.699999999999996</v>
      </c>
      <c r="Q9" s="14">
        <f ca="1">FLUID!U52</f>
        <v>-56.8</v>
      </c>
      <c r="R9" s="14">
        <f ca="1">FLUID!V52</f>
        <v>-55.9</v>
      </c>
      <c r="S9" s="14">
        <f ca="1">FLUID!W52</f>
        <v>-55</v>
      </c>
      <c r="T9" s="14">
        <f ca="1">FLUID!X52</f>
        <v>-54.15</v>
      </c>
      <c r="U9" s="14">
        <f ca="1">FLUID!Y52</f>
        <v>-53.3</v>
      </c>
      <c r="V9" s="14">
        <f ca="1">FLUID!Z52</f>
        <v>-52.45</v>
      </c>
      <c r="W9" s="14">
        <f ca="1">FLUID!AA52</f>
        <v>-49.145000000000003</v>
      </c>
      <c r="X9" s="14">
        <f ca="1">FLUID!AB52</f>
        <v>0</v>
      </c>
      <c r="Y9" s="14">
        <f ca="1">FLUID!AC52</f>
        <v>0</v>
      </c>
      <c r="Z9" s="14">
        <f ca="1">FLUID!AD52</f>
        <v>0</v>
      </c>
      <c r="AA9" s="14">
        <f ca="1">FLUID!AE52</f>
        <v>0</v>
      </c>
      <c r="AB9" s="14">
        <f ca="1">FLUID!AF52</f>
        <v>0</v>
      </c>
      <c r="AC9" s="14">
        <f ca="1">FLUID!AG52</f>
        <v>0</v>
      </c>
      <c r="AD9" s="14">
        <f ca="1">FLUID!AH52</f>
        <v>0</v>
      </c>
      <c r="AE9" s="14">
        <f ca="1">FLUID!AI52</f>
        <v>0</v>
      </c>
      <c r="AF9" s="14">
        <f ca="1">FLUID!AJ52</f>
        <v>0</v>
      </c>
      <c r="AG9" s="14">
        <f ca="1">FLUID!AK52</f>
        <v>0</v>
      </c>
      <c r="AH9" s="14">
        <f ca="1">FLUID!AL52</f>
        <v>0</v>
      </c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</row>
    <row r="10" spans="1:94" ht="22.5" hidden="1" outlineLevel="1" thickTop="1" thickBot="1" x14ac:dyDescent="0.4">
      <c r="A10" s="36" t="str">
        <f>FLUID!E53</f>
        <v>Se4</v>
      </c>
      <c r="B10" s="16">
        <f ca="1">FLUID!F53</f>
        <v>-94.08</v>
      </c>
      <c r="C10" s="16">
        <f ca="1">FLUID!G53</f>
        <v>-76.52</v>
      </c>
      <c r="D10" s="16">
        <f ca="1">FLUID!H53</f>
        <v>-65.92</v>
      </c>
      <c r="E10" s="16">
        <f ca="1">FLUID!I53</f>
        <v>-58.96</v>
      </c>
      <c r="F10" s="14">
        <f ca="1">FLUID!J53</f>
        <v>-54.12</v>
      </c>
      <c r="G10" s="14">
        <f ca="1">FLUID!K53</f>
        <v>-53.12</v>
      </c>
      <c r="H10" s="14">
        <f ca="1">FLUID!L53</f>
        <v>-52.24</v>
      </c>
      <c r="I10" s="14">
        <f ca="1">FLUID!M53</f>
        <v>-51.4</v>
      </c>
      <c r="J10" s="14">
        <f ca="1">FLUID!N53</f>
        <v>-50.64</v>
      </c>
      <c r="K10" s="14">
        <f ca="1">FLUID!O53</f>
        <v>-49.92</v>
      </c>
      <c r="L10" s="14">
        <f ca="1">FLUID!P53</f>
        <v>-49.24</v>
      </c>
      <c r="M10" s="14">
        <f ca="1">FLUID!Q53</f>
        <v>-48.44</v>
      </c>
      <c r="N10" s="14">
        <f ca="1">FLUID!R53</f>
        <v>-47.68</v>
      </c>
      <c r="O10" s="14">
        <f ca="1">FLUID!S53</f>
        <v>-46.92</v>
      </c>
      <c r="P10" s="14">
        <f ca="1">FLUID!T53</f>
        <v>-46.16</v>
      </c>
      <c r="Q10" s="14">
        <f ca="1">FLUID!U53</f>
        <v>-45.44</v>
      </c>
      <c r="R10" s="14">
        <f ca="1">FLUID!V53</f>
        <v>-44.72</v>
      </c>
      <c r="S10" s="14">
        <f ca="1">FLUID!W53</f>
        <v>-44</v>
      </c>
      <c r="T10" s="14">
        <f ca="1">FLUID!X53</f>
        <v>-43.32</v>
      </c>
      <c r="U10" s="14">
        <f ca="1">FLUID!Y53</f>
        <v>-42.64</v>
      </c>
      <c r="V10" s="14">
        <f ca="1">FLUID!Z53</f>
        <v>-41.96</v>
      </c>
      <c r="W10" s="14">
        <f ca="1">FLUID!AA53</f>
        <v>-39.316000000000003</v>
      </c>
      <c r="X10" s="14">
        <f ca="1">FLUID!AB53</f>
        <v>0</v>
      </c>
      <c r="Y10" s="14">
        <f ca="1">FLUID!AC53</f>
        <v>0</v>
      </c>
      <c r="Z10" s="14">
        <f ca="1">FLUID!AD53</f>
        <v>0</v>
      </c>
      <c r="AA10" s="14">
        <f ca="1">FLUID!AE53</f>
        <v>0</v>
      </c>
      <c r="AB10" s="14">
        <f ca="1">FLUID!AF53</f>
        <v>0</v>
      </c>
      <c r="AC10" s="14">
        <f ca="1">FLUID!AG53</f>
        <v>0</v>
      </c>
      <c r="AD10" s="14">
        <f ca="1">FLUID!AH53</f>
        <v>0</v>
      </c>
      <c r="AE10" s="14">
        <f ca="1">FLUID!AI53</f>
        <v>0</v>
      </c>
      <c r="AF10" s="14">
        <f ca="1">FLUID!AJ53</f>
        <v>0</v>
      </c>
      <c r="AG10" s="14">
        <f ca="1">FLUID!AK53</f>
        <v>0</v>
      </c>
      <c r="AH10" s="14">
        <f ca="1">FLUID!AL53</f>
        <v>0</v>
      </c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</row>
    <row r="11" spans="1:94" ht="22.5" hidden="1" outlineLevel="1" thickTop="1" thickBot="1" x14ac:dyDescent="0.4">
      <c r="A11" s="36" t="str">
        <f>FLUID!E54</f>
        <v>Se3</v>
      </c>
      <c r="B11" s="16">
        <f ca="1">FLUID!F54</f>
        <v>-70.56</v>
      </c>
      <c r="C11" s="16">
        <f ca="1">FLUID!G54</f>
        <v>-57.39</v>
      </c>
      <c r="D11" s="16">
        <f ca="1">FLUID!H54</f>
        <v>-49.44</v>
      </c>
      <c r="E11" s="16">
        <f ca="1">FLUID!I54</f>
        <v>-44.22</v>
      </c>
      <c r="F11" s="14">
        <f ca="1">FLUID!J54</f>
        <v>-40.589999999999996</v>
      </c>
      <c r="G11" s="14">
        <f ca="1">FLUID!K54</f>
        <v>-39.839999999999996</v>
      </c>
      <c r="H11" s="14">
        <f ca="1">FLUID!L54</f>
        <v>-39.18</v>
      </c>
      <c r="I11" s="14">
        <f ca="1">FLUID!M54</f>
        <v>-38.549999999999997</v>
      </c>
      <c r="J11" s="14">
        <f ca="1">FLUID!N54</f>
        <v>-37.980000000000004</v>
      </c>
      <c r="K11" s="14">
        <f ca="1">FLUID!O54</f>
        <v>-37.44</v>
      </c>
      <c r="L11" s="14">
        <f ca="1">FLUID!P54</f>
        <v>-36.93</v>
      </c>
      <c r="M11" s="14">
        <f ca="1">FLUID!Q54</f>
        <v>-36.33</v>
      </c>
      <c r="N11" s="14">
        <f ca="1">FLUID!R54</f>
        <v>-35.76</v>
      </c>
      <c r="O11" s="14">
        <f ca="1">FLUID!S54</f>
        <v>-35.19</v>
      </c>
      <c r="P11" s="14">
        <f ca="1">FLUID!T54</f>
        <v>-34.619999999999997</v>
      </c>
      <c r="Q11" s="14">
        <f ca="1">FLUID!U54</f>
        <v>-34.08</v>
      </c>
      <c r="R11" s="14">
        <f ca="1">FLUID!V54</f>
        <v>-33.54</v>
      </c>
      <c r="S11" s="14">
        <f ca="1">FLUID!W54</f>
        <v>-33</v>
      </c>
      <c r="T11" s="14">
        <f ca="1">FLUID!X54</f>
        <v>-32.49</v>
      </c>
      <c r="U11" s="14">
        <f ca="1">FLUID!Y54</f>
        <v>-31.98</v>
      </c>
      <c r="V11" s="14">
        <f ca="1">FLUID!Z54</f>
        <v>-31.47</v>
      </c>
      <c r="W11" s="14">
        <f ca="1">FLUID!AA54</f>
        <v>-29.487000000000002</v>
      </c>
      <c r="X11" s="14">
        <f ca="1">FLUID!AB54</f>
        <v>0</v>
      </c>
      <c r="Y11" s="14">
        <f ca="1">FLUID!AC54</f>
        <v>0</v>
      </c>
      <c r="Z11" s="14">
        <f ca="1">FLUID!AD54</f>
        <v>0</v>
      </c>
      <c r="AA11" s="14">
        <f ca="1">FLUID!AE54</f>
        <v>0</v>
      </c>
      <c r="AB11" s="14">
        <f ca="1">FLUID!AF54</f>
        <v>0</v>
      </c>
      <c r="AC11" s="14">
        <f ca="1">FLUID!AG54</f>
        <v>0</v>
      </c>
      <c r="AD11" s="14">
        <f ca="1">FLUID!AH54</f>
        <v>0</v>
      </c>
      <c r="AE11" s="14">
        <f ca="1">FLUID!AI54</f>
        <v>0</v>
      </c>
      <c r="AF11" s="14">
        <f ca="1">FLUID!AJ54</f>
        <v>0</v>
      </c>
      <c r="AG11" s="14">
        <f ca="1">FLUID!AK54</f>
        <v>0</v>
      </c>
      <c r="AH11" s="14">
        <f ca="1">FLUID!AL54</f>
        <v>0</v>
      </c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</row>
    <row r="12" spans="1:94" ht="22.5" hidden="1" outlineLevel="1" thickTop="1" thickBot="1" x14ac:dyDescent="0.4">
      <c r="A12" s="36" t="str">
        <f>FLUID!E55</f>
        <v>Se2</v>
      </c>
      <c r="B12" s="16">
        <f ca="1">FLUID!F55</f>
        <v>-47.04</v>
      </c>
      <c r="C12" s="16">
        <f ca="1">FLUID!G55</f>
        <v>-38.26</v>
      </c>
      <c r="D12" s="16">
        <f ca="1">FLUID!H55</f>
        <v>-32.96</v>
      </c>
      <c r="E12" s="16">
        <f ca="1">FLUID!I55</f>
        <v>-29.48</v>
      </c>
      <c r="F12" s="14">
        <f ca="1">FLUID!J55</f>
        <v>-27.06</v>
      </c>
      <c r="G12" s="14">
        <f ca="1">FLUID!K55</f>
        <v>-26.56</v>
      </c>
      <c r="H12" s="14">
        <f ca="1">FLUID!L55</f>
        <v>-26.12</v>
      </c>
      <c r="I12" s="14">
        <f ca="1">FLUID!M55</f>
        <v>-25.7</v>
      </c>
      <c r="J12" s="14">
        <f ca="1">FLUID!N55</f>
        <v>-25.32</v>
      </c>
      <c r="K12" s="14">
        <f ca="1">FLUID!O55</f>
        <v>-24.96</v>
      </c>
      <c r="L12" s="14">
        <f ca="1">FLUID!P55</f>
        <v>-24.62</v>
      </c>
      <c r="M12" s="14">
        <f ca="1">FLUID!Q55</f>
        <v>-24.22</v>
      </c>
      <c r="N12" s="14">
        <f ca="1">FLUID!R55</f>
        <v>-23.84</v>
      </c>
      <c r="O12" s="14">
        <f ca="1">FLUID!S55</f>
        <v>-23.46</v>
      </c>
      <c r="P12" s="14">
        <f ca="1">FLUID!T55</f>
        <v>-23.08</v>
      </c>
      <c r="Q12" s="14">
        <f ca="1">FLUID!U55</f>
        <v>-22.72</v>
      </c>
      <c r="R12" s="14">
        <f ca="1">FLUID!V55</f>
        <v>-22.36</v>
      </c>
      <c r="S12" s="14">
        <f ca="1">FLUID!W55</f>
        <v>-22</v>
      </c>
      <c r="T12" s="14">
        <f ca="1">FLUID!X55</f>
        <v>-21.66</v>
      </c>
      <c r="U12" s="14">
        <f ca="1">FLUID!Y55</f>
        <v>-21.32</v>
      </c>
      <c r="V12" s="14">
        <f ca="1">FLUID!Z55</f>
        <v>-20.98</v>
      </c>
      <c r="W12" s="14">
        <f ca="1">FLUID!AA55</f>
        <v>-19.658000000000001</v>
      </c>
      <c r="X12" s="14">
        <f ca="1">FLUID!AB55</f>
        <v>0</v>
      </c>
      <c r="Y12" s="14">
        <f ca="1">FLUID!AC55</f>
        <v>0</v>
      </c>
      <c r="Z12" s="14">
        <f ca="1">FLUID!AD55</f>
        <v>0</v>
      </c>
      <c r="AA12" s="14">
        <f ca="1">FLUID!AE55</f>
        <v>0</v>
      </c>
      <c r="AB12" s="14">
        <f ca="1">FLUID!AF55</f>
        <v>0</v>
      </c>
      <c r="AC12" s="14">
        <f ca="1">FLUID!AG55</f>
        <v>0</v>
      </c>
      <c r="AD12" s="14">
        <f ca="1">FLUID!AH55</f>
        <v>0</v>
      </c>
      <c r="AE12" s="14">
        <f ca="1">FLUID!AI55</f>
        <v>0</v>
      </c>
      <c r="AF12" s="14">
        <f ca="1">FLUID!AJ55</f>
        <v>0</v>
      </c>
      <c r="AG12" s="14">
        <f ca="1">FLUID!AK55</f>
        <v>0</v>
      </c>
      <c r="AH12" s="14">
        <f ca="1">FLUID!AL55</f>
        <v>0</v>
      </c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</row>
    <row r="13" spans="1:94" ht="22.5" hidden="1" outlineLevel="1" thickTop="1" thickBot="1" x14ac:dyDescent="0.4">
      <c r="A13" s="36" t="str">
        <f>FLUID!E56</f>
        <v>Se</v>
      </c>
      <c r="B13" s="16">
        <f ca="1">FLUID!F56</f>
        <v>-23.52</v>
      </c>
      <c r="C13" s="16">
        <f ca="1">FLUID!G56</f>
        <v>-19.13</v>
      </c>
      <c r="D13" s="16">
        <f ca="1">FLUID!H56</f>
        <v>-16.48</v>
      </c>
      <c r="E13" s="16">
        <f ca="1">FLUID!I56</f>
        <v>-14.74</v>
      </c>
      <c r="F13" s="14">
        <f ca="1">FLUID!J56</f>
        <v>-13.53</v>
      </c>
      <c r="G13" s="14">
        <f ca="1">FLUID!K56</f>
        <v>-13.28</v>
      </c>
      <c r="H13" s="14">
        <f ca="1">FLUID!L56</f>
        <v>-13.06</v>
      </c>
      <c r="I13" s="14">
        <f ca="1">FLUID!M56</f>
        <v>-12.85</v>
      </c>
      <c r="J13" s="14">
        <f ca="1">FLUID!N56</f>
        <v>-12.66</v>
      </c>
      <c r="K13" s="14">
        <f ca="1">FLUID!O56</f>
        <v>-12.48</v>
      </c>
      <c r="L13" s="14">
        <f ca="1">FLUID!P56</f>
        <v>-12.31</v>
      </c>
      <c r="M13" s="14">
        <f ca="1">FLUID!Q56</f>
        <v>-12.11</v>
      </c>
      <c r="N13" s="14">
        <f ca="1">FLUID!R56</f>
        <v>-11.92</v>
      </c>
      <c r="O13" s="14">
        <f ca="1">FLUID!S56</f>
        <v>-11.73</v>
      </c>
      <c r="P13" s="14">
        <f ca="1">FLUID!T56</f>
        <v>-11.54</v>
      </c>
      <c r="Q13" s="14">
        <f ca="1">FLUID!U56</f>
        <v>-11.36</v>
      </c>
      <c r="R13" s="14">
        <f ca="1">FLUID!V56</f>
        <v>-11.18</v>
      </c>
      <c r="S13" s="14">
        <f ca="1">FLUID!W56</f>
        <v>-11</v>
      </c>
      <c r="T13" s="14">
        <f ca="1">FLUID!X56</f>
        <v>-10.83</v>
      </c>
      <c r="U13" s="14">
        <f ca="1">FLUID!Y56</f>
        <v>-10.66</v>
      </c>
      <c r="V13" s="14">
        <f ca="1">FLUID!Z56</f>
        <v>-10.49</v>
      </c>
      <c r="W13" s="14">
        <f ca="1">FLUID!AA56</f>
        <v>-9.8290000000000006</v>
      </c>
      <c r="X13" s="14">
        <f ca="1">FLUID!AB56</f>
        <v>0</v>
      </c>
      <c r="Y13" s="14">
        <f ca="1">FLUID!AC56</f>
        <v>0</v>
      </c>
      <c r="Z13" s="14">
        <f ca="1">FLUID!AD56</f>
        <v>0</v>
      </c>
      <c r="AA13" s="14">
        <f ca="1">FLUID!AE56</f>
        <v>0</v>
      </c>
      <c r="AB13" s="14">
        <f ca="1">FLUID!AF56</f>
        <v>0</v>
      </c>
      <c r="AC13" s="14">
        <f ca="1">FLUID!AG56</f>
        <v>0</v>
      </c>
      <c r="AD13" s="14">
        <f ca="1">FLUID!AH56</f>
        <v>0</v>
      </c>
      <c r="AE13" s="14">
        <f ca="1">FLUID!AI56</f>
        <v>0</v>
      </c>
      <c r="AF13" s="14">
        <f ca="1">FLUID!AJ56</f>
        <v>0</v>
      </c>
      <c r="AG13" s="14">
        <f ca="1">FLUID!AK56</f>
        <v>0</v>
      </c>
      <c r="AH13" s="14">
        <f ca="1">FLUID!AL56</f>
        <v>0</v>
      </c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</row>
    <row r="14" spans="1:94" ht="22.5" hidden="1" outlineLevel="1" thickTop="1" thickBot="1" x14ac:dyDescent="0.4">
      <c r="A14" s="36" t="str">
        <f>FLUID!E57</f>
        <v>Ar</v>
      </c>
      <c r="B14" s="16">
        <f ca="1">FLUID!F57</f>
        <v>-18.62</v>
      </c>
      <c r="C14" s="16">
        <f ca="1">FLUID!G57</f>
        <v>-18.649999999999999</v>
      </c>
      <c r="D14" s="16">
        <f ca="1">FLUID!H57</f>
        <v>-18.77</v>
      </c>
      <c r="E14" s="16">
        <f ca="1">FLUID!I57</f>
        <v>-18.93</v>
      </c>
      <c r="F14" s="14">
        <f ca="1">FLUID!J57</f>
        <v>-19.09</v>
      </c>
      <c r="G14" s="14">
        <f ca="1">FLUID!K57</f>
        <v>-19.14</v>
      </c>
      <c r="H14" s="14">
        <f ca="1">FLUID!L57</f>
        <v>-19.18</v>
      </c>
      <c r="I14" s="14">
        <f ca="1">FLUID!M57</f>
        <v>-19.22</v>
      </c>
      <c r="J14" s="14">
        <f ca="1">FLUID!N57</f>
        <v>-19.260000000000002</v>
      </c>
      <c r="K14" s="14">
        <f ca="1">FLUID!O57</f>
        <v>-19.3</v>
      </c>
      <c r="L14" s="14">
        <f ca="1">FLUID!P57</f>
        <v>-19.350000000000001</v>
      </c>
      <c r="M14" s="14">
        <f ca="1">FLUID!Q57</f>
        <v>-19.39</v>
      </c>
      <c r="N14" s="14">
        <f ca="1">FLUID!R57</f>
        <v>-19.43</v>
      </c>
      <c r="O14" s="14">
        <f ca="1">FLUID!S57</f>
        <v>-19.47</v>
      </c>
      <c r="P14" s="14">
        <f ca="1">FLUID!T57</f>
        <v>-19.510000000000002</v>
      </c>
      <c r="Q14" s="14">
        <f ca="1">FLUID!U57</f>
        <v>-19.55</v>
      </c>
      <c r="R14" s="14">
        <f ca="1">FLUID!V57</f>
        <v>-19.59</v>
      </c>
      <c r="S14" s="14">
        <f ca="1">FLUID!W57</f>
        <v>-19.62</v>
      </c>
      <c r="T14" s="14">
        <f ca="1">FLUID!X57</f>
        <v>-19.66</v>
      </c>
      <c r="U14" s="14">
        <f ca="1">FLUID!Y57</f>
        <v>-19.7</v>
      </c>
      <c r="V14" s="14">
        <f ca="1">FLUID!Z57</f>
        <v>-19.739999999999998</v>
      </c>
      <c r="W14" s="14">
        <f ca="1">FLUID!AA57</f>
        <v>-19.89</v>
      </c>
      <c r="X14" s="14">
        <f ca="1">FLUID!AB57</f>
        <v>0</v>
      </c>
      <c r="Y14" s="14">
        <f ca="1">FLUID!AC57</f>
        <v>0</v>
      </c>
      <c r="Z14" s="14">
        <f ca="1">FLUID!AD57</f>
        <v>0</v>
      </c>
      <c r="AA14" s="14">
        <f ca="1">FLUID!AE57</f>
        <v>0</v>
      </c>
      <c r="AB14" s="14">
        <f ca="1">FLUID!AF57</f>
        <v>0</v>
      </c>
      <c r="AC14" s="14">
        <f ca="1">FLUID!AG57</f>
        <v>0</v>
      </c>
      <c r="AD14" s="14">
        <f ca="1">FLUID!AH57</f>
        <v>0</v>
      </c>
      <c r="AE14" s="14">
        <f ca="1">FLUID!AI57</f>
        <v>0</v>
      </c>
      <c r="AF14" s="14">
        <f ca="1">FLUID!AJ57</f>
        <v>0</v>
      </c>
      <c r="AG14" s="14">
        <f ca="1">FLUID!AK57</f>
        <v>0</v>
      </c>
      <c r="AH14" s="14">
        <f ca="1">FLUID!AL57</f>
        <v>0</v>
      </c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</row>
    <row r="15" spans="1:94" ht="22.5" hidden="1" outlineLevel="1" thickTop="1" thickBot="1" x14ac:dyDescent="0.4">
      <c r="A15" s="36" t="str">
        <f>FLUID!E58</f>
        <v>H (Ar)</v>
      </c>
      <c r="B15" s="16">
        <f ca="1">FLUID!F58</f>
        <v>-18.62</v>
      </c>
      <c r="C15" s="16">
        <f ca="1">FLUID!G58</f>
        <v>-18.649999999999999</v>
      </c>
      <c r="D15" s="16">
        <f ca="1">FLUID!H58</f>
        <v>-18.77</v>
      </c>
      <c r="E15" s="16">
        <f ca="1">FLUID!I58</f>
        <v>-18.93</v>
      </c>
      <c r="F15" s="14">
        <f ca="1">FLUID!J58</f>
        <v>-19.09</v>
      </c>
      <c r="G15" s="14">
        <f ca="1">FLUID!K58</f>
        <v>-19.14</v>
      </c>
      <c r="H15" s="14">
        <f ca="1">FLUID!L58</f>
        <v>-19.18</v>
      </c>
      <c r="I15" s="14">
        <f ca="1">FLUID!M58</f>
        <v>-19.22</v>
      </c>
      <c r="J15" s="14">
        <f ca="1">FLUID!N58</f>
        <v>-19.260000000000002</v>
      </c>
      <c r="K15" s="14">
        <f ca="1">FLUID!O58</f>
        <v>-19.3</v>
      </c>
      <c r="L15" s="14">
        <f ca="1">FLUID!P58</f>
        <v>-19.350000000000001</v>
      </c>
      <c r="M15" s="14">
        <f ca="1">FLUID!Q58</f>
        <v>-19.39</v>
      </c>
      <c r="N15" s="14">
        <f ca="1">FLUID!R58</f>
        <v>-19.43</v>
      </c>
      <c r="O15" s="14">
        <f ca="1">FLUID!S58</f>
        <v>-19.47</v>
      </c>
      <c r="P15" s="14">
        <f ca="1">FLUID!T58</f>
        <v>-19.510000000000002</v>
      </c>
      <c r="Q15" s="14">
        <f ca="1">FLUID!U58</f>
        <v>-19.55</v>
      </c>
      <c r="R15" s="14">
        <f ca="1">FLUID!V58</f>
        <v>-19.59</v>
      </c>
      <c r="S15" s="14">
        <f ca="1">FLUID!W58</f>
        <v>-19.62</v>
      </c>
      <c r="T15" s="14">
        <f ca="1">FLUID!X58</f>
        <v>-19.66</v>
      </c>
      <c r="U15" s="14">
        <f ca="1">FLUID!Y58</f>
        <v>-19.7</v>
      </c>
      <c r="V15" s="14">
        <f ca="1">FLUID!Z58</f>
        <v>-19.739999999999998</v>
      </c>
      <c r="W15" s="14">
        <f ca="1">FLUID!AA58</f>
        <v>-19.89</v>
      </c>
      <c r="X15" s="14">
        <f ca="1">FLUID!AB58</f>
        <v>0</v>
      </c>
      <c r="Y15" s="14">
        <f ca="1">FLUID!AC58</f>
        <v>0</v>
      </c>
      <c r="Z15" s="14">
        <f ca="1">FLUID!AD58</f>
        <v>0</v>
      </c>
      <c r="AA15" s="14">
        <f ca="1">FLUID!AE58</f>
        <v>0</v>
      </c>
      <c r="AB15" s="14">
        <f ca="1">FLUID!AF58</f>
        <v>0</v>
      </c>
      <c r="AC15" s="14">
        <f ca="1">FLUID!AG58</f>
        <v>0</v>
      </c>
      <c r="AD15" s="14">
        <f ca="1">FLUID!AH58</f>
        <v>0</v>
      </c>
      <c r="AE15" s="14">
        <f ca="1">FLUID!AI58</f>
        <v>0</v>
      </c>
      <c r="AF15" s="14">
        <f ca="1">FLUID!AJ58</f>
        <v>0</v>
      </c>
      <c r="AG15" s="14">
        <f ca="1">FLUID!AK58</f>
        <v>0</v>
      </c>
      <c r="AH15" s="14">
        <f ca="1">FLUID!AL58</f>
        <v>0</v>
      </c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</row>
    <row r="16" spans="1:94" ht="22.5" hidden="1" outlineLevel="1" thickTop="1" thickBot="1" x14ac:dyDescent="0.4">
      <c r="A16" s="36" t="str">
        <f>FLUID!E59</f>
        <v>H (Ge)</v>
      </c>
      <c r="B16" s="16">
        <f ca="1">FLUID!F59</f>
        <v>-16.29</v>
      </c>
      <c r="C16" s="16">
        <f ca="1">FLUID!G59</f>
        <v>-13.81</v>
      </c>
      <c r="D16" s="16">
        <f ca="1">FLUID!H59</f>
        <v>-12.4</v>
      </c>
      <c r="E16" s="16">
        <f ca="1">FLUID!I59</f>
        <v>-11.54</v>
      </c>
      <c r="F16" s="14">
        <f ca="1">FLUID!J59</f>
        <v>-10.99</v>
      </c>
      <c r="G16" s="14">
        <f ca="1">FLUID!K59</f>
        <v>-10.89</v>
      </c>
      <c r="H16" s="14">
        <f ca="1">FLUID!L59</f>
        <v>-10.79</v>
      </c>
      <c r="I16" s="14">
        <f ca="1">FLUID!M59</f>
        <v>-10.71</v>
      </c>
      <c r="J16" s="14">
        <f ca="1">FLUID!N59</f>
        <v>-10.63</v>
      </c>
      <c r="K16" s="14">
        <f ca="1">FLUID!O59</f>
        <v>-10.56</v>
      </c>
      <c r="L16" s="14">
        <f ca="1">FLUID!P59</f>
        <v>-10.5</v>
      </c>
      <c r="M16" s="14">
        <f ca="1">FLUID!Q59</f>
        <v>-10.52</v>
      </c>
      <c r="N16" s="14">
        <f ca="1">FLUID!R59</f>
        <v>-10.56</v>
      </c>
      <c r="O16" s="14">
        <f ca="1">FLUID!S59</f>
        <v>-10.64</v>
      </c>
      <c r="P16" s="14">
        <f ca="1">FLUID!T59</f>
        <v>-10.73</v>
      </c>
      <c r="Q16" s="14">
        <f ca="1">FLUID!U59</f>
        <v>-10.82</v>
      </c>
      <c r="R16" s="14">
        <f ca="1">FLUID!V59</f>
        <v>-10.93</v>
      </c>
      <c r="S16" s="14">
        <f ca="1">FLUID!W59</f>
        <v>-11.04</v>
      </c>
      <c r="T16" s="14">
        <f ca="1">FLUID!X59</f>
        <v>-11.17</v>
      </c>
      <c r="U16" s="14">
        <f ca="1">FLUID!Y59</f>
        <v>-11.31</v>
      </c>
      <c r="V16" s="14">
        <f ca="1">FLUID!Z59</f>
        <v>-11.46</v>
      </c>
      <c r="W16" s="14">
        <f ca="1">FLUID!AA59</f>
        <v>-12.14</v>
      </c>
      <c r="X16" s="14">
        <f ca="1">FLUID!AB59</f>
        <v>0</v>
      </c>
      <c r="Y16" s="14">
        <f ca="1">FLUID!AC59</f>
        <v>0</v>
      </c>
      <c r="Z16" s="14">
        <f ca="1">FLUID!AD59</f>
        <v>0</v>
      </c>
      <c r="AA16" s="14">
        <f ca="1">FLUID!AE59</f>
        <v>0</v>
      </c>
      <c r="AB16" s="14">
        <f ca="1">FLUID!AF59</f>
        <v>0</v>
      </c>
      <c r="AC16" s="14">
        <f ca="1">FLUID!AG59</f>
        <v>0</v>
      </c>
      <c r="AD16" s="14">
        <f ca="1">FLUID!AH59</f>
        <v>0</v>
      </c>
      <c r="AE16" s="14">
        <f ca="1">FLUID!AI59</f>
        <v>0</v>
      </c>
      <c r="AF16" s="14">
        <f ca="1">FLUID!AJ59</f>
        <v>0</v>
      </c>
      <c r="AG16" s="14">
        <f ca="1">FLUID!AK59</f>
        <v>0</v>
      </c>
      <c r="AH16" s="14">
        <f ca="1">FLUID!AL59</f>
        <v>0</v>
      </c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</row>
    <row r="17" spans="1:94" ht="22.5" hidden="1" outlineLevel="1" thickTop="1" thickBot="1" x14ac:dyDescent="0.4">
      <c r="A17" s="36" t="str">
        <f>FLUID!E60</f>
        <v>H (Se)</v>
      </c>
      <c r="B17" s="16">
        <f ca="1">FLUID!F60</f>
        <v>-23.52</v>
      </c>
      <c r="C17" s="16">
        <f ca="1">FLUID!G60</f>
        <v>-19.13</v>
      </c>
      <c r="D17" s="16">
        <f ca="1">FLUID!H60</f>
        <v>-16.48</v>
      </c>
      <c r="E17" s="16">
        <f ca="1">FLUID!I60</f>
        <v>-14.74</v>
      </c>
      <c r="F17" s="14">
        <f ca="1">FLUID!J60</f>
        <v>-13.53</v>
      </c>
      <c r="G17" s="14">
        <f ca="1">FLUID!K60</f>
        <v>-13.28</v>
      </c>
      <c r="H17" s="14">
        <f ca="1">FLUID!L60</f>
        <v>-13.06</v>
      </c>
      <c r="I17" s="14">
        <f ca="1">FLUID!M60</f>
        <v>-12.85</v>
      </c>
      <c r="J17" s="14">
        <f ca="1">FLUID!N60</f>
        <v>-12.66</v>
      </c>
      <c r="K17" s="14">
        <f ca="1">FLUID!O60</f>
        <v>-12.48</v>
      </c>
      <c r="L17" s="14">
        <f ca="1">FLUID!P60</f>
        <v>-12.31</v>
      </c>
      <c r="M17" s="14">
        <f ca="1">FLUID!Q60</f>
        <v>-12.11</v>
      </c>
      <c r="N17" s="14">
        <f ca="1">FLUID!R60</f>
        <v>-11.92</v>
      </c>
      <c r="O17" s="14">
        <f ca="1">FLUID!S60</f>
        <v>-11.73</v>
      </c>
      <c r="P17" s="14">
        <f ca="1">FLUID!T60</f>
        <v>-11.54</v>
      </c>
      <c r="Q17" s="14">
        <f ca="1">FLUID!U60</f>
        <v>-11.36</v>
      </c>
      <c r="R17" s="14">
        <f ca="1">FLUID!V60</f>
        <v>-11.18</v>
      </c>
      <c r="S17" s="14">
        <f ca="1">FLUID!W60</f>
        <v>-11</v>
      </c>
      <c r="T17" s="14">
        <f ca="1">FLUID!X60</f>
        <v>-10.83</v>
      </c>
      <c r="U17" s="14">
        <f ca="1">FLUID!Y60</f>
        <v>-10.66</v>
      </c>
      <c r="V17" s="14">
        <f ca="1">FLUID!Z60</f>
        <v>-10.49</v>
      </c>
      <c r="W17" s="14">
        <f ca="1">FLUID!AA60</f>
        <v>-9.8290000000000006</v>
      </c>
      <c r="X17" s="14">
        <f ca="1">FLUID!AB60</f>
        <v>0</v>
      </c>
      <c r="Y17" s="14">
        <f ca="1">FLUID!AC60</f>
        <v>0</v>
      </c>
      <c r="Z17" s="14">
        <f ca="1">FLUID!AD60</f>
        <v>0</v>
      </c>
      <c r="AA17" s="14">
        <f ca="1">FLUID!AE60</f>
        <v>0</v>
      </c>
      <c r="AB17" s="14">
        <f ca="1">FLUID!AF60</f>
        <v>0</v>
      </c>
      <c r="AC17" s="14">
        <f ca="1">FLUID!AG60</f>
        <v>0</v>
      </c>
      <c r="AD17" s="14">
        <f ca="1">FLUID!AH60</f>
        <v>0</v>
      </c>
      <c r="AE17" s="14">
        <f ca="1">FLUID!AI60</f>
        <v>0</v>
      </c>
      <c r="AF17" s="14">
        <f ca="1">FLUID!AJ60</f>
        <v>0</v>
      </c>
      <c r="AG17" s="14">
        <f ca="1">FLUID!AK60</f>
        <v>0</v>
      </c>
      <c r="AH17" s="14">
        <f ca="1">FLUID!AL60</f>
        <v>0</v>
      </c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</row>
    <row r="18" spans="1:94" ht="22.5" hidden="1" outlineLevel="1" thickTop="1" thickBot="1" x14ac:dyDescent="0.4">
      <c r="A18" s="36">
        <f>FLUID!E61</f>
        <v>0</v>
      </c>
      <c r="B18" s="16">
        <f ca="1">FLUID!F61</f>
        <v>0</v>
      </c>
      <c r="C18" s="16">
        <f ca="1">FLUID!G61</f>
        <v>0</v>
      </c>
      <c r="D18" s="16">
        <f ca="1">FLUID!H61</f>
        <v>0</v>
      </c>
      <c r="E18" s="16">
        <f ca="1">FLUID!I61</f>
        <v>0</v>
      </c>
      <c r="F18" s="14">
        <f ca="1">FLUID!J61</f>
        <v>0</v>
      </c>
      <c r="G18" s="14">
        <f ca="1">FLUID!K61</f>
        <v>0</v>
      </c>
      <c r="H18" s="14">
        <f ca="1">FLUID!L61</f>
        <v>0</v>
      </c>
      <c r="I18" s="14">
        <f ca="1">FLUID!M61</f>
        <v>0</v>
      </c>
      <c r="J18" s="14">
        <f ca="1">FLUID!N61</f>
        <v>0</v>
      </c>
      <c r="K18" s="14">
        <f ca="1">FLUID!O61</f>
        <v>0</v>
      </c>
      <c r="L18" s="14">
        <f ca="1">FLUID!P61</f>
        <v>0</v>
      </c>
      <c r="M18" s="14">
        <f ca="1">FLUID!Q61</f>
        <v>0</v>
      </c>
      <c r="N18" s="14">
        <f ca="1">FLUID!R61</f>
        <v>0</v>
      </c>
      <c r="O18" s="14">
        <f ca="1">FLUID!S61</f>
        <v>0</v>
      </c>
      <c r="P18" s="14">
        <f ca="1">FLUID!T61</f>
        <v>0</v>
      </c>
      <c r="Q18" s="14">
        <f ca="1">FLUID!U61</f>
        <v>0</v>
      </c>
      <c r="R18" s="14">
        <f ca="1">FLUID!V61</f>
        <v>0</v>
      </c>
      <c r="S18" s="14">
        <f ca="1">FLUID!W61</f>
        <v>0</v>
      </c>
      <c r="T18" s="14">
        <f ca="1">FLUID!X61</f>
        <v>0</v>
      </c>
      <c r="U18" s="14">
        <f ca="1">FLUID!Y61</f>
        <v>0</v>
      </c>
      <c r="V18" s="14">
        <f ca="1">FLUID!Z61</f>
        <v>0</v>
      </c>
      <c r="W18" s="14">
        <f ca="1">FLUID!AA61</f>
        <v>0</v>
      </c>
      <c r="X18" s="14">
        <f ca="1">FLUID!AB61</f>
        <v>0</v>
      </c>
      <c r="Y18" s="14">
        <f ca="1">FLUID!AC61</f>
        <v>0</v>
      </c>
      <c r="Z18" s="14">
        <f ca="1">FLUID!AD61</f>
        <v>0</v>
      </c>
      <c r="AA18" s="14">
        <f ca="1">FLUID!AE61</f>
        <v>0</v>
      </c>
      <c r="AB18" s="14">
        <f ca="1">FLUID!AF61</f>
        <v>0</v>
      </c>
      <c r="AC18" s="14">
        <f ca="1">FLUID!AG61</f>
        <v>0</v>
      </c>
      <c r="AD18" s="14">
        <f ca="1">FLUID!AH61</f>
        <v>0</v>
      </c>
      <c r="AE18" s="14">
        <f ca="1">FLUID!AI61</f>
        <v>0</v>
      </c>
      <c r="AF18" s="14">
        <f ca="1">FLUID!AJ61</f>
        <v>0</v>
      </c>
      <c r="AG18" s="14">
        <f ca="1">FLUID!AK61</f>
        <v>0</v>
      </c>
      <c r="AH18" s="14">
        <f ca="1">FLUID!AL61</f>
        <v>0</v>
      </c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</row>
    <row r="19" spans="1:94" ht="22.5" hidden="1" customHeight="1" outlineLevel="1" thickBot="1" x14ac:dyDescent="0.4">
      <c r="A19" s="36">
        <f>FLUID!E62</f>
        <v>0</v>
      </c>
      <c r="B19" s="16">
        <f ca="1">FLUID!F62</f>
        <v>0</v>
      </c>
      <c r="C19" s="16">
        <f ca="1">FLUID!G62</f>
        <v>0</v>
      </c>
      <c r="D19" s="16">
        <f ca="1">FLUID!H62</f>
        <v>0</v>
      </c>
      <c r="E19" s="16">
        <f ca="1">FLUID!I62</f>
        <v>0</v>
      </c>
      <c r="F19" s="14">
        <f ca="1">FLUID!J62</f>
        <v>0</v>
      </c>
      <c r="G19" s="14">
        <f ca="1">FLUID!K62</f>
        <v>0</v>
      </c>
      <c r="H19" s="14">
        <f ca="1">FLUID!L62</f>
        <v>0</v>
      </c>
      <c r="I19" s="14">
        <f ca="1">FLUID!M62</f>
        <v>0</v>
      </c>
      <c r="J19" s="14">
        <f ca="1">FLUID!N62</f>
        <v>0</v>
      </c>
      <c r="K19" s="14">
        <f ca="1">FLUID!O62</f>
        <v>0</v>
      </c>
      <c r="L19" s="14">
        <f ca="1">FLUID!P62</f>
        <v>0</v>
      </c>
      <c r="M19" s="14">
        <f ca="1">FLUID!Q62</f>
        <v>0</v>
      </c>
      <c r="N19" s="14">
        <f ca="1">FLUID!R62</f>
        <v>0</v>
      </c>
      <c r="O19" s="14">
        <f ca="1">FLUID!S62</f>
        <v>0</v>
      </c>
      <c r="P19" s="14">
        <f ca="1">FLUID!T62</f>
        <v>0</v>
      </c>
      <c r="Q19" s="14">
        <f ca="1">FLUID!U62</f>
        <v>0</v>
      </c>
      <c r="R19" s="14">
        <f ca="1">FLUID!V62</f>
        <v>0</v>
      </c>
      <c r="S19" s="14">
        <f ca="1">FLUID!W62</f>
        <v>0</v>
      </c>
      <c r="T19" s="14">
        <f ca="1">FLUID!X62</f>
        <v>0</v>
      </c>
      <c r="U19" s="14">
        <f ca="1">FLUID!Y62</f>
        <v>0</v>
      </c>
      <c r="V19" s="14">
        <f ca="1">FLUID!Z62</f>
        <v>0</v>
      </c>
      <c r="W19" s="14">
        <f ca="1">FLUID!AA62</f>
        <v>0</v>
      </c>
      <c r="X19" s="14">
        <f ca="1">FLUID!AB62</f>
        <v>0</v>
      </c>
      <c r="Y19" s="14">
        <f ca="1">FLUID!AC62</f>
        <v>0</v>
      </c>
      <c r="Z19" s="14">
        <f ca="1">FLUID!AD62</f>
        <v>0</v>
      </c>
      <c r="AA19" s="14">
        <f ca="1">FLUID!AE62</f>
        <v>0</v>
      </c>
      <c r="AB19" s="14">
        <f ca="1">FLUID!AF62</f>
        <v>0</v>
      </c>
      <c r="AC19" s="14">
        <f ca="1">FLUID!AG62</f>
        <v>0</v>
      </c>
      <c r="AD19" s="14">
        <f ca="1">FLUID!AH62</f>
        <v>0</v>
      </c>
      <c r="AE19" s="14">
        <f ca="1">FLUID!AI62</f>
        <v>0</v>
      </c>
      <c r="AF19" s="14">
        <f ca="1">FLUID!AJ62</f>
        <v>0</v>
      </c>
      <c r="AG19" s="14">
        <f ca="1">FLUID!AK62</f>
        <v>0</v>
      </c>
      <c r="AH19" s="14">
        <f ca="1">FLUID!AL62</f>
        <v>0</v>
      </c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</row>
    <row r="20" spans="1:94" ht="22.5" hidden="1" customHeight="1" outlineLevel="1" thickBot="1" x14ac:dyDescent="0.4">
      <c r="A20" s="36">
        <f>FLUID!E63</f>
        <v>0</v>
      </c>
      <c r="B20" s="16">
        <f ca="1">FLUID!F63</f>
        <v>0</v>
      </c>
      <c r="C20" s="16">
        <f ca="1">FLUID!G63</f>
        <v>0</v>
      </c>
      <c r="D20" s="16">
        <f ca="1">FLUID!H63</f>
        <v>0</v>
      </c>
      <c r="E20" s="16">
        <f ca="1">FLUID!I63</f>
        <v>0</v>
      </c>
      <c r="F20" s="14">
        <f ca="1">FLUID!J63</f>
        <v>0</v>
      </c>
      <c r="G20" s="14">
        <f ca="1">FLUID!K63</f>
        <v>0</v>
      </c>
      <c r="H20" s="14">
        <f ca="1">FLUID!L63</f>
        <v>0</v>
      </c>
      <c r="I20" s="14">
        <f ca="1">FLUID!M63</f>
        <v>0</v>
      </c>
      <c r="J20" s="14">
        <f ca="1">FLUID!N63</f>
        <v>0</v>
      </c>
      <c r="K20" s="14">
        <f ca="1">FLUID!O63</f>
        <v>0</v>
      </c>
      <c r="L20" s="14">
        <f ca="1">FLUID!P63</f>
        <v>0</v>
      </c>
      <c r="M20" s="14">
        <f ca="1">FLUID!Q63</f>
        <v>0</v>
      </c>
      <c r="N20" s="14">
        <f ca="1">FLUID!R63</f>
        <v>0</v>
      </c>
      <c r="O20" s="14">
        <f ca="1">FLUID!S63</f>
        <v>0</v>
      </c>
      <c r="P20" s="14">
        <f ca="1">FLUID!T63</f>
        <v>0</v>
      </c>
      <c r="Q20" s="14">
        <f ca="1">FLUID!U63</f>
        <v>0</v>
      </c>
      <c r="R20" s="14">
        <f ca="1">FLUID!V63</f>
        <v>0</v>
      </c>
      <c r="S20" s="14">
        <f ca="1">FLUID!W63</f>
        <v>0</v>
      </c>
      <c r="T20" s="14">
        <f ca="1">FLUID!X63</f>
        <v>0</v>
      </c>
      <c r="U20" s="14">
        <f ca="1">FLUID!Y63</f>
        <v>0</v>
      </c>
      <c r="V20" s="14">
        <f ca="1">FLUID!Z63</f>
        <v>0</v>
      </c>
      <c r="W20" s="14">
        <f ca="1">FLUID!AA63</f>
        <v>0</v>
      </c>
      <c r="X20" s="14">
        <f ca="1">FLUID!AB63</f>
        <v>0</v>
      </c>
      <c r="Y20" s="14">
        <f ca="1">FLUID!AC63</f>
        <v>0</v>
      </c>
      <c r="Z20" s="14">
        <f ca="1">FLUID!AD63</f>
        <v>0</v>
      </c>
      <c r="AA20" s="14">
        <f ca="1">FLUID!AE63</f>
        <v>0</v>
      </c>
      <c r="AB20" s="14">
        <f ca="1">FLUID!AF63</f>
        <v>0</v>
      </c>
      <c r="AC20" s="14">
        <f ca="1">FLUID!AG63</f>
        <v>0</v>
      </c>
      <c r="AD20" s="14">
        <f ca="1">FLUID!AH63</f>
        <v>0</v>
      </c>
      <c r="AE20" s="14">
        <f ca="1">FLUID!AI63</f>
        <v>0</v>
      </c>
      <c r="AF20" s="14">
        <f ca="1">FLUID!AJ63</f>
        <v>0</v>
      </c>
      <c r="AG20" s="14">
        <f ca="1">FLUID!AK63</f>
        <v>0</v>
      </c>
      <c r="AH20" s="14">
        <f ca="1">FLUID!AL63</f>
        <v>0</v>
      </c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</row>
    <row r="21" spans="1:94" ht="22.5" hidden="1" customHeight="1" outlineLevel="1" thickBot="1" x14ac:dyDescent="0.4">
      <c r="A21" s="36">
        <f>FLUID!E64</f>
        <v>0</v>
      </c>
      <c r="B21" s="16">
        <f ca="1">FLUID!F64</f>
        <v>0</v>
      </c>
      <c r="C21" s="16">
        <f ca="1">FLUID!G64</f>
        <v>0</v>
      </c>
      <c r="D21" s="16">
        <f ca="1">FLUID!H64</f>
        <v>0</v>
      </c>
      <c r="E21" s="16">
        <f ca="1">FLUID!I64</f>
        <v>0</v>
      </c>
      <c r="F21" s="14">
        <f ca="1">FLUID!J64</f>
        <v>0</v>
      </c>
      <c r="G21" s="14">
        <f ca="1">FLUID!K64</f>
        <v>0</v>
      </c>
      <c r="H21" s="14">
        <f ca="1">FLUID!L64</f>
        <v>0</v>
      </c>
      <c r="I21" s="14">
        <f ca="1">FLUID!M64</f>
        <v>0</v>
      </c>
      <c r="J21" s="14">
        <f ca="1">FLUID!N64</f>
        <v>0</v>
      </c>
      <c r="K21" s="14">
        <f ca="1">FLUID!O64</f>
        <v>0</v>
      </c>
      <c r="L21" s="14">
        <f ca="1">FLUID!P64</f>
        <v>0</v>
      </c>
      <c r="M21" s="14">
        <f ca="1">FLUID!Q64</f>
        <v>0</v>
      </c>
      <c r="N21" s="14">
        <f ca="1">FLUID!R64</f>
        <v>0</v>
      </c>
      <c r="O21" s="14">
        <f ca="1">FLUID!S64</f>
        <v>0</v>
      </c>
      <c r="P21" s="14">
        <f ca="1">FLUID!T64</f>
        <v>0</v>
      </c>
      <c r="Q21" s="14">
        <f ca="1">FLUID!U64</f>
        <v>0</v>
      </c>
      <c r="R21" s="14">
        <f ca="1">FLUID!V64</f>
        <v>0</v>
      </c>
      <c r="S21" s="14">
        <f ca="1">FLUID!W64</f>
        <v>0</v>
      </c>
      <c r="T21" s="14">
        <f ca="1">FLUID!X64</f>
        <v>0</v>
      </c>
      <c r="U21" s="14">
        <f ca="1">FLUID!Y64</f>
        <v>0</v>
      </c>
      <c r="V21" s="14">
        <f ca="1">FLUID!Z64</f>
        <v>0</v>
      </c>
      <c r="W21" s="14">
        <f ca="1">FLUID!AA64</f>
        <v>0</v>
      </c>
      <c r="X21" s="14">
        <f ca="1">FLUID!AB64</f>
        <v>0</v>
      </c>
      <c r="Y21" s="14">
        <f ca="1">FLUID!AC64</f>
        <v>0</v>
      </c>
      <c r="Z21" s="14">
        <f ca="1">FLUID!AD64</f>
        <v>0</v>
      </c>
      <c r="AA21" s="14">
        <f ca="1">FLUID!AE64</f>
        <v>0</v>
      </c>
      <c r="AB21" s="14">
        <f ca="1">FLUID!AF64</f>
        <v>0</v>
      </c>
      <c r="AC21" s="14">
        <f ca="1">FLUID!AG64</f>
        <v>0</v>
      </c>
      <c r="AD21" s="14">
        <f ca="1">FLUID!AH64</f>
        <v>0</v>
      </c>
      <c r="AE21" s="14">
        <f ca="1">FLUID!AI64</f>
        <v>0</v>
      </c>
      <c r="AF21" s="14">
        <f ca="1">FLUID!AJ64</f>
        <v>0</v>
      </c>
      <c r="AG21" s="14">
        <f ca="1">FLUID!AK64</f>
        <v>0</v>
      </c>
      <c r="AH21" s="14">
        <f ca="1">FLUID!AL64</f>
        <v>0</v>
      </c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</row>
    <row r="22" spans="1:94" ht="22.5" hidden="1" customHeight="1" outlineLevel="1" thickBot="1" x14ac:dyDescent="0.4">
      <c r="A22" s="36">
        <f>FLUID!E65</f>
        <v>0</v>
      </c>
      <c r="B22" s="16">
        <f ca="1">FLUID!F65</f>
        <v>0</v>
      </c>
      <c r="C22" s="16">
        <f ca="1">FLUID!G65</f>
        <v>0</v>
      </c>
      <c r="D22" s="16">
        <f ca="1">FLUID!H65</f>
        <v>0</v>
      </c>
      <c r="E22" s="16">
        <f ca="1">FLUID!I65</f>
        <v>0</v>
      </c>
      <c r="F22" s="14">
        <f ca="1">FLUID!J65</f>
        <v>0</v>
      </c>
      <c r="G22" s="14">
        <f ca="1">FLUID!K65</f>
        <v>0</v>
      </c>
      <c r="H22" s="14">
        <f ca="1">FLUID!L65</f>
        <v>0</v>
      </c>
      <c r="I22" s="14">
        <f ca="1">FLUID!M65</f>
        <v>0</v>
      </c>
      <c r="J22" s="14">
        <f ca="1">FLUID!N65</f>
        <v>0</v>
      </c>
      <c r="K22" s="14">
        <f ca="1">FLUID!O65</f>
        <v>0</v>
      </c>
      <c r="L22" s="14">
        <f ca="1">FLUID!P65</f>
        <v>0</v>
      </c>
      <c r="M22" s="14">
        <f ca="1">FLUID!Q65</f>
        <v>0</v>
      </c>
      <c r="N22" s="14">
        <f ca="1">FLUID!R65</f>
        <v>0</v>
      </c>
      <c r="O22" s="14">
        <f ca="1">FLUID!S65</f>
        <v>0</v>
      </c>
      <c r="P22" s="14">
        <f ca="1">FLUID!T65</f>
        <v>0</v>
      </c>
      <c r="Q22" s="14">
        <f ca="1">FLUID!U65</f>
        <v>0</v>
      </c>
      <c r="R22" s="14">
        <f ca="1">FLUID!V65</f>
        <v>0</v>
      </c>
      <c r="S22" s="14">
        <f ca="1">FLUID!W65</f>
        <v>0</v>
      </c>
      <c r="T22" s="14">
        <f ca="1">FLUID!X65</f>
        <v>0</v>
      </c>
      <c r="U22" s="14">
        <f ca="1">FLUID!Y65</f>
        <v>0</v>
      </c>
      <c r="V22" s="14">
        <f ca="1">FLUID!Z65</f>
        <v>0</v>
      </c>
      <c r="W22" s="14">
        <f ca="1">FLUID!AA65</f>
        <v>0</v>
      </c>
      <c r="X22" s="14">
        <f ca="1">FLUID!AB65</f>
        <v>0</v>
      </c>
      <c r="Y22" s="14">
        <f ca="1">FLUID!AC65</f>
        <v>0</v>
      </c>
      <c r="Z22" s="14">
        <f ca="1">FLUID!AD65</f>
        <v>0</v>
      </c>
      <c r="AA22" s="14">
        <f ca="1">FLUID!AE65</f>
        <v>0</v>
      </c>
      <c r="AB22" s="14">
        <f ca="1">FLUID!AF65</f>
        <v>0</v>
      </c>
      <c r="AC22" s="14">
        <f ca="1">FLUID!AG65</f>
        <v>0</v>
      </c>
      <c r="AD22" s="14">
        <f ca="1">FLUID!AH65</f>
        <v>0</v>
      </c>
      <c r="AE22" s="14">
        <f ca="1">FLUID!AI65</f>
        <v>0</v>
      </c>
      <c r="AF22" s="14">
        <f ca="1">FLUID!AJ65</f>
        <v>0</v>
      </c>
      <c r="AG22" s="14">
        <f ca="1">FLUID!AK65</f>
        <v>0</v>
      </c>
      <c r="AH22" s="14">
        <f ca="1">FLUID!AL65</f>
        <v>0</v>
      </c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</row>
    <row r="23" spans="1:94" ht="22.5" hidden="1" customHeight="1" outlineLevel="1" thickBot="1" x14ac:dyDescent="0.4">
      <c r="A23" s="36">
        <f>FLUID!E66</f>
        <v>0</v>
      </c>
      <c r="B23" s="16">
        <f ca="1">FLUID!F66</f>
        <v>0</v>
      </c>
      <c r="C23" s="16">
        <f ca="1">FLUID!G66</f>
        <v>0</v>
      </c>
      <c r="D23" s="16">
        <f ca="1">FLUID!H66</f>
        <v>0</v>
      </c>
      <c r="E23" s="16">
        <f ca="1">FLUID!I66</f>
        <v>0</v>
      </c>
      <c r="F23" s="14">
        <f ca="1">FLUID!J66</f>
        <v>0</v>
      </c>
      <c r="G23" s="14">
        <f ca="1">FLUID!K66</f>
        <v>0</v>
      </c>
      <c r="H23" s="14">
        <f ca="1">FLUID!L66</f>
        <v>0</v>
      </c>
      <c r="I23" s="14">
        <f ca="1">FLUID!M66</f>
        <v>0</v>
      </c>
      <c r="J23" s="14">
        <f ca="1">FLUID!N66</f>
        <v>0</v>
      </c>
      <c r="K23" s="14">
        <f ca="1">FLUID!O66</f>
        <v>0</v>
      </c>
      <c r="L23" s="14">
        <f ca="1">FLUID!P66</f>
        <v>0</v>
      </c>
      <c r="M23" s="14">
        <f ca="1">FLUID!Q66</f>
        <v>0</v>
      </c>
      <c r="N23" s="14">
        <f ca="1">FLUID!R66</f>
        <v>0</v>
      </c>
      <c r="O23" s="14">
        <f ca="1">FLUID!S66</f>
        <v>0</v>
      </c>
      <c r="P23" s="14">
        <f ca="1">FLUID!T66</f>
        <v>0</v>
      </c>
      <c r="Q23" s="14">
        <f ca="1">FLUID!U66</f>
        <v>0</v>
      </c>
      <c r="R23" s="14">
        <f ca="1">FLUID!V66</f>
        <v>0</v>
      </c>
      <c r="S23" s="14">
        <f ca="1">FLUID!W66</f>
        <v>0</v>
      </c>
      <c r="T23" s="14">
        <f ca="1">FLUID!X66</f>
        <v>0</v>
      </c>
      <c r="U23" s="14">
        <f ca="1">FLUID!Y66</f>
        <v>0</v>
      </c>
      <c r="V23" s="14">
        <f ca="1">FLUID!Z66</f>
        <v>0</v>
      </c>
      <c r="W23" s="14">
        <f ca="1">FLUID!AA66</f>
        <v>0</v>
      </c>
      <c r="X23" s="14">
        <f ca="1">FLUID!AB66</f>
        <v>0</v>
      </c>
      <c r="Y23" s="14">
        <f ca="1">FLUID!AC66</f>
        <v>0</v>
      </c>
      <c r="Z23" s="14">
        <f ca="1">FLUID!AD66</f>
        <v>0</v>
      </c>
      <c r="AA23" s="14">
        <f ca="1">FLUID!AE66</f>
        <v>0</v>
      </c>
      <c r="AB23" s="14">
        <f ca="1">FLUID!AF66</f>
        <v>0</v>
      </c>
      <c r="AC23" s="14">
        <f ca="1">FLUID!AG66</f>
        <v>0</v>
      </c>
      <c r="AD23" s="14">
        <f ca="1">FLUID!AH66</f>
        <v>0</v>
      </c>
      <c r="AE23" s="14">
        <f ca="1">FLUID!AI66</f>
        <v>0</v>
      </c>
      <c r="AF23" s="14">
        <f ca="1">FLUID!AJ66</f>
        <v>0</v>
      </c>
      <c r="AG23" s="14">
        <f ca="1">FLUID!AK66</f>
        <v>0</v>
      </c>
      <c r="AH23" s="14">
        <f ca="1">FLUID!AL66</f>
        <v>0</v>
      </c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</row>
    <row r="24" spans="1:94" ht="22.5" hidden="1" customHeight="1" outlineLevel="1" thickBot="1" x14ac:dyDescent="0.4">
      <c r="A24" s="36">
        <f>FLUID!E67</f>
        <v>0</v>
      </c>
      <c r="B24" s="16">
        <f ca="1">FLUID!F67</f>
        <v>0</v>
      </c>
      <c r="C24" s="16">
        <f ca="1">FLUID!G67</f>
        <v>0</v>
      </c>
      <c r="D24" s="16">
        <f ca="1">FLUID!H67</f>
        <v>0</v>
      </c>
      <c r="E24" s="16">
        <f ca="1">FLUID!I67</f>
        <v>0</v>
      </c>
      <c r="F24" s="14">
        <f ca="1">FLUID!J67</f>
        <v>0</v>
      </c>
      <c r="G24" s="14">
        <f ca="1">FLUID!K67</f>
        <v>0</v>
      </c>
      <c r="H24" s="14">
        <f ca="1">FLUID!L67</f>
        <v>0</v>
      </c>
      <c r="I24" s="14">
        <f ca="1">FLUID!M67</f>
        <v>0</v>
      </c>
      <c r="J24" s="14">
        <f ca="1">FLUID!N67</f>
        <v>0</v>
      </c>
      <c r="K24" s="14">
        <f ca="1">FLUID!O67</f>
        <v>0</v>
      </c>
      <c r="L24" s="14">
        <f ca="1">FLUID!P67</f>
        <v>0</v>
      </c>
      <c r="M24" s="14">
        <f ca="1">FLUID!Q67</f>
        <v>0</v>
      </c>
      <c r="N24" s="14">
        <f ca="1">FLUID!R67</f>
        <v>0</v>
      </c>
      <c r="O24" s="14">
        <f ca="1">FLUID!S67</f>
        <v>0</v>
      </c>
      <c r="P24" s="14">
        <f ca="1">FLUID!T67</f>
        <v>0</v>
      </c>
      <c r="Q24" s="14">
        <f ca="1">FLUID!U67</f>
        <v>0</v>
      </c>
      <c r="R24" s="14">
        <f ca="1">FLUID!V67</f>
        <v>0</v>
      </c>
      <c r="S24" s="14">
        <f ca="1">FLUID!W67</f>
        <v>0</v>
      </c>
      <c r="T24" s="14">
        <f ca="1">FLUID!X67</f>
        <v>0</v>
      </c>
      <c r="U24" s="14">
        <f ca="1">FLUID!Y67</f>
        <v>0</v>
      </c>
      <c r="V24" s="14">
        <f ca="1">FLUID!Z67</f>
        <v>0</v>
      </c>
      <c r="W24" s="14">
        <f ca="1">FLUID!AA67</f>
        <v>0</v>
      </c>
      <c r="X24" s="14">
        <f ca="1">FLUID!AB67</f>
        <v>0</v>
      </c>
      <c r="Y24" s="14">
        <f ca="1">FLUID!AC67</f>
        <v>0</v>
      </c>
      <c r="Z24" s="14">
        <f ca="1">FLUID!AD67</f>
        <v>0</v>
      </c>
      <c r="AA24" s="14">
        <f ca="1">FLUID!AE67</f>
        <v>0</v>
      </c>
      <c r="AB24" s="14">
        <f ca="1">FLUID!AF67</f>
        <v>0</v>
      </c>
      <c r="AC24" s="14">
        <f ca="1">FLUID!AG67</f>
        <v>0</v>
      </c>
      <c r="AD24" s="14">
        <f ca="1">FLUID!AH67</f>
        <v>0</v>
      </c>
      <c r="AE24" s="14">
        <f ca="1">FLUID!AI67</f>
        <v>0</v>
      </c>
      <c r="AF24" s="14">
        <f ca="1">FLUID!AJ67</f>
        <v>0</v>
      </c>
      <c r="AG24" s="14">
        <f ca="1">FLUID!AK67</f>
        <v>0</v>
      </c>
      <c r="AH24" s="14">
        <f ca="1">FLUID!AL67</f>
        <v>0</v>
      </c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</row>
    <row r="25" spans="1:94" ht="22.5" hidden="1" customHeight="1" outlineLevel="1" thickBot="1" x14ac:dyDescent="0.4">
      <c r="A25" s="36">
        <f>FLUID!E68</f>
        <v>0</v>
      </c>
      <c r="B25" s="16">
        <f ca="1">FLUID!F68</f>
        <v>0</v>
      </c>
      <c r="C25" s="16">
        <f ca="1">FLUID!G68</f>
        <v>0</v>
      </c>
      <c r="D25" s="16">
        <f ca="1">FLUID!H68</f>
        <v>0</v>
      </c>
      <c r="E25" s="16">
        <f ca="1">FLUID!I68</f>
        <v>0</v>
      </c>
      <c r="F25" s="14">
        <f ca="1">FLUID!J68</f>
        <v>0</v>
      </c>
      <c r="G25" s="14">
        <f ca="1">FLUID!K68</f>
        <v>0</v>
      </c>
      <c r="H25" s="14">
        <f ca="1">FLUID!L68</f>
        <v>0</v>
      </c>
      <c r="I25" s="14">
        <f ca="1">FLUID!M68</f>
        <v>0</v>
      </c>
      <c r="J25" s="14">
        <f ca="1">FLUID!N68</f>
        <v>0</v>
      </c>
      <c r="K25" s="14">
        <f ca="1">FLUID!O68</f>
        <v>0</v>
      </c>
      <c r="L25" s="14">
        <f ca="1">FLUID!P68</f>
        <v>0</v>
      </c>
      <c r="M25" s="14">
        <f ca="1">FLUID!Q68</f>
        <v>0</v>
      </c>
      <c r="N25" s="14">
        <f ca="1">FLUID!R68</f>
        <v>0</v>
      </c>
      <c r="O25" s="14">
        <f ca="1">FLUID!S68</f>
        <v>0</v>
      </c>
      <c r="P25" s="14">
        <f ca="1">FLUID!T68</f>
        <v>0</v>
      </c>
      <c r="Q25" s="14">
        <f ca="1">FLUID!U68</f>
        <v>0</v>
      </c>
      <c r="R25" s="14">
        <f ca="1">FLUID!V68</f>
        <v>0</v>
      </c>
      <c r="S25" s="14">
        <f ca="1">FLUID!W68</f>
        <v>0</v>
      </c>
      <c r="T25" s="14">
        <f ca="1">FLUID!X68</f>
        <v>0</v>
      </c>
      <c r="U25" s="14">
        <f ca="1">FLUID!Y68</f>
        <v>0</v>
      </c>
      <c r="V25" s="14">
        <f ca="1">FLUID!Z68</f>
        <v>0</v>
      </c>
      <c r="W25" s="14">
        <f ca="1">FLUID!AA68</f>
        <v>0</v>
      </c>
      <c r="X25" s="14">
        <f ca="1">FLUID!AB68</f>
        <v>0</v>
      </c>
      <c r="Y25" s="14">
        <f ca="1">FLUID!AC68</f>
        <v>0</v>
      </c>
      <c r="Z25" s="14">
        <f ca="1">FLUID!AD68</f>
        <v>0</v>
      </c>
      <c r="AA25" s="14">
        <f ca="1">FLUID!AE68</f>
        <v>0</v>
      </c>
      <c r="AB25" s="14">
        <f ca="1">FLUID!AF68</f>
        <v>0</v>
      </c>
      <c r="AC25" s="14">
        <f ca="1">FLUID!AG68</f>
        <v>0</v>
      </c>
      <c r="AD25" s="14">
        <f ca="1">FLUID!AH68</f>
        <v>0</v>
      </c>
      <c r="AE25" s="14">
        <f ca="1">FLUID!AI68</f>
        <v>0</v>
      </c>
      <c r="AF25" s="14">
        <f ca="1">FLUID!AJ68</f>
        <v>0</v>
      </c>
      <c r="AG25" s="14">
        <f ca="1">FLUID!AK68</f>
        <v>0</v>
      </c>
      <c r="AH25" s="14">
        <f ca="1">FLUID!AL68</f>
        <v>0</v>
      </c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</row>
    <row r="26" spans="1:94" ht="22.5" hidden="1" customHeight="1" outlineLevel="1" thickBot="1" x14ac:dyDescent="0.4">
      <c r="A26" s="36">
        <f>FLUID!E69</f>
        <v>0</v>
      </c>
      <c r="B26" s="16">
        <f ca="1">FLUID!F69</f>
        <v>0</v>
      </c>
      <c r="C26" s="16">
        <f ca="1">FLUID!G69</f>
        <v>0</v>
      </c>
      <c r="D26" s="16">
        <f ca="1">FLUID!H69</f>
        <v>0</v>
      </c>
      <c r="E26" s="16">
        <f ca="1">FLUID!I69</f>
        <v>0</v>
      </c>
      <c r="F26" s="14">
        <f ca="1">FLUID!J69</f>
        <v>0</v>
      </c>
      <c r="G26" s="14">
        <f ca="1">FLUID!K69</f>
        <v>0</v>
      </c>
      <c r="H26" s="14">
        <f ca="1">FLUID!L69</f>
        <v>0</v>
      </c>
      <c r="I26" s="14">
        <f ca="1">FLUID!M69</f>
        <v>0</v>
      </c>
      <c r="J26" s="14">
        <f ca="1">FLUID!N69</f>
        <v>0</v>
      </c>
      <c r="K26" s="14">
        <f ca="1">FLUID!O69</f>
        <v>0</v>
      </c>
      <c r="L26" s="14">
        <f ca="1">FLUID!P69</f>
        <v>0</v>
      </c>
      <c r="M26" s="14">
        <f ca="1">FLUID!Q69</f>
        <v>0</v>
      </c>
      <c r="N26" s="14">
        <f ca="1">FLUID!R69</f>
        <v>0</v>
      </c>
      <c r="O26" s="14">
        <f ca="1">FLUID!S69</f>
        <v>0</v>
      </c>
      <c r="P26" s="14">
        <f ca="1">FLUID!T69</f>
        <v>0</v>
      </c>
      <c r="Q26" s="14">
        <f ca="1">FLUID!U69</f>
        <v>0</v>
      </c>
      <c r="R26" s="14">
        <f ca="1">FLUID!V69</f>
        <v>0</v>
      </c>
      <c r="S26" s="14">
        <f ca="1">FLUID!W69</f>
        <v>0</v>
      </c>
      <c r="T26" s="14">
        <f ca="1">FLUID!X69</f>
        <v>0</v>
      </c>
      <c r="U26" s="14">
        <f ca="1">FLUID!Y69</f>
        <v>0</v>
      </c>
      <c r="V26" s="14">
        <f ca="1">FLUID!Z69</f>
        <v>0</v>
      </c>
      <c r="W26" s="14">
        <f ca="1">FLUID!AA69</f>
        <v>0</v>
      </c>
      <c r="X26" s="14">
        <f ca="1">FLUID!AB69</f>
        <v>0</v>
      </c>
      <c r="Y26" s="14">
        <f ca="1">FLUID!AC69</f>
        <v>0</v>
      </c>
      <c r="Z26" s="14">
        <f ca="1">FLUID!AD69</f>
        <v>0</v>
      </c>
      <c r="AA26" s="14">
        <f ca="1">FLUID!AE69</f>
        <v>0</v>
      </c>
      <c r="AB26" s="14">
        <f ca="1">FLUID!AF69</f>
        <v>0</v>
      </c>
      <c r="AC26" s="14">
        <f ca="1">FLUID!AG69</f>
        <v>0</v>
      </c>
      <c r="AD26" s="14">
        <f ca="1">FLUID!AH69</f>
        <v>0</v>
      </c>
      <c r="AE26" s="14">
        <f ca="1">FLUID!AI69</f>
        <v>0</v>
      </c>
      <c r="AF26" s="14">
        <f ca="1">FLUID!AJ69</f>
        <v>0</v>
      </c>
      <c r="AG26" s="14">
        <f ca="1">FLUID!AK69</f>
        <v>0</v>
      </c>
      <c r="AH26" s="14">
        <f ca="1">FLUID!AL69</f>
        <v>0</v>
      </c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</row>
    <row r="27" spans="1:94" ht="22.5" hidden="1" customHeight="1" outlineLevel="1" thickBot="1" x14ac:dyDescent="0.4">
      <c r="A27" s="36">
        <f>FLUID!E70</f>
        <v>0</v>
      </c>
      <c r="B27" s="16">
        <f ca="1">FLUID!F70</f>
        <v>0</v>
      </c>
      <c r="C27" s="16">
        <f ca="1">FLUID!G70</f>
        <v>0</v>
      </c>
      <c r="D27" s="16">
        <f ca="1">FLUID!H70</f>
        <v>0</v>
      </c>
      <c r="E27" s="16">
        <f ca="1">FLUID!I70</f>
        <v>0</v>
      </c>
      <c r="F27" s="14">
        <f ca="1">FLUID!J70</f>
        <v>0</v>
      </c>
      <c r="G27" s="14">
        <f ca="1">FLUID!K70</f>
        <v>0</v>
      </c>
      <c r="H27" s="14">
        <f ca="1">FLUID!L70</f>
        <v>0</v>
      </c>
      <c r="I27" s="14">
        <f ca="1">FLUID!M70</f>
        <v>0</v>
      </c>
      <c r="J27" s="14">
        <f ca="1">FLUID!N70</f>
        <v>0</v>
      </c>
      <c r="K27" s="14">
        <f ca="1">FLUID!O70</f>
        <v>0</v>
      </c>
      <c r="L27" s="14">
        <f ca="1">FLUID!P70</f>
        <v>0</v>
      </c>
      <c r="M27" s="14">
        <f ca="1">FLUID!Q70</f>
        <v>0</v>
      </c>
      <c r="N27" s="14">
        <f ca="1">FLUID!R70</f>
        <v>0</v>
      </c>
      <c r="O27" s="14">
        <f ca="1">FLUID!S70</f>
        <v>0</v>
      </c>
      <c r="P27" s="14">
        <f ca="1">FLUID!T70</f>
        <v>0</v>
      </c>
      <c r="Q27" s="14">
        <f ca="1">FLUID!U70</f>
        <v>0</v>
      </c>
      <c r="R27" s="14">
        <f ca="1">FLUID!V70</f>
        <v>0</v>
      </c>
      <c r="S27" s="14">
        <f ca="1">FLUID!W70</f>
        <v>0</v>
      </c>
      <c r="T27" s="14">
        <f ca="1">FLUID!X70</f>
        <v>0</v>
      </c>
      <c r="U27" s="14">
        <f ca="1">FLUID!Y70</f>
        <v>0</v>
      </c>
      <c r="V27" s="14">
        <f ca="1">FLUID!Z70</f>
        <v>0</v>
      </c>
      <c r="W27" s="14">
        <f ca="1">FLUID!AA70</f>
        <v>0</v>
      </c>
      <c r="X27" s="14">
        <f ca="1">FLUID!AB70</f>
        <v>0</v>
      </c>
      <c r="Y27" s="14">
        <f ca="1">FLUID!AC70</f>
        <v>0</v>
      </c>
      <c r="Z27" s="14">
        <f ca="1">FLUID!AD70</f>
        <v>0</v>
      </c>
      <c r="AA27" s="14">
        <f ca="1">FLUID!AE70</f>
        <v>0</v>
      </c>
      <c r="AB27" s="14">
        <f ca="1">FLUID!AF70</f>
        <v>0</v>
      </c>
      <c r="AC27" s="14">
        <f ca="1">FLUID!AG70</f>
        <v>0</v>
      </c>
      <c r="AD27" s="14">
        <f ca="1">FLUID!AH70</f>
        <v>0</v>
      </c>
      <c r="AE27" s="14">
        <f ca="1">FLUID!AI70</f>
        <v>0</v>
      </c>
      <c r="AF27" s="14">
        <f ca="1">FLUID!AJ70</f>
        <v>0</v>
      </c>
      <c r="AG27" s="14">
        <f ca="1">FLUID!AK70</f>
        <v>0</v>
      </c>
      <c r="AH27" s="14">
        <f ca="1">FLUID!AL70</f>
        <v>0</v>
      </c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</row>
    <row r="28" spans="1:94" ht="22.5" hidden="1" customHeight="1" outlineLevel="1" thickBot="1" x14ac:dyDescent="0.4">
      <c r="A28" s="36">
        <f>FLUID!E71</f>
        <v>0</v>
      </c>
      <c r="B28" s="16">
        <f ca="1">FLUID!F71</f>
        <v>0</v>
      </c>
      <c r="C28" s="16">
        <f ca="1">FLUID!G71</f>
        <v>0</v>
      </c>
      <c r="D28" s="16">
        <f ca="1">FLUID!H71</f>
        <v>0</v>
      </c>
      <c r="E28" s="16">
        <f ca="1">FLUID!I71</f>
        <v>0</v>
      </c>
      <c r="F28" s="14">
        <f ca="1">FLUID!J71</f>
        <v>0</v>
      </c>
      <c r="G28" s="14">
        <f ca="1">FLUID!K71</f>
        <v>0</v>
      </c>
      <c r="H28" s="14">
        <f ca="1">FLUID!L71</f>
        <v>0</v>
      </c>
      <c r="I28" s="14">
        <f ca="1">FLUID!M71</f>
        <v>0</v>
      </c>
      <c r="J28" s="14">
        <f ca="1">FLUID!N71</f>
        <v>0</v>
      </c>
      <c r="K28" s="14">
        <f ca="1">FLUID!O71</f>
        <v>0</v>
      </c>
      <c r="L28" s="14">
        <f ca="1">FLUID!P71</f>
        <v>0</v>
      </c>
      <c r="M28" s="14">
        <f ca="1">FLUID!Q71</f>
        <v>0</v>
      </c>
      <c r="N28" s="14">
        <f ca="1">FLUID!R71</f>
        <v>0</v>
      </c>
      <c r="O28" s="14">
        <f ca="1">FLUID!S71</f>
        <v>0</v>
      </c>
      <c r="P28" s="14">
        <f ca="1">FLUID!T71</f>
        <v>0</v>
      </c>
      <c r="Q28" s="14">
        <f ca="1">FLUID!U71</f>
        <v>0</v>
      </c>
      <c r="R28" s="14">
        <f ca="1">FLUID!V71</f>
        <v>0</v>
      </c>
      <c r="S28" s="14">
        <f ca="1">FLUID!W71</f>
        <v>0</v>
      </c>
      <c r="T28" s="14">
        <f ca="1">FLUID!X71</f>
        <v>0</v>
      </c>
      <c r="U28" s="14">
        <f ca="1">FLUID!Y71</f>
        <v>0</v>
      </c>
      <c r="V28" s="14">
        <f ca="1">FLUID!Z71</f>
        <v>0</v>
      </c>
      <c r="W28" s="14">
        <f ca="1">FLUID!AA71</f>
        <v>0</v>
      </c>
      <c r="X28" s="14">
        <f ca="1">FLUID!AB71</f>
        <v>0</v>
      </c>
      <c r="Y28" s="14">
        <f ca="1">FLUID!AC71</f>
        <v>0</v>
      </c>
      <c r="Z28" s="14">
        <f ca="1">FLUID!AD71</f>
        <v>0</v>
      </c>
      <c r="AA28" s="14">
        <f ca="1">FLUID!AE71</f>
        <v>0</v>
      </c>
      <c r="AB28" s="14">
        <f ca="1">FLUID!AF71</f>
        <v>0</v>
      </c>
      <c r="AC28" s="14">
        <f ca="1">FLUID!AG71</f>
        <v>0</v>
      </c>
      <c r="AD28" s="14">
        <f ca="1">FLUID!AH71</f>
        <v>0</v>
      </c>
      <c r="AE28" s="14">
        <f ca="1">FLUID!AI71</f>
        <v>0</v>
      </c>
      <c r="AF28" s="14">
        <f ca="1">FLUID!AJ71</f>
        <v>0</v>
      </c>
      <c r="AG28" s="14">
        <f ca="1">FLUID!AK71</f>
        <v>0</v>
      </c>
      <c r="AH28" s="14">
        <f ca="1">FLUID!AL71</f>
        <v>0</v>
      </c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</row>
    <row r="29" spans="1:94" ht="22.5" hidden="1" customHeight="1" outlineLevel="1" thickBot="1" x14ac:dyDescent="0.4">
      <c r="A29" s="36">
        <f>FLUID!E72</f>
        <v>0</v>
      </c>
      <c r="B29" s="16">
        <f ca="1">FLUID!F72</f>
        <v>0</v>
      </c>
      <c r="C29" s="16">
        <f>FLUID!G76</f>
        <v>0</v>
      </c>
      <c r="D29" s="16">
        <f>FLUID!H76</f>
        <v>0</v>
      </c>
      <c r="E29" s="16">
        <f>FLUID!I76</f>
        <v>0</v>
      </c>
      <c r="F29" s="14" t="e">
        <f>#REF!</f>
        <v>#REF!</v>
      </c>
      <c r="G29" s="14" t="e">
        <f>#REF!</f>
        <v>#REF!</v>
      </c>
      <c r="H29" s="14" t="e">
        <f>#REF!</f>
        <v>#REF!</v>
      </c>
      <c r="I29" s="14" t="e">
        <f>#REF!</f>
        <v>#REF!</v>
      </c>
      <c r="J29" s="14" t="e">
        <f>#REF!</f>
        <v>#REF!</v>
      </c>
      <c r="K29" s="14" t="e">
        <f>#REF!</f>
        <v>#REF!</v>
      </c>
      <c r="L29" s="14" t="e">
        <f>#REF!</f>
        <v>#REF!</v>
      </c>
      <c r="M29" s="14" t="e">
        <f>#REF!</f>
        <v>#REF!</v>
      </c>
      <c r="N29" s="14" t="e">
        <f>#REF!</f>
        <v>#REF!</v>
      </c>
      <c r="O29" s="14" t="e">
        <f>#REF!</f>
        <v>#REF!</v>
      </c>
      <c r="P29" s="14" t="e">
        <f>#REF!</f>
        <v>#REF!</v>
      </c>
      <c r="Q29" s="14" t="e">
        <f>#REF!</f>
        <v>#REF!</v>
      </c>
      <c r="R29" s="14" t="e">
        <f>#REF!</f>
        <v>#REF!</v>
      </c>
      <c r="S29" s="14" t="e">
        <f>#REF!</f>
        <v>#REF!</v>
      </c>
      <c r="T29" s="14" t="e">
        <f>#REF!</f>
        <v>#REF!</v>
      </c>
      <c r="U29" s="14" t="e">
        <f>#REF!</f>
        <v>#REF!</v>
      </c>
      <c r="V29" s="14" t="e">
        <f>#REF!</f>
        <v>#REF!</v>
      </c>
      <c r="W29" s="14" t="e">
        <f>#REF!</f>
        <v>#REF!</v>
      </c>
      <c r="X29" s="14" t="e">
        <f>#REF!</f>
        <v>#REF!</v>
      </c>
      <c r="Y29" s="14" t="e">
        <f>#REF!</f>
        <v>#REF!</v>
      </c>
      <c r="Z29" s="14" t="e">
        <f>#REF!</f>
        <v>#REF!</v>
      </c>
      <c r="AA29" s="14" t="e">
        <f>#REF!</f>
        <v>#REF!</v>
      </c>
      <c r="AB29" s="14" t="e">
        <f>#REF!</f>
        <v>#REF!</v>
      </c>
      <c r="AC29" s="14" t="e">
        <f>#REF!</f>
        <v>#REF!</v>
      </c>
      <c r="AD29" s="14" t="e">
        <f>#REF!</f>
        <v>#REF!</v>
      </c>
      <c r="AE29" s="14" t="e">
        <f>#REF!</f>
        <v>#REF!</v>
      </c>
      <c r="AF29" s="14" t="e">
        <f>#REF!</f>
        <v>#REF!</v>
      </c>
      <c r="AG29" s="14" t="e">
        <f>#REF!</f>
        <v>#REF!</v>
      </c>
      <c r="AH29" s="14" t="e">
        <f>#REF!</f>
        <v>#REF!</v>
      </c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</row>
    <row r="30" spans="1:94" ht="22.5" hidden="1" customHeight="1" outlineLevel="1" thickBot="1" x14ac:dyDescent="0.4">
      <c r="A30" s="36">
        <f>FLUID!E73</f>
        <v>0</v>
      </c>
      <c r="B30" s="16">
        <f ca="1">FLUID!F73</f>
        <v>0</v>
      </c>
      <c r="C30" s="16">
        <f>FLUID!G77</f>
        <v>0</v>
      </c>
      <c r="D30" s="16">
        <f>FLUID!H77</f>
        <v>0</v>
      </c>
      <c r="E30" s="16">
        <f>FLUID!I77</f>
        <v>0</v>
      </c>
      <c r="F30" s="14" t="e">
        <f>#REF!</f>
        <v>#REF!</v>
      </c>
      <c r="G30" s="14" t="e">
        <f>#REF!</f>
        <v>#REF!</v>
      </c>
      <c r="H30" s="14" t="e">
        <f>#REF!</f>
        <v>#REF!</v>
      </c>
      <c r="I30" s="14" t="e">
        <f>#REF!</f>
        <v>#REF!</v>
      </c>
      <c r="J30" s="14" t="e">
        <f>#REF!</f>
        <v>#REF!</v>
      </c>
      <c r="K30" s="14" t="e">
        <f>#REF!</f>
        <v>#REF!</v>
      </c>
      <c r="L30" s="14" t="e">
        <f>#REF!</f>
        <v>#REF!</v>
      </c>
      <c r="M30" s="14" t="e">
        <f>#REF!</f>
        <v>#REF!</v>
      </c>
      <c r="N30" s="14" t="e">
        <f>#REF!</f>
        <v>#REF!</v>
      </c>
      <c r="O30" s="14" t="e">
        <f>#REF!</f>
        <v>#REF!</v>
      </c>
      <c r="P30" s="14" t="e">
        <f>#REF!</f>
        <v>#REF!</v>
      </c>
      <c r="Q30" s="14" t="e">
        <f>#REF!</f>
        <v>#REF!</v>
      </c>
      <c r="R30" s="14" t="e">
        <f>#REF!</f>
        <v>#REF!</v>
      </c>
      <c r="S30" s="14" t="e">
        <f>#REF!</f>
        <v>#REF!</v>
      </c>
      <c r="T30" s="14" t="e">
        <f>#REF!</f>
        <v>#REF!</v>
      </c>
      <c r="U30" s="14" t="e">
        <f>#REF!</f>
        <v>#REF!</v>
      </c>
      <c r="V30" s="14" t="e">
        <f>#REF!</f>
        <v>#REF!</v>
      </c>
      <c r="W30" s="14" t="e">
        <f>#REF!</f>
        <v>#REF!</v>
      </c>
      <c r="X30" s="14" t="e">
        <f>#REF!</f>
        <v>#REF!</v>
      </c>
      <c r="Y30" s="14" t="e">
        <f>#REF!</f>
        <v>#REF!</v>
      </c>
      <c r="Z30" s="14" t="e">
        <f>#REF!</f>
        <v>#REF!</v>
      </c>
      <c r="AA30" s="14" t="e">
        <f>#REF!</f>
        <v>#REF!</v>
      </c>
      <c r="AB30" s="14" t="e">
        <f>#REF!</f>
        <v>#REF!</v>
      </c>
      <c r="AC30" s="14" t="e">
        <f>#REF!</f>
        <v>#REF!</v>
      </c>
      <c r="AD30" s="14" t="e">
        <f>#REF!</f>
        <v>#REF!</v>
      </c>
      <c r="AE30" s="14" t="e">
        <f>#REF!</f>
        <v>#REF!</v>
      </c>
      <c r="AF30" s="14" t="e">
        <f>#REF!</f>
        <v>#REF!</v>
      </c>
      <c r="AG30" s="14" t="e">
        <f>#REF!</f>
        <v>#REF!</v>
      </c>
      <c r="AH30" s="14" t="e">
        <f>#REF!</f>
        <v>#REF!</v>
      </c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</row>
    <row r="31" spans="1:94" ht="22.5" hidden="1" customHeight="1" outlineLevel="1" thickBot="1" x14ac:dyDescent="0.4">
      <c r="A31" s="36">
        <f>FLUID!E74</f>
        <v>0</v>
      </c>
      <c r="B31" s="16">
        <f ca="1">FLUID!F74</f>
        <v>0</v>
      </c>
      <c r="C31" s="16">
        <f>FLUID!G78</f>
        <v>0</v>
      </c>
      <c r="D31" s="16">
        <f>FLUID!H78</f>
        <v>0</v>
      </c>
      <c r="E31" s="16">
        <f>FLUID!I78</f>
        <v>0</v>
      </c>
      <c r="F31" s="14" t="e">
        <f>#REF!</f>
        <v>#REF!</v>
      </c>
      <c r="G31" s="14" t="e">
        <f>#REF!</f>
        <v>#REF!</v>
      </c>
      <c r="H31" s="14" t="e">
        <f>#REF!</f>
        <v>#REF!</v>
      </c>
      <c r="I31" s="14" t="e">
        <f>#REF!</f>
        <v>#REF!</v>
      </c>
      <c r="J31" s="14" t="e">
        <f>#REF!</f>
        <v>#REF!</v>
      </c>
      <c r="K31" s="14" t="e">
        <f>#REF!</f>
        <v>#REF!</v>
      </c>
      <c r="L31" s="14" t="e">
        <f>#REF!</f>
        <v>#REF!</v>
      </c>
      <c r="M31" s="14" t="e">
        <f>#REF!</f>
        <v>#REF!</v>
      </c>
      <c r="N31" s="14" t="e">
        <f>#REF!</f>
        <v>#REF!</v>
      </c>
      <c r="O31" s="14" t="e">
        <f>#REF!</f>
        <v>#REF!</v>
      </c>
      <c r="P31" s="14" t="e">
        <f>#REF!</f>
        <v>#REF!</v>
      </c>
      <c r="Q31" s="14" t="e">
        <f>#REF!</f>
        <v>#REF!</v>
      </c>
      <c r="R31" s="14" t="e">
        <f>#REF!</f>
        <v>#REF!</v>
      </c>
      <c r="S31" s="14" t="e">
        <f>#REF!</f>
        <v>#REF!</v>
      </c>
      <c r="T31" s="14" t="e">
        <f>#REF!</f>
        <v>#REF!</v>
      </c>
      <c r="U31" s="14" t="e">
        <f>#REF!</f>
        <v>#REF!</v>
      </c>
      <c r="V31" s="14" t="e">
        <f>#REF!</f>
        <v>#REF!</v>
      </c>
      <c r="W31" s="14" t="e">
        <f>#REF!</f>
        <v>#REF!</v>
      </c>
      <c r="X31" s="14" t="e">
        <f>#REF!</f>
        <v>#REF!</v>
      </c>
      <c r="Y31" s="14" t="e">
        <f>#REF!</f>
        <v>#REF!</v>
      </c>
      <c r="Z31" s="14" t="e">
        <f>#REF!</f>
        <v>#REF!</v>
      </c>
      <c r="AA31" s="14" t="e">
        <f>#REF!</f>
        <v>#REF!</v>
      </c>
      <c r="AB31" s="14" t="e">
        <f>#REF!</f>
        <v>#REF!</v>
      </c>
      <c r="AC31" s="14" t="e">
        <f>#REF!</f>
        <v>#REF!</v>
      </c>
      <c r="AD31" s="14" t="e">
        <f>#REF!</f>
        <v>#REF!</v>
      </c>
      <c r="AE31" s="14" t="e">
        <f>#REF!</f>
        <v>#REF!</v>
      </c>
      <c r="AF31" s="14" t="e">
        <f>#REF!</f>
        <v>#REF!</v>
      </c>
      <c r="AG31" s="14" t="e">
        <f>#REF!</f>
        <v>#REF!</v>
      </c>
      <c r="AH31" s="14" t="e">
        <f>#REF!</f>
        <v>#REF!</v>
      </c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</row>
    <row r="32" spans="1:94" ht="22.5" hidden="1" customHeight="1" outlineLevel="1" thickBot="1" x14ac:dyDescent="0.4">
      <c r="A32" s="36">
        <f>FLUID!E75</f>
        <v>1</v>
      </c>
      <c r="B32" s="16">
        <f>FLUID!F75</f>
        <v>0</v>
      </c>
      <c r="C32" s="16">
        <f>FLUID!G75</f>
        <v>0</v>
      </c>
      <c r="D32" s="16">
        <f>FLUID!H75</f>
        <v>0</v>
      </c>
      <c r="E32" s="16">
        <f>FLUID!I75</f>
        <v>0</v>
      </c>
      <c r="F32" s="14">
        <f>FLUID!J75</f>
        <v>0</v>
      </c>
      <c r="G32" s="14">
        <f>FLUID!K75</f>
        <v>0</v>
      </c>
      <c r="H32" s="14">
        <f>FLUID!L75</f>
        <v>0</v>
      </c>
      <c r="I32" s="14">
        <f>FLUID!M75</f>
        <v>0</v>
      </c>
      <c r="J32" s="14">
        <f>FLUID!N75</f>
        <v>0</v>
      </c>
      <c r="K32" s="14">
        <f>FLUID!O75</f>
        <v>0</v>
      </c>
      <c r="L32" s="14">
        <f>FLUID!P75</f>
        <v>0</v>
      </c>
      <c r="M32" s="14">
        <f>FLUID!Q75</f>
        <v>0</v>
      </c>
      <c r="N32" s="14">
        <f>FLUID!R75</f>
        <v>0</v>
      </c>
      <c r="O32" s="14">
        <f>FLUID!S75</f>
        <v>0</v>
      </c>
      <c r="P32" s="14">
        <f>FLUID!T75</f>
        <v>0</v>
      </c>
      <c r="Q32" s="14">
        <f>FLUID!U75</f>
        <v>0</v>
      </c>
      <c r="R32" s="14">
        <f>FLUID!V75</f>
        <v>0</v>
      </c>
      <c r="S32" s="14">
        <f>FLUID!W75</f>
        <v>0</v>
      </c>
      <c r="T32" s="14">
        <f>FLUID!X75</f>
        <v>0</v>
      </c>
      <c r="U32" s="14">
        <f>FLUID!Y75</f>
        <v>0</v>
      </c>
      <c r="V32" s="14">
        <f>FLUID!Z75</f>
        <v>0</v>
      </c>
      <c r="W32" s="14">
        <f>FLUID!AA75</f>
        <v>0</v>
      </c>
      <c r="X32" s="14">
        <f>FLUID!AB75</f>
        <v>0</v>
      </c>
      <c r="Y32" s="14">
        <f>FLUID!AC75</f>
        <v>0</v>
      </c>
      <c r="Z32" s="14">
        <f>FLUID!AD75</f>
        <v>0</v>
      </c>
      <c r="AA32" s="14">
        <f>FLUID!AE75</f>
        <v>0</v>
      </c>
      <c r="AB32" s="14">
        <f>FLUID!AF75</f>
        <v>0</v>
      </c>
      <c r="AC32" s="14">
        <f>FLUID!AG75</f>
        <v>0</v>
      </c>
      <c r="AD32" s="14">
        <f>FLUID!AH75</f>
        <v>0</v>
      </c>
      <c r="AE32" s="14">
        <f>FLUID!AI75</f>
        <v>0</v>
      </c>
      <c r="AF32" s="14">
        <f>FLUID!AJ75</f>
        <v>0</v>
      </c>
      <c r="AG32" s="14">
        <f>FLUID!AK75</f>
        <v>0</v>
      </c>
      <c r="AH32" s="14">
        <f>FLUID!AL75</f>
        <v>0</v>
      </c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</row>
    <row r="33" spans="1:94" ht="22.5" collapsed="1" thickTop="1" thickBot="1" x14ac:dyDescent="0.4">
      <c r="A33" s="38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</row>
    <row r="34" spans="1:94" ht="22.5" thickTop="1" thickBot="1" x14ac:dyDescent="0.4">
      <c r="A34" s="4" t="s">
        <v>30</v>
      </c>
      <c r="B34" s="72">
        <f>SOLID!F45</f>
        <v>273.10000000000002</v>
      </c>
      <c r="C34" s="72">
        <f>SOLID!G45</f>
        <v>293.3</v>
      </c>
      <c r="D34" s="72">
        <f>SOLID!H45</f>
        <v>313.5</v>
      </c>
      <c r="E34" s="72">
        <f>SOLID!I45</f>
        <v>333.7</v>
      </c>
      <c r="F34" s="72">
        <f>SOLID!J45</f>
        <v>353.9</v>
      </c>
      <c r="G34" s="72">
        <f>SOLID!K45</f>
        <v>434.7</v>
      </c>
      <c r="H34" s="72">
        <f>SOLID!L45</f>
        <v>454.9</v>
      </c>
      <c r="I34" s="72">
        <f>SOLID!M45</f>
        <v>475.1</v>
      </c>
      <c r="J34" s="72">
        <f>SOLID!N45</f>
        <v>495.2</v>
      </c>
      <c r="K34" s="72">
        <f>SOLID!O45</f>
        <v>515.4</v>
      </c>
      <c r="L34" s="72">
        <f>SOLID!P45</f>
        <v>535.6</v>
      </c>
      <c r="M34" s="72">
        <f>SOLID!Q45</f>
        <v>555.79999999999995</v>
      </c>
      <c r="N34" s="72">
        <f>SOLID!R45</f>
        <v>576</v>
      </c>
      <c r="O34" s="72">
        <f>SOLID!S45</f>
        <v>596.20000000000005</v>
      </c>
      <c r="P34" s="72">
        <f>SOLID!T45</f>
        <v>677</v>
      </c>
      <c r="Q34" s="72">
        <f>SOLID!U45</f>
        <v>757.7</v>
      </c>
      <c r="R34" s="72">
        <f>SOLID!V45</f>
        <v>838.5</v>
      </c>
      <c r="S34" s="72">
        <f>SOLID!W45</f>
        <v>919.2</v>
      </c>
      <c r="T34" s="72">
        <f>SOLID!X45</f>
        <v>1000</v>
      </c>
      <c r="U34" s="72">
        <f>SOLID!Y45</f>
        <v>0</v>
      </c>
      <c r="V34" s="72">
        <f>SOLID!Z45</f>
        <v>0</v>
      </c>
      <c r="W34" s="72">
        <f>SOLID!AA45</f>
        <v>0</v>
      </c>
      <c r="X34" s="72">
        <f>SOLID!AB45</f>
        <v>0</v>
      </c>
      <c r="Y34" s="72">
        <f>SOLID!AC45</f>
        <v>0</v>
      </c>
      <c r="Z34" s="72">
        <f>SOLID!AD45</f>
        <v>0</v>
      </c>
      <c r="AA34" s="72">
        <f>SOLID!AE45</f>
        <v>0</v>
      </c>
      <c r="AB34" s="72">
        <f>SOLID!AF45</f>
        <v>0</v>
      </c>
      <c r="AC34" s="72">
        <f>SOLID!AG45</f>
        <v>0</v>
      </c>
      <c r="AD34" s="72">
        <f>SOLID!AH45</f>
        <v>0</v>
      </c>
      <c r="AE34" s="72">
        <f>SOLID!AI45</f>
        <v>0</v>
      </c>
      <c r="AF34" s="72">
        <f>SOLID!AJ45</f>
        <v>0</v>
      </c>
      <c r="AG34" s="72">
        <f>SOLID!AK45</f>
        <v>0</v>
      </c>
      <c r="AH34" s="72">
        <f>SOLID!AL45</f>
        <v>0</v>
      </c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</row>
    <row r="35" spans="1:94" ht="22.5" hidden="1" outlineLevel="1" thickTop="1" thickBot="1" x14ac:dyDescent="0.4">
      <c r="A35" s="35" t="str">
        <f>SOLID!E46</f>
        <v>*Ge3Se4</v>
      </c>
      <c r="B35" s="16">
        <f ca="1">SOLID!F46</f>
        <v>-142.94999999999999</v>
      </c>
      <c r="C35" s="16">
        <f ca="1">SOLID!G46</f>
        <v>-135.28</v>
      </c>
      <c r="D35" s="16">
        <f ca="1">SOLID!H46</f>
        <v>-128.66</v>
      </c>
      <c r="E35" s="16">
        <f ca="1">SOLID!I46</f>
        <v>-122.94000000000001</v>
      </c>
      <c r="F35" s="14">
        <f ca="1">SOLID!J46</f>
        <v>-118.59</v>
      </c>
      <c r="G35" s="14">
        <f ca="1">SOLID!K46</f>
        <v>-107.619</v>
      </c>
      <c r="H35" s="14">
        <f ca="1">SOLID!L46</f>
        <v>-105.633</v>
      </c>
      <c r="I35" s="14">
        <f ca="1">SOLID!M46</f>
        <v>-103.92099999999999</v>
      </c>
      <c r="J35" s="14">
        <f ca="1">SOLID!N46</f>
        <v>-102.36699999999999</v>
      </c>
      <c r="K35" s="14">
        <f ca="1">SOLID!O46</f>
        <v>-101.005</v>
      </c>
      <c r="L35" s="14">
        <f ca="1">SOLID!P46</f>
        <v>-102.41</v>
      </c>
      <c r="M35" s="14">
        <f ca="1">SOLID!Q46</f>
        <v>-103.75999999999999</v>
      </c>
      <c r="N35" s="14">
        <f ca="1">SOLID!R46</f>
        <v>-105.06699999999999</v>
      </c>
      <c r="O35" s="14">
        <f ca="1">SOLID!S46</f>
        <v>-106.37700000000001</v>
      </c>
      <c r="P35" s="14">
        <f ca="1">SOLID!T46</f>
        <v>-111.53700000000001</v>
      </c>
      <c r="Q35" s="14">
        <f ca="1">SOLID!U46</f>
        <v>-116.488</v>
      </c>
      <c r="R35" s="14">
        <f ca="1">SOLID!V46</f>
        <v>-121.261</v>
      </c>
      <c r="S35" s="14">
        <f ca="1">SOLID!W46</f>
        <v>-125.81299999999999</v>
      </c>
      <c r="T35" s="14">
        <f ca="1">SOLID!X46</f>
        <v>-130.227</v>
      </c>
      <c r="U35" s="14">
        <f ca="1">SOLID!Y46</f>
        <v>0</v>
      </c>
      <c r="V35" s="14">
        <f ca="1">SOLID!Z46</f>
        <v>0</v>
      </c>
      <c r="W35" s="14">
        <f ca="1">SOLID!AA46</f>
        <v>0</v>
      </c>
      <c r="X35" s="14">
        <f ca="1">SOLID!AB46</f>
        <v>0</v>
      </c>
      <c r="Y35" s="14">
        <f ca="1">SOLID!AC46</f>
        <v>0</v>
      </c>
      <c r="Z35" s="14">
        <f ca="1">SOLID!AD46</f>
        <v>0</v>
      </c>
      <c r="AA35" s="14">
        <f ca="1">SOLID!AE46</f>
        <v>0</v>
      </c>
      <c r="AB35" s="14">
        <f ca="1">SOLID!AF46</f>
        <v>0</v>
      </c>
      <c r="AC35" s="14">
        <f ca="1">SOLID!AG46</f>
        <v>0</v>
      </c>
      <c r="AD35" s="14">
        <f ca="1">SOLID!AH46</f>
        <v>0</v>
      </c>
      <c r="AE35" s="14">
        <f ca="1">SOLID!AI46</f>
        <v>0</v>
      </c>
      <c r="AF35" s="14">
        <f ca="1">SOLID!AJ46</f>
        <v>0</v>
      </c>
      <c r="AG35" s="14">
        <f ca="1">SOLID!AK46</f>
        <v>0</v>
      </c>
      <c r="AH35" s="14">
        <f ca="1">SOLID!AL46</f>
        <v>0</v>
      </c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</row>
    <row r="36" spans="1:94" ht="21.75" hidden="1" outlineLevel="1" thickBot="1" x14ac:dyDescent="0.4">
      <c r="A36" s="35" t="str">
        <f>SOLID!E47</f>
        <v>*Ge4Se5</v>
      </c>
      <c r="B36" s="16">
        <f ca="1">SOLID!F47</f>
        <v>-182.76</v>
      </c>
      <c r="C36" s="16">
        <f ca="1">SOLID!G47</f>
        <v>-172.98000000000002</v>
      </c>
      <c r="D36" s="16">
        <f ca="1">SOLID!H47</f>
        <v>-164.54</v>
      </c>
      <c r="E36" s="16">
        <f ca="1">SOLID!I47</f>
        <v>-157.25</v>
      </c>
      <c r="F36" s="14">
        <f ca="1">SOLID!J47</f>
        <v>-151.53</v>
      </c>
      <c r="G36" s="14">
        <f ca="1">SOLID!K47</f>
        <v>-136.50200000000001</v>
      </c>
      <c r="H36" s="14">
        <f ca="1">SOLID!L47</f>
        <v>-133.75399999999999</v>
      </c>
      <c r="I36" s="14">
        <f ca="1">SOLID!M47</f>
        <v>-131.36799999999999</v>
      </c>
      <c r="J36" s="14">
        <f ca="1">SOLID!N47</f>
        <v>-129.196</v>
      </c>
      <c r="K36" s="14">
        <f ca="1">SOLID!O47</f>
        <v>-127.28</v>
      </c>
      <c r="L36" s="14">
        <f ca="1">SOLID!P47</f>
        <v>-129.04999999999998</v>
      </c>
      <c r="M36" s="14">
        <f ca="1">SOLID!Q47</f>
        <v>-130.75</v>
      </c>
      <c r="N36" s="14">
        <f ca="1">SOLID!R47</f>
        <v>-132.39599999999999</v>
      </c>
      <c r="O36" s="14">
        <f ca="1">SOLID!S47</f>
        <v>-134.04600000000002</v>
      </c>
      <c r="P36" s="14">
        <f ca="1">SOLID!T47</f>
        <v>-140.54600000000002</v>
      </c>
      <c r="Q36" s="14">
        <f ca="1">SOLID!U47</f>
        <v>-146.78399999999999</v>
      </c>
      <c r="R36" s="14">
        <f ca="1">SOLID!V47</f>
        <v>-152.798</v>
      </c>
      <c r="S36" s="14">
        <f ca="1">SOLID!W47</f>
        <v>-158.53399999999999</v>
      </c>
      <c r="T36" s="14">
        <f ca="1">SOLID!X47</f>
        <v>-164.096</v>
      </c>
      <c r="U36" s="14">
        <f ca="1">SOLID!Y47</f>
        <v>0</v>
      </c>
      <c r="V36" s="14">
        <f ca="1">SOLID!Z47</f>
        <v>0</v>
      </c>
      <c r="W36" s="14">
        <f ca="1">SOLID!AA47</f>
        <v>0</v>
      </c>
      <c r="X36" s="14">
        <f ca="1">SOLID!AB47</f>
        <v>0</v>
      </c>
      <c r="Y36" s="14">
        <f ca="1">SOLID!AC47</f>
        <v>0</v>
      </c>
      <c r="Z36" s="14">
        <f ca="1">SOLID!AD47</f>
        <v>0</v>
      </c>
      <c r="AA36" s="14">
        <f ca="1">SOLID!AE47</f>
        <v>0</v>
      </c>
      <c r="AB36" s="14">
        <f ca="1">SOLID!AF47</f>
        <v>0</v>
      </c>
      <c r="AC36" s="14">
        <f ca="1">SOLID!AG47</f>
        <v>0</v>
      </c>
      <c r="AD36" s="14">
        <f ca="1">SOLID!AH47</f>
        <v>0</v>
      </c>
      <c r="AE36" s="14">
        <f ca="1">SOLID!AI47</f>
        <v>0</v>
      </c>
      <c r="AF36" s="14">
        <f ca="1">SOLID!AJ47</f>
        <v>0</v>
      </c>
      <c r="AG36" s="14">
        <f ca="1">SOLID!AK47</f>
        <v>0</v>
      </c>
      <c r="AH36" s="14">
        <f ca="1">SOLID!AL47</f>
        <v>0</v>
      </c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55"/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</row>
    <row r="37" spans="1:94" ht="21.75" hidden="1" outlineLevel="1" thickBot="1" x14ac:dyDescent="0.4">
      <c r="A37" s="35" t="str">
        <f>SOLID!E48</f>
        <v>*Ge</v>
      </c>
      <c r="B37" s="16">
        <f ca="1">SOLID!F48</f>
        <v>-16.29</v>
      </c>
      <c r="C37" s="16">
        <f ca="1">SOLID!G48</f>
        <v>-15.52</v>
      </c>
      <c r="D37" s="16">
        <f ca="1">SOLID!H48</f>
        <v>-14.86</v>
      </c>
      <c r="E37" s="16">
        <f ca="1">SOLID!I48</f>
        <v>-14.3</v>
      </c>
      <c r="F37" s="14">
        <f ca="1">SOLID!J48</f>
        <v>-13.17</v>
      </c>
      <c r="G37" s="14">
        <f ca="1">SOLID!K48</f>
        <v>-7.9130000000000003</v>
      </c>
      <c r="H37" s="14">
        <f ca="1">SOLID!L48</f>
        <v>-6.851</v>
      </c>
      <c r="I37" s="14">
        <f ca="1">SOLID!M48</f>
        <v>-5.867</v>
      </c>
      <c r="J37" s="14">
        <f ca="1">SOLID!N48</f>
        <v>-4.9489999999999998</v>
      </c>
      <c r="K37" s="14">
        <f ca="1">SOLID!O48</f>
        <v>-4.0949999999999998</v>
      </c>
      <c r="L37" s="14">
        <f ca="1">SOLID!P48</f>
        <v>-4.1500000000000004</v>
      </c>
      <c r="M37" s="14">
        <f ca="1">SOLID!Q48</f>
        <v>-4.2</v>
      </c>
      <c r="N37" s="14">
        <f ca="1">SOLID!R48</f>
        <v>-4.2489999999999997</v>
      </c>
      <c r="O37" s="14">
        <f ca="1">SOLID!S48</f>
        <v>-4.2990000000000004</v>
      </c>
      <c r="P37" s="14">
        <f ca="1">SOLID!T48</f>
        <v>-4.4989999999999997</v>
      </c>
      <c r="Q37" s="14">
        <f ca="1">SOLID!U48</f>
        <v>-4.6959999999999997</v>
      </c>
      <c r="R37" s="14">
        <f ca="1">SOLID!V48</f>
        <v>-4.8869999999999996</v>
      </c>
      <c r="S37" s="14">
        <f ca="1">SOLID!W48</f>
        <v>-5.0709999999999997</v>
      </c>
      <c r="T37" s="14">
        <f ca="1">SOLID!X48</f>
        <v>-5.2489999999999997</v>
      </c>
      <c r="U37" s="14">
        <f ca="1">SOLID!Y48</f>
        <v>0</v>
      </c>
      <c r="V37" s="14">
        <f ca="1">SOLID!Z48</f>
        <v>0</v>
      </c>
      <c r="W37" s="14">
        <f ca="1">SOLID!AA48</f>
        <v>0</v>
      </c>
      <c r="X37" s="14">
        <f ca="1">SOLID!AB48</f>
        <v>0</v>
      </c>
      <c r="Y37" s="14">
        <f ca="1">SOLID!AC48</f>
        <v>0</v>
      </c>
      <c r="Z37" s="14">
        <f ca="1">SOLID!AD48</f>
        <v>0</v>
      </c>
      <c r="AA37" s="14">
        <f ca="1">SOLID!AE48</f>
        <v>0</v>
      </c>
      <c r="AB37" s="14">
        <f ca="1">SOLID!AF48</f>
        <v>0</v>
      </c>
      <c r="AC37" s="14">
        <f ca="1">SOLID!AG48</f>
        <v>0</v>
      </c>
      <c r="AD37" s="14">
        <f ca="1">SOLID!AH48</f>
        <v>0</v>
      </c>
      <c r="AE37" s="14">
        <f ca="1">SOLID!AI48</f>
        <v>0</v>
      </c>
      <c r="AF37" s="14">
        <f ca="1">SOLID!AJ48</f>
        <v>0</v>
      </c>
      <c r="AG37" s="14">
        <f ca="1">SOLID!AK48</f>
        <v>0</v>
      </c>
      <c r="AH37" s="14">
        <f ca="1">SOLID!AL48</f>
        <v>0</v>
      </c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</row>
    <row r="38" spans="1:94" ht="21.75" hidden="1" outlineLevel="1" thickBot="1" x14ac:dyDescent="0.4">
      <c r="A38" s="35" t="str">
        <f>SOLID!E49</f>
        <v>*Se[m]</v>
      </c>
      <c r="B38" s="16">
        <f ca="1">SOLID!F49</f>
        <v>-23.52</v>
      </c>
      <c r="C38" s="16">
        <f ca="1">SOLID!G49</f>
        <v>-22.18</v>
      </c>
      <c r="D38" s="16">
        <f ca="1">SOLID!H49</f>
        <v>-21.02</v>
      </c>
      <c r="E38" s="16">
        <f ca="1">SOLID!I49</f>
        <v>-20.010000000000002</v>
      </c>
      <c r="F38" s="14">
        <f ca="1">SOLID!J49</f>
        <v>-19.77</v>
      </c>
      <c r="G38" s="14">
        <f ca="1">SOLID!K49</f>
        <v>-20.97</v>
      </c>
      <c r="H38" s="14">
        <f ca="1">SOLID!L49</f>
        <v>-21.27</v>
      </c>
      <c r="I38" s="14">
        <f ca="1">SOLID!M49</f>
        <v>-21.58</v>
      </c>
      <c r="J38" s="14">
        <f ca="1">SOLID!N49</f>
        <v>-21.88</v>
      </c>
      <c r="K38" s="14">
        <f ca="1">SOLID!O49</f>
        <v>-22.18</v>
      </c>
      <c r="L38" s="14">
        <f ca="1">SOLID!P49</f>
        <v>-22.49</v>
      </c>
      <c r="M38" s="14">
        <f ca="1">SOLID!Q49</f>
        <v>-22.79</v>
      </c>
      <c r="N38" s="14">
        <f ca="1">SOLID!R49</f>
        <v>-23.08</v>
      </c>
      <c r="O38" s="14">
        <f ca="1">SOLID!S49</f>
        <v>-23.37</v>
      </c>
      <c r="P38" s="14">
        <f ca="1">SOLID!T49</f>
        <v>-24.51</v>
      </c>
      <c r="Q38" s="14">
        <f ca="1">SOLID!U49</f>
        <v>-25.6</v>
      </c>
      <c r="R38" s="14">
        <f ca="1">SOLID!V49</f>
        <v>-26.65</v>
      </c>
      <c r="S38" s="14">
        <f ca="1">SOLID!W49</f>
        <v>-27.65</v>
      </c>
      <c r="T38" s="14">
        <f ca="1">SOLID!X49</f>
        <v>-28.62</v>
      </c>
      <c r="U38" s="14">
        <f ca="1">SOLID!Y49</f>
        <v>0</v>
      </c>
      <c r="V38" s="14">
        <f ca="1">SOLID!Z49</f>
        <v>0</v>
      </c>
      <c r="W38" s="14">
        <f ca="1">SOLID!AA49</f>
        <v>0</v>
      </c>
      <c r="X38" s="14">
        <f ca="1">SOLID!AB49</f>
        <v>0</v>
      </c>
      <c r="Y38" s="14">
        <f ca="1">SOLID!AC49</f>
        <v>0</v>
      </c>
      <c r="Z38" s="14">
        <f ca="1">SOLID!AD49</f>
        <v>0</v>
      </c>
      <c r="AA38" s="14">
        <f ca="1">SOLID!AE49</f>
        <v>0</v>
      </c>
      <c r="AB38" s="14">
        <f ca="1">SOLID!AF49</f>
        <v>0</v>
      </c>
      <c r="AC38" s="14">
        <f ca="1">SOLID!AG49</f>
        <v>0</v>
      </c>
      <c r="AD38" s="14">
        <f ca="1">SOLID!AH49</f>
        <v>0</v>
      </c>
      <c r="AE38" s="14">
        <f ca="1">SOLID!AI49</f>
        <v>0</v>
      </c>
      <c r="AF38" s="14">
        <f ca="1">SOLID!AJ49</f>
        <v>0</v>
      </c>
      <c r="AG38" s="14">
        <f ca="1">SOLID!AK49</f>
        <v>0</v>
      </c>
      <c r="AH38" s="14">
        <f ca="1">SOLID!AL49</f>
        <v>0</v>
      </c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55"/>
      <c r="BK38" s="55"/>
      <c r="BL38" s="55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</row>
    <row r="39" spans="1:94" ht="21.75" hidden="1" outlineLevel="1" thickBot="1" x14ac:dyDescent="0.4">
      <c r="A39" s="35" t="str">
        <f>SOLID!E50</f>
        <v>*GeSe2</v>
      </c>
      <c r="B39" s="16">
        <f ca="1">SOLID!F50</f>
        <v>-63.33</v>
      </c>
      <c r="C39" s="16">
        <f ca="1">SOLID!G50</f>
        <v>-59.879999999999995</v>
      </c>
      <c r="D39" s="16">
        <f ca="1">SOLID!H50</f>
        <v>-56.9</v>
      </c>
      <c r="E39" s="16">
        <f ca="1">SOLID!I50</f>
        <v>-54.320000000000007</v>
      </c>
      <c r="F39" s="14">
        <f ca="1">SOLID!J50</f>
        <v>-52.71</v>
      </c>
      <c r="G39" s="14">
        <f ca="1">SOLID!K50</f>
        <v>-49.852999999999994</v>
      </c>
      <c r="H39" s="14">
        <f ca="1">SOLID!L50</f>
        <v>-49.390999999999998</v>
      </c>
      <c r="I39" s="14">
        <f ca="1">SOLID!M50</f>
        <v>-49.026999999999994</v>
      </c>
      <c r="J39" s="14">
        <f ca="1">SOLID!N50</f>
        <v>-48.708999999999996</v>
      </c>
      <c r="K39" s="14">
        <f ca="1">SOLID!O50</f>
        <v>-48.454999999999998</v>
      </c>
      <c r="L39" s="14">
        <f ca="1">SOLID!P50</f>
        <v>-49.129999999999995</v>
      </c>
      <c r="M39" s="14">
        <f ca="1">SOLID!Q50</f>
        <v>-49.78</v>
      </c>
      <c r="N39" s="14">
        <f ca="1">SOLID!R50</f>
        <v>-50.408999999999999</v>
      </c>
      <c r="O39" s="14">
        <f ca="1">SOLID!S50</f>
        <v>-51.039000000000001</v>
      </c>
      <c r="P39" s="14">
        <f ca="1">SOLID!T50</f>
        <v>-53.519000000000005</v>
      </c>
      <c r="Q39" s="14">
        <f ca="1">SOLID!U50</f>
        <v>-55.896000000000001</v>
      </c>
      <c r="R39" s="14">
        <f ca="1">SOLID!V50</f>
        <v>-58.186999999999998</v>
      </c>
      <c r="S39" s="14">
        <f ca="1">SOLID!W50</f>
        <v>-60.370999999999995</v>
      </c>
      <c r="T39" s="14">
        <f ca="1">SOLID!X50</f>
        <v>-62.489000000000004</v>
      </c>
      <c r="U39" s="14">
        <f ca="1">SOLID!Y50</f>
        <v>0</v>
      </c>
      <c r="V39" s="14">
        <f ca="1">SOLID!Z50</f>
        <v>0</v>
      </c>
      <c r="W39" s="14">
        <f ca="1">SOLID!AA50</f>
        <v>0</v>
      </c>
      <c r="X39" s="14">
        <f ca="1">SOLID!AB50</f>
        <v>0</v>
      </c>
      <c r="Y39" s="14">
        <f ca="1">SOLID!AC50</f>
        <v>0</v>
      </c>
      <c r="Z39" s="14">
        <f ca="1">SOLID!AD50</f>
        <v>0</v>
      </c>
      <c r="AA39" s="14">
        <f ca="1">SOLID!AE50</f>
        <v>0</v>
      </c>
      <c r="AB39" s="14">
        <f ca="1">SOLID!AF50</f>
        <v>0</v>
      </c>
      <c r="AC39" s="14">
        <f ca="1">SOLID!AG50</f>
        <v>0</v>
      </c>
      <c r="AD39" s="14">
        <f ca="1">SOLID!AH50</f>
        <v>0</v>
      </c>
      <c r="AE39" s="14">
        <f ca="1">SOLID!AI50</f>
        <v>0</v>
      </c>
      <c r="AF39" s="14">
        <f ca="1">SOLID!AJ50</f>
        <v>0</v>
      </c>
      <c r="AG39" s="14">
        <f ca="1">SOLID!AK50</f>
        <v>0</v>
      </c>
      <c r="AH39" s="14">
        <f ca="1">SOLID!AL50</f>
        <v>0</v>
      </c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</row>
    <row r="40" spans="1:94" ht="21.75" hidden="1" outlineLevel="1" thickBot="1" x14ac:dyDescent="0.4">
      <c r="A40" s="35" t="str">
        <f>SOLID!E51</f>
        <v>*Ge[c]</v>
      </c>
      <c r="B40" s="16">
        <f ca="1">SOLID!F51</f>
        <v>-16.29</v>
      </c>
      <c r="C40" s="16">
        <f ca="1">SOLID!G51</f>
        <v>-15.52</v>
      </c>
      <c r="D40" s="16">
        <f ca="1">SOLID!H51</f>
        <v>-14.86</v>
      </c>
      <c r="E40" s="16">
        <f ca="1">SOLID!I51</f>
        <v>-14.3</v>
      </c>
      <c r="F40" s="14">
        <f ca="1">SOLID!J51</f>
        <v>-13.17</v>
      </c>
      <c r="G40" s="14">
        <f ca="1">SOLID!K51</f>
        <v>-7.9130000000000003</v>
      </c>
      <c r="H40" s="14">
        <f ca="1">SOLID!L51</f>
        <v>-6.851</v>
      </c>
      <c r="I40" s="14">
        <f ca="1">SOLID!M51</f>
        <v>-5.867</v>
      </c>
      <c r="J40" s="14">
        <f ca="1">SOLID!N51</f>
        <v>-4.9489999999999998</v>
      </c>
      <c r="K40" s="14">
        <f ca="1">SOLID!O51</f>
        <v>-4.0949999999999998</v>
      </c>
      <c r="L40" s="14">
        <f ca="1">SOLID!P51</f>
        <v>-4.1500000000000004</v>
      </c>
      <c r="M40" s="14">
        <f ca="1">SOLID!Q51</f>
        <v>-4.2</v>
      </c>
      <c r="N40" s="14">
        <f ca="1">SOLID!R51</f>
        <v>-4.2489999999999997</v>
      </c>
      <c r="O40" s="14">
        <f ca="1">SOLID!S51</f>
        <v>-4.2990000000000004</v>
      </c>
      <c r="P40" s="14">
        <f ca="1">SOLID!T51</f>
        <v>-4.4989999999999997</v>
      </c>
      <c r="Q40" s="14">
        <f ca="1">SOLID!U51</f>
        <v>-4.6959999999999997</v>
      </c>
      <c r="R40" s="14">
        <f ca="1">SOLID!V51</f>
        <v>-4.8869999999999996</v>
      </c>
      <c r="S40" s="14">
        <f ca="1">SOLID!W51</f>
        <v>-5.0709999999999997</v>
      </c>
      <c r="T40" s="14">
        <f ca="1">SOLID!X51</f>
        <v>-5.2489999999999997</v>
      </c>
      <c r="U40" s="14">
        <f ca="1">SOLID!Y51</f>
        <v>0</v>
      </c>
      <c r="V40" s="14">
        <f ca="1">SOLID!Z51</f>
        <v>0</v>
      </c>
      <c r="W40" s="14">
        <f ca="1">SOLID!AA51</f>
        <v>0</v>
      </c>
      <c r="X40" s="14">
        <f ca="1">SOLID!AB51</f>
        <v>0</v>
      </c>
      <c r="Y40" s="14">
        <f ca="1">SOLID!AC51</f>
        <v>0</v>
      </c>
      <c r="Z40" s="14">
        <f ca="1">SOLID!AD51</f>
        <v>0</v>
      </c>
      <c r="AA40" s="14">
        <f ca="1">SOLID!AE51</f>
        <v>0</v>
      </c>
      <c r="AB40" s="14">
        <f ca="1">SOLID!AF51</f>
        <v>0</v>
      </c>
      <c r="AC40" s="14">
        <f ca="1">SOLID!AG51</f>
        <v>0</v>
      </c>
      <c r="AD40" s="14">
        <f ca="1">SOLID!AH51</f>
        <v>0</v>
      </c>
      <c r="AE40" s="14">
        <f ca="1">SOLID!AI51</f>
        <v>0</v>
      </c>
      <c r="AF40" s="14">
        <f ca="1">SOLID!AJ51</f>
        <v>0</v>
      </c>
      <c r="AG40" s="14">
        <f ca="1">SOLID!AK51</f>
        <v>0</v>
      </c>
      <c r="AH40" s="14">
        <f ca="1">SOLID!AL51</f>
        <v>0</v>
      </c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</row>
    <row r="41" spans="1:94" ht="21.75" hidden="1" outlineLevel="1" thickBot="1" x14ac:dyDescent="0.4">
      <c r="A41" s="35" t="str">
        <f>SOLID!E52</f>
        <v>*Ge[l]</v>
      </c>
      <c r="B41" s="16">
        <f ca="1">SOLID!F52</f>
        <v>-16.29</v>
      </c>
      <c r="C41" s="16">
        <f ca="1">SOLID!G52</f>
        <v>-15.52</v>
      </c>
      <c r="D41" s="16">
        <f ca="1">SOLID!H52</f>
        <v>-14.86</v>
      </c>
      <c r="E41" s="16">
        <f ca="1">SOLID!I52</f>
        <v>-14.3</v>
      </c>
      <c r="F41" s="14">
        <f ca="1">SOLID!J52</f>
        <v>-13.17</v>
      </c>
      <c r="G41" s="14">
        <f ca="1">SOLID!K52</f>
        <v>-7.9130000000000003</v>
      </c>
      <c r="H41" s="14">
        <f ca="1">SOLID!L52</f>
        <v>-6.851</v>
      </c>
      <c r="I41" s="14">
        <f ca="1">SOLID!M52</f>
        <v>-5.867</v>
      </c>
      <c r="J41" s="14">
        <f ca="1">SOLID!N52</f>
        <v>-4.9489999999999998</v>
      </c>
      <c r="K41" s="14">
        <f ca="1">SOLID!O52</f>
        <v>-4.0949999999999998</v>
      </c>
      <c r="L41" s="14">
        <f ca="1">SOLID!P52</f>
        <v>-4.1500000000000004</v>
      </c>
      <c r="M41" s="14">
        <f ca="1">SOLID!Q52</f>
        <v>-4.2</v>
      </c>
      <c r="N41" s="14">
        <f ca="1">SOLID!R52</f>
        <v>-4.2489999999999997</v>
      </c>
      <c r="O41" s="14">
        <f ca="1">SOLID!S52</f>
        <v>-4.2990000000000004</v>
      </c>
      <c r="P41" s="14">
        <f ca="1">SOLID!T52</f>
        <v>-4.4989999999999997</v>
      </c>
      <c r="Q41" s="14">
        <f ca="1">SOLID!U52</f>
        <v>-4.6959999999999997</v>
      </c>
      <c r="R41" s="14">
        <f ca="1">SOLID!V52</f>
        <v>-4.8869999999999996</v>
      </c>
      <c r="S41" s="14">
        <f ca="1">SOLID!W52</f>
        <v>-5.0709999999999997</v>
      </c>
      <c r="T41" s="14">
        <f ca="1">SOLID!X52</f>
        <v>-5.2489999999999997</v>
      </c>
      <c r="U41" s="14">
        <f ca="1">SOLID!Y52</f>
        <v>0</v>
      </c>
      <c r="V41" s="14">
        <f ca="1">SOLID!Z52</f>
        <v>0</v>
      </c>
      <c r="W41" s="14">
        <f ca="1">SOLID!AA52</f>
        <v>0</v>
      </c>
      <c r="X41" s="14">
        <f ca="1">SOLID!AB52</f>
        <v>0</v>
      </c>
      <c r="Y41" s="14">
        <f ca="1">SOLID!AC52</f>
        <v>0</v>
      </c>
      <c r="Z41" s="14">
        <f ca="1">SOLID!AD52</f>
        <v>0</v>
      </c>
      <c r="AA41" s="14">
        <f ca="1">SOLID!AE52</f>
        <v>0</v>
      </c>
      <c r="AB41" s="14">
        <f ca="1">SOLID!AF52</f>
        <v>0</v>
      </c>
      <c r="AC41" s="14">
        <f ca="1">SOLID!AG52</f>
        <v>0</v>
      </c>
      <c r="AD41" s="14">
        <f ca="1">SOLID!AH52</f>
        <v>0</v>
      </c>
      <c r="AE41" s="14">
        <f ca="1">SOLID!AI52</f>
        <v>0</v>
      </c>
      <c r="AF41" s="14">
        <f ca="1">SOLID!AJ52</f>
        <v>0</v>
      </c>
      <c r="AG41" s="14">
        <f ca="1">SOLID!AK52</f>
        <v>0</v>
      </c>
      <c r="AH41" s="14">
        <f ca="1">SOLID!AL52</f>
        <v>0</v>
      </c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</row>
    <row r="42" spans="1:94" ht="21.75" hidden="1" outlineLevel="1" thickBot="1" x14ac:dyDescent="0.4">
      <c r="A42" s="35" t="str">
        <f>SOLID!E53</f>
        <v>*GeSe</v>
      </c>
      <c r="B42" s="16">
        <f ca="1">SOLID!F53</f>
        <v>-39.81</v>
      </c>
      <c r="C42" s="16">
        <f ca="1">SOLID!G53</f>
        <v>-37.700000000000003</v>
      </c>
      <c r="D42" s="16">
        <f ca="1">SOLID!H53</f>
        <v>-35.879999999999995</v>
      </c>
      <c r="E42" s="16">
        <f ca="1">SOLID!I53</f>
        <v>-34.31</v>
      </c>
      <c r="F42" s="14">
        <f ca="1">SOLID!J53</f>
        <v>-32.94</v>
      </c>
      <c r="G42" s="14">
        <f ca="1">SOLID!K53</f>
        <v>-28.882999999999999</v>
      </c>
      <c r="H42" s="14">
        <f ca="1">SOLID!L53</f>
        <v>-28.120999999999999</v>
      </c>
      <c r="I42" s="14">
        <f ca="1">SOLID!M53</f>
        <v>-27.446999999999999</v>
      </c>
      <c r="J42" s="14">
        <f ca="1">SOLID!N53</f>
        <v>-26.829000000000001</v>
      </c>
      <c r="K42" s="14">
        <f ca="1">SOLID!O53</f>
        <v>-26.274999999999999</v>
      </c>
      <c r="L42" s="14">
        <f ca="1">SOLID!P53</f>
        <v>-26.64</v>
      </c>
      <c r="M42" s="14">
        <f ca="1">SOLID!Q53</f>
        <v>-26.99</v>
      </c>
      <c r="N42" s="14">
        <f ca="1">SOLID!R53</f>
        <v>-27.328999999999997</v>
      </c>
      <c r="O42" s="14">
        <f ca="1">SOLID!S53</f>
        <v>-27.669</v>
      </c>
      <c r="P42" s="14">
        <f ca="1">SOLID!T53</f>
        <v>-29.009</v>
      </c>
      <c r="Q42" s="14">
        <f ca="1">SOLID!U53</f>
        <v>-30.295999999999999</v>
      </c>
      <c r="R42" s="14">
        <f ca="1">SOLID!V53</f>
        <v>-31.536999999999999</v>
      </c>
      <c r="S42" s="14">
        <f ca="1">SOLID!W53</f>
        <v>-32.720999999999997</v>
      </c>
      <c r="T42" s="14">
        <f ca="1">SOLID!X53</f>
        <v>-33.869</v>
      </c>
      <c r="U42" s="14">
        <f ca="1">SOLID!Y53</f>
        <v>0</v>
      </c>
      <c r="V42" s="14">
        <f ca="1">SOLID!Z53</f>
        <v>0</v>
      </c>
      <c r="W42" s="14">
        <f ca="1">SOLID!AA53</f>
        <v>0</v>
      </c>
      <c r="X42" s="14">
        <f ca="1">SOLID!AB53</f>
        <v>0</v>
      </c>
      <c r="Y42" s="14">
        <f ca="1">SOLID!AC53</f>
        <v>0</v>
      </c>
      <c r="Z42" s="14">
        <f ca="1">SOLID!AD53</f>
        <v>0</v>
      </c>
      <c r="AA42" s="14">
        <f ca="1">SOLID!AE53</f>
        <v>0</v>
      </c>
      <c r="AB42" s="14">
        <f ca="1">SOLID!AF53</f>
        <v>0</v>
      </c>
      <c r="AC42" s="14">
        <f ca="1">SOLID!AG53</f>
        <v>0</v>
      </c>
      <c r="AD42" s="14">
        <f ca="1">SOLID!AH53</f>
        <v>0</v>
      </c>
      <c r="AE42" s="14">
        <f ca="1">SOLID!AI53</f>
        <v>0</v>
      </c>
      <c r="AF42" s="14">
        <f ca="1">SOLID!AJ53</f>
        <v>0</v>
      </c>
      <c r="AG42" s="14">
        <f ca="1">SOLID!AK53</f>
        <v>0</v>
      </c>
      <c r="AH42" s="14">
        <f ca="1">SOLID!AL53</f>
        <v>0</v>
      </c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</row>
    <row r="43" spans="1:94" ht="21.75" hidden="1" outlineLevel="1" thickBot="1" x14ac:dyDescent="0.4">
      <c r="A43" s="35" t="str">
        <f>SOLID!E54</f>
        <v>Ge2</v>
      </c>
      <c r="B43" s="16">
        <f ca="1">SOLID!F54</f>
        <v>-32.58</v>
      </c>
      <c r="C43" s="16">
        <f ca="1">SOLID!G54</f>
        <v>-31.04</v>
      </c>
      <c r="D43" s="16">
        <f ca="1">SOLID!H54</f>
        <v>-29.72</v>
      </c>
      <c r="E43" s="16">
        <f ca="1">SOLID!I54</f>
        <v>-28.6</v>
      </c>
      <c r="F43" s="14">
        <f ca="1">SOLID!J54</f>
        <v>-26.34</v>
      </c>
      <c r="G43" s="14">
        <f ca="1">SOLID!K54</f>
        <v>-15.826000000000001</v>
      </c>
      <c r="H43" s="14">
        <f ca="1">SOLID!L54</f>
        <v>-13.702</v>
      </c>
      <c r="I43" s="14">
        <f ca="1">SOLID!M54</f>
        <v>-11.734</v>
      </c>
      <c r="J43" s="14">
        <f ca="1">SOLID!N54</f>
        <v>-9.8979999999999997</v>
      </c>
      <c r="K43" s="14">
        <f ca="1">SOLID!O54</f>
        <v>-8.19</v>
      </c>
      <c r="L43" s="14">
        <f ca="1">SOLID!P54</f>
        <v>-8.3000000000000007</v>
      </c>
      <c r="M43" s="14">
        <f ca="1">SOLID!Q54</f>
        <v>-8.4</v>
      </c>
      <c r="N43" s="14">
        <f ca="1">SOLID!R54</f>
        <v>-8.4979999999999993</v>
      </c>
      <c r="O43" s="14">
        <f ca="1">SOLID!S54</f>
        <v>-8.5980000000000008</v>
      </c>
      <c r="P43" s="14">
        <f ca="1">SOLID!T54</f>
        <v>-8.9979999999999993</v>
      </c>
      <c r="Q43" s="14">
        <f ca="1">SOLID!U54</f>
        <v>-9.3919999999999995</v>
      </c>
      <c r="R43" s="14">
        <f ca="1">SOLID!V54</f>
        <v>-9.7739999999999991</v>
      </c>
      <c r="S43" s="14">
        <f ca="1">SOLID!W54</f>
        <v>-10.141999999999999</v>
      </c>
      <c r="T43" s="14">
        <f ca="1">SOLID!X54</f>
        <v>-10.497999999999999</v>
      </c>
      <c r="U43" s="14">
        <f ca="1">SOLID!Y54</f>
        <v>0</v>
      </c>
      <c r="V43" s="14">
        <f ca="1">SOLID!Z54</f>
        <v>0</v>
      </c>
      <c r="W43" s="14">
        <f ca="1">SOLID!AA54</f>
        <v>0</v>
      </c>
      <c r="X43" s="14">
        <f ca="1">SOLID!AB54</f>
        <v>0</v>
      </c>
      <c r="Y43" s="14">
        <f ca="1">SOLID!AC54</f>
        <v>0</v>
      </c>
      <c r="Z43" s="14">
        <f ca="1">SOLID!AD54</f>
        <v>0</v>
      </c>
      <c r="AA43" s="14">
        <f ca="1">SOLID!AE54</f>
        <v>0</v>
      </c>
      <c r="AB43" s="14">
        <f ca="1">SOLID!AF54</f>
        <v>0</v>
      </c>
      <c r="AC43" s="14">
        <f ca="1">SOLID!AG54</f>
        <v>0</v>
      </c>
      <c r="AD43" s="14">
        <f ca="1">SOLID!AH54</f>
        <v>0</v>
      </c>
      <c r="AE43" s="14">
        <f ca="1">SOLID!AI54</f>
        <v>0</v>
      </c>
      <c r="AF43" s="14">
        <f ca="1">SOLID!AJ54</f>
        <v>0</v>
      </c>
      <c r="AG43" s="14">
        <f ca="1">SOLID!AK54</f>
        <v>0</v>
      </c>
      <c r="AH43" s="14">
        <f ca="1">SOLID!AL54</f>
        <v>0</v>
      </c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</row>
    <row r="44" spans="1:94" ht="21.75" hidden="1" outlineLevel="1" thickBot="1" x14ac:dyDescent="0.4">
      <c r="A44" s="35" t="str">
        <f>SOLID!E55</f>
        <v>Ge</v>
      </c>
      <c r="B44" s="16">
        <f ca="1">SOLID!F55</f>
        <v>-16.29</v>
      </c>
      <c r="C44" s="16">
        <f ca="1">SOLID!G55</f>
        <v>-15.52</v>
      </c>
      <c r="D44" s="16">
        <f ca="1">SOLID!H55</f>
        <v>-14.86</v>
      </c>
      <c r="E44" s="16">
        <f ca="1">SOLID!I55</f>
        <v>-14.3</v>
      </c>
      <c r="F44" s="14">
        <f ca="1">SOLID!J55</f>
        <v>-13.17</v>
      </c>
      <c r="G44" s="14">
        <f ca="1">SOLID!K55</f>
        <v>-7.9130000000000003</v>
      </c>
      <c r="H44" s="14">
        <f ca="1">SOLID!L55</f>
        <v>-6.851</v>
      </c>
      <c r="I44" s="14">
        <f ca="1">SOLID!M55</f>
        <v>-5.867</v>
      </c>
      <c r="J44" s="14">
        <f ca="1">SOLID!N55</f>
        <v>-4.9489999999999998</v>
      </c>
      <c r="K44" s="14">
        <f ca="1">SOLID!O55</f>
        <v>-4.0949999999999998</v>
      </c>
      <c r="L44" s="14">
        <f ca="1">SOLID!P55</f>
        <v>-4.1500000000000004</v>
      </c>
      <c r="M44" s="14">
        <f ca="1">SOLID!Q55</f>
        <v>-4.2</v>
      </c>
      <c r="N44" s="14">
        <f ca="1">SOLID!R55</f>
        <v>-4.2489999999999997</v>
      </c>
      <c r="O44" s="14">
        <f ca="1">SOLID!S55</f>
        <v>-4.2990000000000004</v>
      </c>
      <c r="P44" s="14">
        <f ca="1">SOLID!T55</f>
        <v>-4.4989999999999997</v>
      </c>
      <c r="Q44" s="14">
        <f ca="1">SOLID!U55</f>
        <v>-4.6959999999999997</v>
      </c>
      <c r="R44" s="14">
        <f ca="1">SOLID!V55</f>
        <v>-4.8869999999999996</v>
      </c>
      <c r="S44" s="14">
        <f ca="1">SOLID!W55</f>
        <v>-5.0709999999999997</v>
      </c>
      <c r="T44" s="14">
        <f ca="1">SOLID!X55</f>
        <v>-5.2489999999999997</v>
      </c>
      <c r="U44" s="14">
        <f ca="1">SOLID!Y55</f>
        <v>0</v>
      </c>
      <c r="V44" s="14">
        <f ca="1">SOLID!Z55</f>
        <v>0</v>
      </c>
      <c r="W44" s="14">
        <f ca="1">SOLID!AA55</f>
        <v>0</v>
      </c>
      <c r="X44" s="14">
        <f ca="1">SOLID!AB55</f>
        <v>0</v>
      </c>
      <c r="Y44" s="14">
        <f ca="1">SOLID!AC55</f>
        <v>0</v>
      </c>
      <c r="Z44" s="14">
        <f ca="1">SOLID!AD55</f>
        <v>0</v>
      </c>
      <c r="AA44" s="14">
        <f ca="1">SOLID!AE55</f>
        <v>0</v>
      </c>
      <c r="AB44" s="14">
        <f ca="1">SOLID!AF55</f>
        <v>0</v>
      </c>
      <c r="AC44" s="14">
        <f ca="1">SOLID!AG55</f>
        <v>0</v>
      </c>
      <c r="AD44" s="14">
        <f ca="1">SOLID!AH55</f>
        <v>0</v>
      </c>
      <c r="AE44" s="14">
        <f ca="1">SOLID!AI55</f>
        <v>0</v>
      </c>
      <c r="AF44" s="14">
        <f ca="1">SOLID!AJ55</f>
        <v>0</v>
      </c>
      <c r="AG44" s="14">
        <f ca="1">SOLID!AK55</f>
        <v>0</v>
      </c>
      <c r="AH44" s="14">
        <f ca="1">SOLID!AL55</f>
        <v>0</v>
      </c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</row>
    <row r="45" spans="1:94" ht="21.75" hidden="1" outlineLevel="1" thickBot="1" x14ac:dyDescent="0.4">
      <c r="A45" s="35" t="str">
        <f>SOLID!E56</f>
        <v>GeSe</v>
      </c>
      <c r="B45" s="16">
        <f ca="1">SOLID!F56</f>
        <v>-39.81</v>
      </c>
      <c r="C45" s="16">
        <f ca="1">SOLID!G56</f>
        <v>-37.700000000000003</v>
      </c>
      <c r="D45" s="16">
        <f ca="1">SOLID!H56</f>
        <v>-35.879999999999995</v>
      </c>
      <c r="E45" s="16">
        <f ca="1">SOLID!I56</f>
        <v>-34.31</v>
      </c>
      <c r="F45" s="14">
        <f ca="1">SOLID!J56</f>
        <v>-32.94</v>
      </c>
      <c r="G45" s="14">
        <f ca="1">SOLID!K56</f>
        <v>-28.882999999999999</v>
      </c>
      <c r="H45" s="14">
        <f ca="1">SOLID!L56</f>
        <v>-28.120999999999999</v>
      </c>
      <c r="I45" s="14">
        <f ca="1">SOLID!M56</f>
        <v>-27.446999999999999</v>
      </c>
      <c r="J45" s="14">
        <f ca="1">SOLID!N56</f>
        <v>-26.829000000000001</v>
      </c>
      <c r="K45" s="14">
        <f ca="1">SOLID!O56</f>
        <v>-26.274999999999999</v>
      </c>
      <c r="L45" s="14">
        <f ca="1">SOLID!P56</f>
        <v>-26.64</v>
      </c>
      <c r="M45" s="14">
        <f ca="1">SOLID!Q56</f>
        <v>-26.99</v>
      </c>
      <c r="N45" s="14">
        <f ca="1">SOLID!R56</f>
        <v>-27.328999999999997</v>
      </c>
      <c r="O45" s="14">
        <f ca="1">SOLID!S56</f>
        <v>-27.669</v>
      </c>
      <c r="P45" s="14">
        <f ca="1">SOLID!T56</f>
        <v>-29.009</v>
      </c>
      <c r="Q45" s="14">
        <f ca="1">SOLID!U56</f>
        <v>-30.295999999999999</v>
      </c>
      <c r="R45" s="14">
        <f ca="1">SOLID!V56</f>
        <v>-31.536999999999999</v>
      </c>
      <c r="S45" s="14">
        <f ca="1">SOLID!W56</f>
        <v>-32.720999999999997</v>
      </c>
      <c r="T45" s="14">
        <f ca="1">SOLID!X56</f>
        <v>-33.869</v>
      </c>
      <c r="U45" s="14">
        <f ca="1">SOLID!Y56</f>
        <v>0</v>
      </c>
      <c r="V45" s="14">
        <f ca="1">SOLID!Z56</f>
        <v>0</v>
      </c>
      <c r="W45" s="14">
        <f ca="1">SOLID!AA56</f>
        <v>0</v>
      </c>
      <c r="X45" s="14">
        <f ca="1">SOLID!AB56</f>
        <v>0</v>
      </c>
      <c r="Y45" s="14">
        <f ca="1">SOLID!AC56</f>
        <v>0</v>
      </c>
      <c r="Z45" s="14">
        <f ca="1">SOLID!AD56</f>
        <v>0</v>
      </c>
      <c r="AA45" s="14">
        <f ca="1">SOLID!AE56</f>
        <v>0</v>
      </c>
      <c r="AB45" s="14">
        <f ca="1">SOLID!AF56</f>
        <v>0</v>
      </c>
      <c r="AC45" s="14">
        <f ca="1">SOLID!AG56</f>
        <v>0</v>
      </c>
      <c r="AD45" s="14">
        <f ca="1">SOLID!AH56</f>
        <v>0</v>
      </c>
      <c r="AE45" s="14">
        <f ca="1">SOLID!AI56</f>
        <v>0</v>
      </c>
      <c r="AF45" s="14">
        <f ca="1">SOLID!AJ56</f>
        <v>0</v>
      </c>
      <c r="AG45" s="14">
        <f ca="1">SOLID!AK56</f>
        <v>0</v>
      </c>
      <c r="AH45" s="14">
        <f ca="1">SOLID!AL56</f>
        <v>0</v>
      </c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</row>
    <row r="46" spans="1:94" ht="21.75" hidden="1" outlineLevel="1" thickBot="1" x14ac:dyDescent="0.4">
      <c r="A46" s="35" t="str">
        <f>SOLID!E57</f>
        <v>Se2</v>
      </c>
      <c r="B46" s="16">
        <f ca="1">SOLID!F57</f>
        <v>-47.04</v>
      </c>
      <c r="C46" s="16">
        <f ca="1">SOLID!G57</f>
        <v>-44.36</v>
      </c>
      <c r="D46" s="16">
        <f ca="1">SOLID!H57</f>
        <v>-42.04</v>
      </c>
      <c r="E46" s="16">
        <f ca="1">SOLID!I57</f>
        <v>-40.020000000000003</v>
      </c>
      <c r="F46" s="14">
        <f ca="1">SOLID!J57</f>
        <v>-39.54</v>
      </c>
      <c r="G46" s="14">
        <f ca="1">SOLID!K57</f>
        <v>-41.94</v>
      </c>
      <c r="H46" s="14">
        <f ca="1">SOLID!L57</f>
        <v>-42.54</v>
      </c>
      <c r="I46" s="14">
        <f ca="1">SOLID!M57</f>
        <v>-43.16</v>
      </c>
      <c r="J46" s="14">
        <f ca="1">SOLID!N57</f>
        <v>-43.76</v>
      </c>
      <c r="K46" s="14">
        <f ca="1">SOLID!O57</f>
        <v>-44.36</v>
      </c>
      <c r="L46" s="14">
        <f ca="1">SOLID!P57</f>
        <v>-44.98</v>
      </c>
      <c r="M46" s="14">
        <f ca="1">SOLID!Q57</f>
        <v>-45.58</v>
      </c>
      <c r="N46" s="14">
        <f ca="1">SOLID!R57</f>
        <v>-46.16</v>
      </c>
      <c r="O46" s="14">
        <f ca="1">SOLID!S57</f>
        <v>-46.74</v>
      </c>
      <c r="P46" s="14">
        <f ca="1">SOLID!T57</f>
        <v>-49.02</v>
      </c>
      <c r="Q46" s="14">
        <f ca="1">SOLID!U57</f>
        <v>-51.2</v>
      </c>
      <c r="R46" s="14">
        <f ca="1">SOLID!V57</f>
        <v>-53.3</v>
      </c>
      <c r="S46" s="14">
        <f ca="1">SOLID!W57</f>
        <v>-55.3</v>
      </c>
      <c r="T46" s="14">
        <f ca="1">SOLID!X57</f>
        <v>-57.24</v>
      </c>
      <c r="U46" s="14">
        <f ca="1">SOLID!Y57</f>
        <v>0</v>
      </c>
      <c r="V46" s="14">
        <f ca="1">SOLID!Z57</f>
        <v>0</v>
      </c>
      <c r="W46" s="14">
        <f ca="1">SOLID!AA57</f>
        <v>0</v>
      </c>
      <c r="X46" s="14">
        <f ca="1">SOLID!AB57</f>
        <v>0</v>
      </c>
      <c r="Y46" s="14">
        <f ca="1">SOLID!AC57</f>
        <v>0</v>
      </c>
      <c r="Z46" s="14">
        <f ca="1">SOLID!AD57</f>
        <v>0</v>
      </c>
      <c r="AA46" s="14">
        <f ca="1">SOLID!AE57</f>
        <v>0</v>
      </c>
      <c r="AB46" s="14">
        <f ca="1">SOLID!AF57</f>
        <v>0</v>
      </c>
      <c r="AC46" s="14">
        <f ca="1">SOLID!AG57</f>
        <v>0</v>
      </c>
      <c r="AD46" s="14">
        <f ca="1">SOLID!AH57</f>
        <v>0</v>
      </c>
      <c r="AE46" s="14">
        <f ca="1">SOLID!AI57</f>
        <v>0</v>
      </c>
      <c r="AF46" s="14">
        <f ca="1">SOLID!AJ57</f>
        <v>0</v>
      </c>
      <c r="AG46" s="14">
        <f ca="1">SOLID!AK57</f>
        <v>0</v>
      </c>
      <c r="AH46" s="14">
        <f ca="1">SOLID!AL57</f>
        <v>0</v>
      </c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</row>
    <row r="47" spans="1:94" ht="21.75" hidden="1" outlineLevel="1" thickBot="1" x14ac:dyDescent="0.4">
      <c r="A47" s="35" t="str">
        <f>SOLID!E58</f>
        <v>Se</v>
      </c>
      <c r="B47" s="16">
        <f ca="1">SOLID!F58</f>
        <v>-23.52</v>
      </c>
      <c r="C47" s="16">
        <f ca="1">SOLID!G58</f>
        <v>-22.18</v>
      </c>
      <c r="D47" s="16">
        <f ca="1">SOLID!H58</f>
        <v>-21.02</v>
      </c>
      <c r="E47" s="16">
        <f ca="1">SOLID!I58</f>
        <v>-20.010000000000002</v>
      </c>
      <c r="F47" s="14">
        <f ca="1">SOLID!J58</f>
        <v>-19.77</v>
      </c>
      <c r="G47" s="14">
        <f ca="1">SOLID!K58</f>
        <v>-20.97</v>
      </c>
      <c r="H47" s="14">
        <f ca="1">SOLID!L58</f>
        <v>-21.27</v>
      </c>
      <c r="I47" s="14">
        <f ca="1">SOLID!M58</f>
        <v>-21.58</v>
      </c>
      <c r="J47" s="14">
        <f ca="1">SOLID!N58</f>
        <v>-21.88</v>
      </c>
      <c r="K47" s="14">
        <f ca="1">SOLID!O58</f>
        <v>-22.18</v>
      </c>
      <c r="L47" s="14">
        <f ca="1">SOLID!P58</f>
        <v>-22.49</v>
      </c>
      <c r="M47" s="14">
        <f ca="1">SOLID!Q58</f>
        <v>-22.79</v>
      </c>
      <c r="N47" s="14">
        <f ca="1">SOLID!R58</f>
        <v>-23.08</v>
      </c>
      <c r="O47" s="14">
        <f ca="1">SOLID!S58</f>
        <v>-23.37</v>
      </c>
      <c r="P47" s="14">
        <f ca="1">SOLID!T58</f>
        <v>-24.51</v>
      </c>
      <c r="Q47" s="14">
        <f ca="1">SOLID!U58</f>
        <v>-25.6</v>
      </c>
      <c r="R47" s="14">
        <f ca="1">SOLID!V58</f>
        <v>-26.65</v>
      </c>
      <c r="S47" s="14">
        <f ca="1">SOLID!W58</f>
        <v>-27.65</v>
      </c>
      <c r="T47" s="14">
        <f ca="1">SOLID!X58</f>
        <v>-28.62</v>
      </c>
      <c r="U47" s="14">
        <f ca="1">SOLID!Y58</f>
        <v>0</v>
      </c>
      <c r="V47" s="14">
        <f ca="1">SOLID!Z58</f>
        <v>0</v>
      </c>
      <c r="W47" s="14">
        <f ca="1">SOLID!AA58</f>
        <v>0</v>
      </c>
      <c r="X47" s="14">
        <f ca="1">SOLID!AB58</f>
        <v>0</v>
      </c>
      <c r="Y47" s="14">
        <f ca="1">SOLID!AC58</f>
        <v>0</v>
      </c>
      <c r="Z47" s="14">
        <f ca="1">SOLID!AD58</f>
        <v>0</v>
      </c>
      <c r="AA47" s="14">
        <f ca="1">SOLID!AE58</f>
        <v>0</v>
      </c>
      <c r="AB47" s="14">
        <f ca="1">SOLID!AF58</f>
        <v>0</v>
      </c>
      <c r="AC47" s="14">
        <f ca="1">SOLID!AG58</f>
        <v>0</v>
      </c>
      <c r="AD47" s="14">
        <f ca="1">SOLID!AH58</f>
        <v>0</v>
      </c>
      <c r="AE47" s="14">
        <f ca="1">SOLID!AI58</f>
        <v>0</v>
      </c>
      <c r="AF47" s="14">
        <f ca="1">SOLID!AJ58</f>
        <v>0</v>
      </c>
      <c r="AG47" s="14">
        <f ca="1">SOLID!AK58</f>
        <v>0</v>
      </c>
      <c r="AH47" s="14">
        <f ca="1">SOLID!AL58</f>
        <v>0</v>
      </c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55"/>
      <c r="BK47" s="55"/>
      <c r="BL47" s="55"/>
      <c r="BM47" s="55"/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</row>
    <row r="48" spans="1:94" ht="21.75" hidden="1" outlineLevel="1" thickBot="1" x14ac:dyDescent="0.4">
      <c r="A48" s="35" t="str">
        <f>SOLID!E59</f>
        <v>Ar</v>
      </c>
      <c r="B48" s="16">
        <f ca="1">SOLID!F59</f>
        <v>-18.62</v>
      </c>
      <c r="C48" s="16">
        <f ca="1">SOLID!G59</f>
        <v>-18.61</v>
      </c>
      <c r="D48" s="16">
        <f ca="1">SOLID!H59</f>
        <v>-18.61</v>
      </c>
      <c r="E48" s="16">
        <f ca="1">SOLID!I59</f>
        <v>-18.63</v>
      </c>
      <c r="F48" s="14">
        <f ca="1">SOLID!J59</f>
        <v>-18.649999999999999</v>
      </c>
      <c r="G48" s="14">
        <f ca="1">SOLID!K59</f>
        <v>-18.77</v>
      </c>
      <c r="H48" s="14">
        <f ca="1">SOLID!L59</f>
        <v>-18.809999999999999</v>
      </c>
      <c r="I48" s="14">
        <f ca="1">SOLID!M59</f>
        <v>-18.84</v>
      </c>
      <c r="J48" s="14">
        <f ca="1">SOLID!N59</f>
        <v>-18.88</v>
      </c>
      <c r="K48" s="14">
        <f ca="1">SOLID!O59</f>
        <v>-18.93</v>
      </c>
      <c r="L48" s="14">
        <f ca="1">SOLID!P59</f>
        <v>-18.97</v>
      </c>
      <c r="M48" s="14">
        <f ca="1">SOLID!Q59</f>
        <v>-19.010000000000002</v>
      </c>
      <c r="N48" s="14">
        <f ca="1">SOLID!R59</f>
        <v>-19.05</v>
      </c>
      <c r="O48" s="14">
        <f ca="1">SOLID!S59</f>
        <v>-19.09</v>
      </c>
      <c r="P48" s="14">
        <f ca="1">SOLID!T59</f>
        <v>-19.260000000000002</v>
      </c>
      <c r="Q48" s="14">
        <f ca="1">SOLID!U59</f>
        <v>-19.43</v>
      </c>
      <c r="R48" s="14">
        <f ca="1">SOLID!V59</f>
        <v>-19.59</v>
      </c>
      <c r="S48" s="14">
        <f ca="1">SOLID!W59</f>
        <v>-19.739999999999998</v>
      </c>
      <c r="T48" s="14">
        <f ca="1">SOLID!X59</f>
        <v>-19.88</v>
      </c>
      <c r="U48" s="14">
        <f ca="1">SOLID!Y59</f>
        <v>0</v>
      </c>
      <c r="V48" s="14">
        <f ca="1">SOLID!Z59</f>
        <v>0</v>
      </c>
      <c r="W48" s="14">
        <f ca="1">SOLID!AA59</f>
        <v>0</v>
      </c>
      <c r="X48" s="14">
        <f ca="1">SOLID!AB59</f>
        <v>0</v>
      </c>
      <c r="Y48" s="14">
        <f ca="1">SOLID!AC59</f>
        <v>0</v>
      </c>
      <c r="Z48" s="14">
        <f ca="1">SOLID!AD59</f>
        <v>0</v>
      </c>
      <c r="AA48" s="14">
        <f ca="1">SOLID!AE59</f>
        <v>0</v>
      </c>
      <c r="AB48" s="14">
        <f ca="1">SOLID!AF59</f>
        <v>0</v>
      </c>
      <c r="AC48" s="14">
        <f ca="1">SOLID!AG59</f>
        <v>0</v>
      </c>
      <c r="AD48" s="14">
        <f ca="1">SOLID!AH59</f>
        <v>0</v>
      </c>
      <c r="AE48" s="14">
        <f ca="1">SOLID!AI59</f>
        <v>0</v>
      </c>
      <c r="AF48" s="14">
        <f ca="1">SOLID!AJ59</f>
        <v>0</v>
      </c>
      <c r="AG48" s="14">
        <f ca="1">SOLID!AK59</f>
        <v>0</v>
      </c>
      <c r="AH48" s="14">
        <f ca="1">SOLID!AL59</f>
        <v>0</v>
      </c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55"/>
      <c r="BK48" s="55"/>
      <c r="BL48" s="55"/>
      <c r="BM48" s="55"/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</row>
    <row r="49" spans="1:94" ht="21.75" hidden="1" outlineLevel="1" thickBot="1" x14ac:dyDescent="0.4">
      <c r="A49" s="35" t="str">
        <f>SOLID!E60</f>
        <v>(1)Ge[l]</v>
      </c>
      <c r="B49" s="16">
        <f ca="1">SOLID!F60</f>
        <v>-16.29</v>
      </c>
      <c r="C49" s="16">
        <f ca="1">SOLID!G60</f>
        <v>-15.52</v>
      </c>
      <c r="D49" s="16">
        <f ca="1">SOLID!H60</f>
        <v>-14.86</v>
      </c>
      <c r="E49" s="16">
        <f ca="1">SOLID!I60</f>
        <v>-14.3</v>
      </c>
      <c r="F49" s="14">
        <f ca="1">SOLID!J60</f>
        <v>-13.17</v>
      </c>
      <c r="G49" s="14">
        <f ca="1">SOLID!K60</f>
        <v>-7.9130000000000003</v>
      </c>
      <c r="H49" s="14">
        <f ca="1">SOLID!L60</f>
        <v>-6.851</v>
      </c>
      <c r="I49" s="14">
        <f ca="1">SOLID!M60</f>
        <v>-5.867</v>
      </c>
      <c r="J49" s="14">
        <f ca="1">SOLID!N60</f>
        <v>-4.9489999999999998</v>
      </c>
      <c r="K49" s="14">
        <f ca="1">SOLID!O60</f>
        <v>-4.0949999999999998</v>
      </c>
      <c r="L49" s="14">
        <f ca="1">SOLID!P60</f>
        <v>-4.1500000000000004</v>
      </c>
      <c r="M49" s="14">
        <f ca="1">SOLID!Q60</f>
        <v>-4.2</v>
      </c>
      <c r="N49" s="14">
        <f ca="1">SOLID!R60</f>
        <v>-4.2489999999999997</v>
      </c>
      <c r="O49" s="14">
        <f ca="1">SOLID!S60</f>
        <v>-4.2990000000000004</v>
      </c>
      <c r="P49" s="14">
        <f ca="1">SOLID!T60</f>
        <v>-4.4989999999999997</v>
      </c>
      <c r="Q49" s="14">
        <f ca="1">SOLID!U60</f>
        <v>-4.6959999999999997</v>
      </c>
      <c r="R49" s="14">
        <f ca="1">SOLID!V60</f>
        <v>-4.8869999999999996</v>
      </c>
      <c r="S49" s="14">
        <f ca="1">SOLID!W60</f>
        <v>-5.0709999999999997</v>
      </c>
      <c r="T49" s="14">
        <f ca="1">SOLID!X60</f>
        <v>-5.2489999999999997</v>
      </c>
      <c r="U49" s="14">
        <f ca="1">SOLID!Y60</f>
        <v>0</v>
      </c>
      <c r="V49" s="14">
        <f ca="1">SOLID!Z60</f>
        <v>0</v>
      </c>
      <c r="W49" s="14">
        <f ca="1">SOLID!AA60</f>
        <v>0</v>
      </c>
      <c r="X49" s="14">
        <f ca="1">SOLID!AB60</f>
        <v>0</v>
      </c>
      <c r="Y49" s="14">
        <f ca="1">SOLID!AC60</f>
        <v>0</v>
      </c>
      <c r="Z49" s="14">
        <f ca="1">SOLID!AD60</f>
        <v>0</v>
      </c>
      <c r="AA49" s="14">
        <f ca="1">SOLID!AE60</f>
        <v>0</v>
      </c>
      <c r="AB49" s="14">
        <f ca="1">SOLID!AF60</f>
        <v>0</v>
      </c>
      <c r="AC49" s="14">
        <f ca="1">SOLID!AG60</f>
        <v>0</v>
      </c>
      <c r="AD49" s="14">
        <f ca="1">SOLID!AH60</f>
        <v>0</v>
      </c>
      <c r="AE49" s="14">
        <f ca="1">SOLID!AI60</f>
        <v>0</v>
      </c>
      <c r="AF49" s="14">
        <f ca="1">SOLID!AJ60</f>
        <v>0</v>
      </c>
      <c r="AG49" s="14">
        <f ca="1">SOLID!AK60</f>
        <v>0</v>
      </c>
      <c r="AH49" s="14">
        <f ca="1">SOLID!AL60</f>
        <v>0</v>
      </c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55"/>
      <c r="BK49" s="55"/>
      <c r="BL49" s="55"/>
      <c r="BM49" s="55"/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</row>
    <row r="50" spans="1:94" ht="21.75" hidden="1" outlineLevel="1" thickBot="1" x14ac:dyDescent="0.4">
      <c r="A50" s="35" t="str">
        <f>SOLID!E61</f>
        <v>(1)Se[l]</v>
      </c>
      <c r="B50" s="16">
        <f ca="1">SOLID!F61</f>
        <v>-23.52</v>
      </c>
      <c r="C50" s="16">
        <f ca="1">SOLID!G61</f>
        <v>-22.18</v>
      </c>
      <c r="D50" s="16">
        <f ca="1">SOLID!H61</f>
        <v>-21.02</v>
      </c>
      <c r="E50" s="16">
        <f ca="1">SOLID!I61</f>
        <v>-20.010000000000002</v>
      </c>
      <c r="F50" s="14">
        <f ca="1">SOLID!J61</f>
        <v>-19.77</v>
      </c>
      <c r="G50" s="14">
        <f ca="1">SOLID!K61</f>
        <v>-20.97</v>
      </c>
      <c r="H50" s="14">
        <f ca="1">SOLID!L61</f>
        <v>-21.27</v>
      </c>
      <c r="I50" s="14">
        <f ca="1">SOLID!M61</f>
        <v>-21.58</v>
      </c>
      <c r="J50" s="14">
        <f ca="1">SOLID!N61</f>
        <v>-21.88</v>
      </c>
      <c r="K50" s="14">
        <f ca="1">SOLID!O61</f>
        <v>-22.18</v>
      </c>
      <c r="L50" s="14">
        <f ca="1">SOLID!P61</f>
        <v>-22.49</v>
      </c>
      <c r="M50" s="14">
        <f ca="1">SOLID!Q61</f>
        <v>-22.79</v>
      </c>
      <c r="N50" s="14">
        <f ca="1">SOLID!R61</f>
        <v>-23.08</v>
      </c>
      <c r="O50" s="14">
        <f ca="1">SOLID!S61</f>
        <v>-23.37</v>
      </c>
      <c r="P50" s="14">
        <f ca="1">SOLID!T61</f>
        <v>-24.51</v>
      </c>
      <c r="Q50" s="14">
        <f ca="1">SOLID!U61</f>
        <v>-25.6</v>
      </c>
      <c r="R50" s="14">
        <f ca="1">SOLID!V61</f>
        <v>-26.65</v>
      </c>
      <c r="S50" s="14">
        <f ca="1">SOLID!W61</f>
        <v>-27.65</v>
      </c>
      <c r="T50" s="14">
        <f ca="1">SOLID!X61</f>
        <v>-28.62</v>
      </c>
      <c r="U50" s="14">
        <f ca="1">SOLID!Y61</f>
        <v>0</v>
      </c>
      <c r="V50" s="14">
        <f ca="1">SOLID!Z61</f>
        <v>0</v>
      </c>
      <c r="W50" s="14">
        <f ca="1">SOLID!AA61</f>
        <v>0</v>
      </c>
      <c r="X50" s="14">
        <f ca="1">SOLID!AB61</f>
        <v>0</v>
      </c>
      <c r="Y50" s="14">
        <f ca="1">SOLID!AC61</f>
        <v>0</v>
      </c>
      <c r="Z50" s="14">
        <f ca="1">SOLID!AD61</f>
        <v>0</v>
      </c>
      <c r="AA50" s="14">
        <f ca="1">SOLID!AE61</f>
        <v>0</v>
      </c>
      <c r="AB50" s="14">
        <f ca="1">SOLID!AF61</f>
        <v>0</v>
      </c>
      <c r="AC50" s="14">
        <f ca="1">SOLID!AG61</f>
        <v>0</v>
      </c>
      <c r="AD50" s="14">
        <f ca="1">SOLID!AH61</f>
        <v>0</v>
      </c>
      <c r="AE50" s="14">
        <f ca="1">SOLID!AI61</f>
        <v>0</v>
      </c>
      <c r="AF50" s="14">
        <f ca="1">SOLID!AJ61</f>
        <v>0</v>
      </c>
      <c r="AG50" s="14">
        <f ca="1">SOLID!AK61</f>
        <v>0</v>
      </c>
      <c r="AH50" s="14">
        <f ca="1">SOLID!AL61</f>
        <v>0</v>
      </c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55"/>
      <c r="BK50" s="55"/>
      <c r="BL50" s="55"/>
      <c r="BM50" s="55"/>
      <c r="BN50" s="55"/>
      <c r="BO50" s="55"/>
      <c r="BP50" s="55"/>
      <c r="BQ50" s="55"/>
      <c r="BR50" s="55"/>
      <c r="BS50" s="55"/>
      <c r="BT50" s="55"/>
      <c r="BU50" s="55"/>
      <c r="BV50" s="55"/>
      <c r="BW50" s="55"/>
      <c r="BX50" s="5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55"/>
      <c r="CO50" s="55"/>
      <c r="CP50" s="55"/>
    </row>
    <row r="51" spans="1:94" ht="21.75" hidden="1" outlineLevel="1" thickBot="1" x14ac:dyDescent="0.4">
      <c r="A51" s="35" t="str">
        <f>SOLID!E62</f>
        <v>H (Ar)</v>
      </c>
      <c r="B51" s="16">
        <f ca="1">SOLID!F62</f>
        <v>-18.62</v>
      </c>
      <c r="C51" s="16">
        <f ca="1">SOLID!G62</f>
        <v>-18.61</v>
      </c>
      <c r="D51" s="16">
        <f ca="1">SOLID!H62</f>
        <v>-18.61</v>
      </c>
      <c r="E51" s="16">
        <f ca="1">SOLID!I62</f>
        <v>-18.63</v>
      </c>
      <c r="F51" s="14">
        <f ca="1">SOLID!J62</f>
        <v>-18.649999999999999</v>
      </c>
      <c r="G51" s="14">
        <f ca="1">SOLID!K62</f>
        <v>-18.77</v>
      </c>
      <c r="H51" s="14">
        <f ca="1">SOLID!L62</f>
        <v>-18.809999999999999</v>
      </c>
      <c r="I51" s="14">
        <f ca="1">SOLID!M62</f>
        <v>-18.84</v>
      </c>
      <c r="J51" s="14">
        <f ca="1">SOLID!N62</f>
        <v>-18.88</v>
      </c>
      <c r="K51" s="14">
        <f ca="1">SOLID!O62</f>
        <v>-18.93</v>
      </c>
      <c r="L51" s="14">
        <f ca="1">SOLID!P62</f>
        <v>-18.97</v>
      </c>
      <c r="M51" s="14">
        <f ca="1">SOLID!Q62</f>
        <v>-19.010000000000002</v>
      </c>
      <c r="N51" s="14">
        <f ca="1">SOLID!R62</f>
        <v>-19.05</v>
      </c>
      <c r="O51" s="14">
        <f ca="1">SOLID!S62</f>
        <v>-19.09</v>
      </c>
      <c r="P51" s="14">
        <f ca="1">SOLID!T62</f>
        <v>-19.260000000000002</v>
      </c>
      <c r="Q51" s="14">
        <f ca="1">SOLID!U62</f>
        <v>-19.43</v>
      </c>
      <c r="R51" s="14">
        <f ca="1">SOLID!V62</f>
        <v>-19.59</v>
      </c>
      <c r="S51" s="14">
        <f ca="1">SOLID!W62</f>
        <v>-19.739999999999998</v>
      </c>
      <c r="T51" s="14">
        <f ca="1">SOLID!X62</f>
        <v>-19.88</v>
      </c>
      <c r="U51" s="14">
        <f ca="1">SOLID!Y62</f>
        <v>0</v>
      </c>
      <c r="V51" s="14">
        <f ca="1">SOLID!Z62</f>
        <v>0</v>
      </c>
      <c r="W51" s="14">
        <f ca="1">SOLID!AA62</f>
        <v>0</v>
      </c>
      <c r="X51" s="14">
        <f ca="1">SOLID!AB62</f>
        <v>0</v>
      </c>
      <c r="Y51" s="14">
        <f ca="1">SOLID!AC62</f>
        <v>0</v>
      </c>
      <c r="Z51" s="14">
        <f ca="1">SOLID!AD62</f>
        <v>0</v>
      </c>
      <c r="AA51" s="14">
        <f ca="1">SOLID!AE62</f>
        <v>0</v>
      </c>
      <c r="AB51" s="14">
        <f ca="1">SOLID!AF62</f>
        <v>0</v>
      </c>
      <c r="AC51" s="14">
        <f ca="1">SOLID!AG62</f>
        <v>0</v>
      </c>
      <c r="AD51" s="14">
        <f ca="1">SOLID!AH62</f>
        <v>0</v>
      </c>
      <c r="AE51" s="14">
        <f ca="1">SOLID!AI62</f>
        <v>0</v>
      </c>
      <c r="AF51" s="14">
        <f ca="1">SOLID!AJ62</f>
        <v>0</v>
      </c>
      <c r="AG51" s="14">
        <f ca="1">SOLID!AK62</f>
        <v>0</v>
      </c>
      <c r="AH51" s="14">
        <f ca="1">SOLID!AL62</f>
        <v>0</v>
      </c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55"/>
      <c r="BK51" s="55"/>
      <c r="BL51" s="55"/>
      <c r="BM51" s="55"/>
      <c r="BN51" s="55"/>
      <c r="BO51" s="55"/>
      <c r="BP51" s="55"/>
      <c r="BQ51" s="55"/>
      <c r="BR51" s="55"/>
      <c r="BS51" s="55"/>
      <c r="BT51" s="55"/>
      <c r="BU51" s="55"/>
      <c r="BV51" s="55"/>
      <c r="BW51" s="55"/>
      <c r="BX51" s="5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55"/>
      <c r="CO51" s="55"/>
      <c r="CP51" s="55"/>
    </row>
    <row r="52" spans="1:94" ht="21.75" hidden="1" outlineLevel="1" thickBot="1" x14ac:dyDescent="0.4">
      <c r="A52" s="35" t="str">
        <f>SOLID!E63</f>
        <v>H (Ge)</v>
      </c>
      <c r="B52" s="16">
        <f ca="1">SOLID!F63</f>
        <v>-16.29</v>
      </c>
      <c r="C52" s="16">
        <f ca="1">SOLID!G63</f>
        <v>-15.52</v>
      </c>
      <c r="D52" s="16">
        <f ca="1">SOLID!H63</f>
        <v>-14.86</v>
      </c>
      <c r="E52" s="16">
        <f ca="1">SOLID!I63</f>
        <v>-14.3</v>
      </c>
      <c r="F52" s="14">
        <f ca="1">SOLID!J63</f>
        <v>-13.17</v>
      </c>
      <c r="G52" s="14">
        <f ca="1">SOLID!K63</f>
        <v>-7.9130000000000003</v>
      </c>
      <c r="H52" s="14">
        <f ca="1">SOLID!L63</f>
        <v>-6.851</v>
      </c>
      <c r="I52" s="14">
        <f ca="1">SOLID!M63</f>
        <v>-5.867</v>
      </c>
      <c r="J52" s="14">
        <f ca="1">SOLID!N63</f>
        <v>-4.9489999999999998</v>
      </c>
      <c r="K52" s="14">
        <f ca="1">SOLID!O63</f>
        <v>-4.0949999999999998</v>
      </c>
      <c r="L52" s="14">
        <f ca="1">SOLID!P63</f>
        <v>-4.1500000000000004</v>
      </c>
      <c r="M52" s="14">
        <f ca="1">SOLID!Q63</f>
        <v>-4.2</v>
      </c>
      <c r="N52" s="14">
        <f ca="1">SOLID!R63</f>
        <v>-4.2489999999999997</v>
      </c>
      <c r="O52" s="14">
        <f ca="1">SOLID!S63</f>
        <v>-4.2990000000000004</v>
      </c>
      <c r="P52" s="14">
        <f ca="1">SOLID!T63</f>
        <v>-4.4989999999999997</v>
      </c>
      <c r="Q52" s="14">
        <f ca="1">SOLID!U63</f>
        <v>-4.6959999999999997</v>
      </c>
      <c r="R52" s="14">
        <f ca="1">SOLID!V63</f>
        <v>-4.8869999999999996</v>
      </c>
      <c r="S52" s="14">
        <f ca="1">SOLID!W63</f>
        <v>-5.0709999999999997</v>
      </c>
      <c r="T52" s="14">
        <f ca="1">SOLID!X63</f>
        <v>-5.2489999999999997</v>
      </c>
      <c r="U52" s="14">
        <f ca="1">SOLID!Y63</f>
        <v>0</v>
      </c>
      <c r="V52" s="14">
        <f ca="1">SOLID!Z63</f>
        <v>0</v>
      </c>
      <c r="W52" s="14">
        <f ca="1">SOLID!AA63</f>
        <v>0</v>
      </c>
      <c r="X52" s="14">
        <f ca="1">SOLID!AB63</f>
        <v>0</v>
      </c>
      <c r="Y52" s="14">
        <f ca="1">SOLID!AC63</f>
        <v>0</v>
      </c>
      <c r="Z52" s="14">
        <f ca="1">SOLID!AD63</f>
        <v>0</v>
      </c>
      <c r="AA52" s="14">
        <f ca="1">SOLID!AE63</f>
        <v>0</v>
      </c>
      <c r="AB52" s="14">
        <f ca="1">SOLID!AF63</f>
        <v>0</v>
      </c>
      <c r="AC52" s="14">
        <f ca="1">SOLID!AG63</f>
        <v>0</v>
      </c>
      <c r="AD52" s="14">
        <f ca="1">SOLID!AH63</f>
        <v>0</v>
      </c>
      <c r="AE52" s="14">
        <f ca="1">SOLID!AI63</f>
        <v>0</v>
      </c>
      <c r="AF52" s="14">
        <f ca="1">SOLID!AJ63</f>
        <v>0</v>
      </c>
      <c r="AG52" s="14">
        <f ca="1">SOLID!AK63</f>
        <v>0</v>
      </c>
      <c r="AH52" s="14">
        <f ca="1">SOLID!AL63</f>
        <v>0</v>
      </c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55"/>
      <c r="BK52" s="55"/>
      <c r="BL52" s="55"/>
      <c r="BM52" s="55"/>
      <c r="BN52" s="55"/>
      <c r="BO52" s="55"/>
      <c r="BP52" s="55"/>
      <c r="BQ52" s="55"/>
      <c r="BR52" s="55"/>
      <c r="BS52" s="55"/>
      <c r="BT52" s="55"/>
      <c r="BU52" s="55"/>
      <c r="BV52" s="55"/>
      <c r="BW52" s="55"/>
      <c r="BX52" s="5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55"/>
      <c r="CO52" s="55"/>
      <c r="CP52" s="55"/>
    </row>
    <row r="53" spans="1:94" ht="21.75" hidden="1" outlineLevel="1" thickBot="1" x14ac:dyDescent="0.4">
      <c r="A53" s="35" t="str">
        <f>SOLID!E64</f>
        <v>H (Se)</v>
      </c>
      <c r="B53" s="16">
        <f ca="1">SOLID!F64</f>
        <v>-23.52</v>
      </c>
      <c r="C53" s="16">
        <f ca="1">SOLID!G64</f>
        <v>-22.18</v>
      </c>
      <c r="D53" s="16">
        <f ca="1">SOLID!H64</f>
        <v>-21.02</v>
      </c>
      <c r="E53" s="16">
        <f ca="1">SOLID!I64</f>
        <v>-20.010000000000002</v>
      </c>
      <c r="F53" s="14">
        <f ca="1">SOLID!J64</f>
        <v>-19.77</v>
      </c>
      <c r="G53" s="14">
        <f ca="1">SOLID!K64</f>
        <v>-20.97</v>
      </c>
      <c r="H53" s="14">
        <f ca="1">SOLID!L64</f>
        <v>-21.27</v>
      </c>
      <c r="I53" s="14">
        <f ca="1">SOLID!M64</f>
        <v>-21.58</v>
      </c>
      <c r="J53" s="14">
        <f ca="1">SOLID!N64</f>
        <v>-21.88</v>
      </c>
      <c r="K53" s="14">
        <f ca="1">SOLID!O64</f>
        <v>-22.18</v>
      </c>
      <c r="L53" s="14">
        <f ca="1">SOLID!P64</f>
        <v>-22.49</v>
      </c>
      <c r="M53" s="14">
        <f ca="1">SOLID!Q64</f>
        <v>-22.79</v>
      </c>
      <c r="N53" s="14">
        <f ca="1">SOLID!R64</f>
        <v>-23.08</v>
      </c>
      <c r="O53" s="14">
        <f ca="1">SOLID!S64</f>
        <v>-23.37</v>
      </c>
      <c r="P53" s="14">
        <f ca="1">SOLID!T64</f>
        <v>-24.51</v>
      </c>
      <c r="Q53" s="14">
        <f ca="1">SOLID!U64</f>
        <v>-25.6</v>
      </c>
      <c r="R53" s="14">
        <f ca="1">SOLID!V64</f>
        <v>-26.65</v>
      </c>
      <c r="S53" s="14">
        <f ca="1">SOLID!W64</f>
        <v>-27.65</v>
      </c>
      <c r="T53" s="14">
        <f ca="1">SOLID!X64</f>
        <v>-28.62</v>
      </c>
      <c r="U53" s="14">
        <f ca="1">SOLID!Y64</f>
        <v>0</v>
      </c>
      <c r="V53" s="14">
        <f ca="1">SOLID!Z64</f>
        <v>0</v>
      </c>
      <c r="W53" s="14">
        <f ca="1">SOLID!AA64</f>
        <v>0</v>
      </c>
      <c r="X53" s="14">
        <f ca="1">SOLID!AB64</f>
        <v>0</v>
      </c>
      <c r="Y53" s="14">
        <f ca="1">SOLID!AC64</f>
        <v>0</v>
      </c>
      <c r="Z53" s="14">
        <f ca="1">SOLID!AD64</f>
        <v>0</v>
      </c>
      <c r="AA53" s="14">
        <f ca="1">SOLID!AE64</f>
        <v>0</v>
      </c>
      <c r="AB53" s="14">
        <f ca="1">SOLID!AF64</f>
        <v>0</v>
      </c>
      <c r="AC53" s="14">
        <f ca="1">SOLID!AG64</f>
        <v>0</v>
      </c>
      <c r="AD53" s="14">
        <f ca="1">SOLID!AH64</f>
        <v>0</v>
      </c>
      <c r="AE53" s="14">
        <f ca="1">SOLID!AI64</f>
        <v>0</v>
      </c>
      <c r="AF53" s="14">
        <f ca="1">SOLID!AJ64</f>
        <v>0</v>
      </c>
      <c r="AG53" s="14">
        <f ca="1">SOLID!AK64</f>
        <v>0</v>
      </c>
      <c r="AH53" s="14">
        <f ca="1">SOLID!AL64</f>
        <v>0</v>
      </c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55"/>
      <c r="BK53" s="55"/>
      <c r="BL53" s="55"/>
      <c r="BM53" s="55"/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55"/>
      <c r="CO53" s="55"/>
      <c r="CP53" s="55"/>
    </row>
    <row r="54" spans="1:94" ht="21.75" hidden="1" outlineLevel="1" thickBot="1" x14ac:dyDescent="0.4">
      <c r="A54" s="35">
        <f>SOLID!E65</f>
        <v>0</v>
      </c>
      <c r="B54" s="16">
        <f ca="1">SOLID!F65</f>
        <v>0</v>
      </c>
      <c r="C54" s="16">
        <f ca="1">SOLID!G65</f>
        <v>0</v>
      </c>
      <c r="D54" s="16">
        <f ca="1">SOLID!H65</f>
        <v>0</v>
      </c>
      <c r="E54" s="16">
        <f ca="1">SOLID!I65</f>
        <v>0</v>
      </c>
      <c r="F54" s="14">
        <f ca="1">SOLID!J65</f>
        <v>0</v>
      </c>
      <c r="G54" s="14">
        <f ca="1">SOLID!K65</f>
        <v>0</v>
      </c>
      <c r="H54" s="14">
        <f ca="1">SOLID!L65</f>
        <v>0</v>
      </c>
      <c r="I54" s="14">
        <f ca="1">SOLID!M65</f>
        <v>0</v>
      </c>
      <c r="J54" s="14">
        <f ca="1">SOLID!N65</f>
        <v>0</v>
      </c>
      <c r="K54" s="14">
        <f ca="1">SOLID!O65</f>
        <v>0</v>
      </c>
      <c r="L54" s="14">
        <f ca="1">SOLID!P65</f>
        <v>0</v>
      </c>
      <c r="M54" s="14">
        <f ca="1">SOLID!Q65</f>
        <v>0</v>
      </c>
      <c r="N54" s="14">
        <f ca="1">SOLID!R65</f>
        <v>0</v>
      </c>
      <c r="O54" s="14">
        <f ca="1">SOLID!S65</f>
        <v>0</v>
      </c>
      <c r="P54" s="14">
        <f ca="1">SOLID!T65</f>
        <v>0</v>
      </c>
      <c r="Q54" s="14">
        <f ca="1">SOLID!U65</f>
        <v>0</v>
      </c>
      <c r="R54" s="14">
        <f ca="1">SOLID!V65</f>
        <v>0</v>
      </c>
      <c r="S54" s="14">
        <f ca="1">SOLID!W65</f>
        <v>0</v>
      </c>
      <c r="T54" s="14">
        <f ca="1">SOLID!X65</f>
        <v>0</v>
      </c>
      <c r="U54" s="14">
        <f ca="1">SOLID!Y65</f>
        <v>0</v>
      </c>
      <c r="V54" s="14">
        <f ca="1">SOLID!Z65</f>
        <v>0</v>
      </c>
      <c r="W54" s="14">
        <f ca="1">SOLID!AA65</f>
        <v>0</v>
      </c>
      <c r="X54" s="14">
        <f ca="1">SOLID!AB65</f>
        <v>0</v>
      </c>
      <c r="Y54" s="14">
        <f ca="1">SOLID!AC65</f>
        <v>0</v>
      </c>
      <c r="Z54" s="14">
        <f ca="1">SOLID!AD65</f>
        <v>0</v>
      </c>
      <c r="AA54" s="14">
        <f ca="1">SOLID!AE65</f>
        <v>0</v>
      </c>
      <c r="AB54" s="14">
        <f ca="1">SOLID!AF65</f>
        <v>0</v>
      </c>
      <c r="AC54" s="14">
        <f ca="1">SOLID!AG65</f>
        <v>0</v>
      </c>
      <c r="AD54" s="14">
        <f ca="1">SOLID!AH65</f>
        <v>0</v>
      </c>
      <c r="AE54" s="14">
        <f ca="1">SOLID!AI65</f>
        <v>0</v>
      </c>
      <c r="AF54" s="14">
        <f ca="1">SOLID!AJ65</f>
        <v>0</v>
      </c>
      <c r="AG54" s="14">
        <f ca="1">SOLID!AK65</f>
        <v>0</v>
      </c>
      <c r="AH54" s="14">
        <f ca="1">SOLID!AL65</f>
        <v>0</v>
      </c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  <c r="BN54" s="55"/>
      <c r="BO54" s="55"/>
      <c r="BP54" s="55"/>
      <c r="BQ54" s="55"/>
      <c r="BR54" s="55"/>
      <c r="BS54" s="55"/>
      <c r="BT54" s="55"/>
      <c r="BU54" s="55"/>
      <c r="BV54" s="55"/>
      <c r="BW54" s="55"/>
      <c r="BX54" s="5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55"/>
      <c r="CO54" s="55"/>
      <c r="CP54" s="55"/>
    </row>
    <row r="55" spans="1:94" ht="21.75" hidden="1" outlineLevel="1" thickBot="1" x14ac:dyDescent="0.4">
      <c r="A55" s="35">
        <f>SOLID!E66</f>
        <v>0</v>
      </c>
      <c r="B55" s="16">
        <f ca="1">SOLID!F66</f>
        <v>0</v>
      </c>
      <c r="C55" s="16">
        <f ca="1">SOLID!G66</f>
        <v>0</v>
      </c>
      <c r="D55" s="16">
        <f ca="1">SOLID!H66</f>
        <v>0</v>
      </c>
      <c r="E55" s="16">
        <f ca="1">SOLID!I66</f>
        <v>0</v>
      </c>
      <c r="F55" s="14">
        <f ca="1">SOLID!J66</f>
        <v>0</v>
      </c>
      <c r="G55" s="14">
        <f ca="1">SOLID!K66</f>
        <v>0</v>
      </c>
      <c r="H55" s="14">
        <f ca="1">SOLID!L66</f>
        <v>0</v>
      </c>
      <c r="I55" s="14">
        <f ca="1">SOLID!M66</f>
        <v>0</v>
      </c>
      <c r="J55" s="14">
        <f ca="1">SOLID!N66</f>
        <v>0</v>
      </c>
      <c r="K55" s="14">
        <f ca="1">SOLID!O66</f>
        <v>0</v>
      </c>
      <c r="L55" s="14">
        <f ca="1">SOLID!P66</f>
        <v>0</v>
      </c>
      <c r="M55" s="14">
        <f ca="1">SOLID!Q66</f>
        <v>0</v>
      </c>
      <c r="N55" s="14">
        <f ca="1">SOLID!R66</f>
        <v>0</v>
      </c>
      <c r="O55" s="14">
        <f ca="1">SOLID!S66</f>
        <v>0</v>
      </c>
      <c r="P55" s="14">
        <f ca="1">SOLID!T66</f>
        <v>0</v>
      </c>
      <c r="Q55" s="14">
        <f ca="1">SOLID!U66</f>
        <v>0</v>
      </c>
      <c r="R55" s="14">
        <f ca="1">SOLID!V66</f>
        <v>0</v>
      </c>
      <c r="S55" s="14">
        <f ca="1">SOLID!W66</f>
        <v>0</v>
      </c>
      <c r="T55" s="14">
        <f ca="1">SOLID!X66</f>
        <v>0</v>
      </c>
      <c r="U55" s="14">
        <f ca="1">SOLID!Y66</f>
        <v>0</v>
      </c>
      <c r="V55" s="14">
        <f ca="1">SOLID!Z66</f>
        <v>0</v>
      </c>
      <c r="W55" s="14">
        <f ca="1">SOLID!AA66</f>
        <v>0</v>
      </c>
      <c r="X55" s="14">
        <f ca="1">SOLID!AB66</f>
        <v>0</v>
      </c>
      <c r="Y55" s="14">
        <f ca="1">SOLID!AC66</f>
        <v>0</v>
      </c>
      <c r="Z55" s="14">
        <f ca="1">SOLID!AD66</f>
        <v>0</v>
      </c>
      <c r="AA55" s="14">
        <f ca="1">SOLID!AE66</f>
        <v>0</v>
      </c>
      <c r="AB55" s="14">
        <f ca="1">SOLID!AF66</f>
        <v>0</v>
      </c>
      <c r="AC55" s="14">
        <f ca="1">SOLID!AG66</f>
        <v>0</v>
      </c>
      <c r="AD55" s="14">
        <f ca="1">SOLID!AH66</f>
        <v>0</v>
      </c>
      <c r="AE55" s="14">
        <f ca="1">SOLID!AI66</f>
        <v>0</v>
      </c>
      <c r="AF55" s="14">
        <f ca="1">SOLID!AJ66</f>
        <v>0</v>
      </c>
      <c r="AG55" s="14">
        <f ca="1">SOLID!AK66</f>
        <v>0</v>
      </c>
      <c r="AH55" s="14">
        <f ca="1">SOLID!AL66</f>
        <v>0</v>
      </c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55"/>
      <c r="BK55" s="55"/>
      <c r="BL55" s="55"/>
      <c r="BM55" s="55"/>
      <c r="BN55" s="55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55"/>
      <c r="CO55" s="55"/>
      <c r="CP55" s="55"/>
    </row>
    <row r="56" spans="1:94" ht="21.75" hidden="1" outlineLevel="1" thickBot="1" x14ac:dyDescent="0.4">
      <c r="A56" s="35">
        <f>SOLID!E67</f>
        <v>0</v>
      </c>
      <c r="B56" s="16">
        <f ca="1">SOLID!F67</f>
        <v>0</v>
      </c>
      <c r="C56" s="16">
        <f ca="1">SOLID!G67</f>
        <v>0</v>
      </c>
      <c r="D56" s="16">
        <f ca="1">SOLID!H67</f>
        <v>0</v>
      </c>
      <c r="E56" s="16">
        <f ca="1">SOLID!I67</f>
        <v>0</v>
      </c>
      <c r="F56" s="14">
        <f ca="1">SOLID!J67</f>
        <v>0</v>
      </c>
      <c r="G56" s="14">
        <f ca="1">SOLID!K67</f>
        <v>0</v>
      </c>
      <c r="H56" s="14">
        <f ca="1">SOLID!L67</f>
        <v>0</v>
      </c>
      <c r="I56" s="14">
        <f ca="1">SOLID!M67</f>
        <v>0</v>
      </c>
      <c r="J56" s="14">
        <f ca="1">SOLID!N67</f>
        <v>0</v>
      </c>
      <c r="K56" s="14">
        <f ca="1">SOLID!O67</f>
        <v>0</v>
      </c>
      <c r="L56" s="14">
        <f ca="1">SOLID!P67</f>
        <v>0</v>
      </c>
      <c r="M56" s="14">
        <f ca="1">SOLID!Q67</f>
        <v>0</v>
      </c>
      <c r="N56" s="14">
        <f ca="1">SOLID!R67</f>
        <v>0</v>
      </c>
      <c r="O56" s="14">
        <f ca="1">SOLID!S67</f>
        <v>0</v>
      </c>
      <c r="P56" s="14">
        <f ca="1">SOLID!T67</f>
        <v>0</v>
      </c>
      <c r="Q56" s="14">
        <f ca="1">SOLID!U67</f>
        <v>0</v>
      </c>
      <c r="R56" s="14">
        <f ca="1">SOLID!V67</f>
        <v>0</v>
      </c>
      <c r="S56" s="14">
        <f ca="1">SOLID!W67</f>
        <v>0</v>
      </c>
      <c r="T56" s="14">
        <f ca="1">SOLID!X67</f>
        <v>0</v>
      </c>
      <c r="U56" s="14">
        <f ca="1">SOLID!Y67</f>
        <v>0</v>
      </c>
      <c r="V56" s="14">
        <f ca="1">SOLID!Z67</f>
        <v>0</v>
      </c>
      <c r="W56" s="14">
        <f ca="1">SOLID!AA67</f>
        <v>0</v>
      </c>
      <c r="X56" s="14">
        <f ca="1">SOLID!AB67</f>
        <v>0</v>
      </c>
      <c r="Y56" s="14">
        <f ca="1">SOLID!AC67</f>
        <v>0</v>
      </c>
      <c r="Z56" s="14">
        <f ca="1">SOLID!AD67</f>
        <v>0</v>
      </c>
      <c r="AA56" s="14">
        <f ca="1">SOLID!AE67</f>
        <v>0</v>
      </c>
      <c r="AB56" s="14">
        <f ca="1">SOLID!AF67</f>
        <v>0</v>
      </c>
      <c r="AC56" s="14">
        <f ca="1">SOLID!AG67</f>
        <v>0</v>
      </c>
      <c r="AD56" s="14">
        <f ca="1">SOLID!AH67</f>
        <v>0</v>
      </c>
      <c r="AE56" s="14">
        <f ca="1">SOLID!AI67</f>
        <v>0</v>
      </c>
      <c r="AF56" s="14">
        <f ca="1">SOLID!AJ67</f>
        <v>0</v>
      </c>
      <c r="AG56" s="14">
        <f ca="1">SOLID!AK67</f>
        <v>0</v>
      </c>
      <c r="AH56" s="14">
        <f ca="1">SOLID!AL67</f>
        <v>0</v>
      </c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55"/>
      <c r="BK56" s="55"/>
      <c r="BL56" s="55"/>
      <c r="BM56" s="55"/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5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55"/>
      <c r="CO56" s="55"/>
      <c r="CP56" s="55"/>
    </row>
    <row r="57" spans="1:94" ht="21.75" hidden="1" outlineLevel="1" thickBot="1" x14ac:dyDescent="0.4">
      <c r="A57" s="35">
        <f>SOLID!E68</f>
        <v>0</v>
      </c>
      <c r="B57" s="16">
        <f ca="1">SOLID!F68</f>
        <v>0</v>
      </c>
      <c r="C57" s="16">
        <f ca="1">SOLID!G68</f>
        <v>0</v>
      </c>
      <c r="D57" s="16">
        <f ca="1">SOLID!H68</f>
        <v>0</v>
      </c>
      <c r="E57" s="16">
        <f ca="1">SOLID!I68</f>
        <v>0</v>
      </c>
      <c r="F57" s="14">
        <f ca="1">SOLID!J68</f>
        <v>0</v>
      </c>
      <c r="G57" s="14">
        <f ca="1">SOLID!K68</f>
        <v>0</v>
      </c>
      <c r="H57" s="14">
        <f ca="1">SOLID!L68</f>
        <v>0</v>
      </c>
      <c r="I57" s="14">
        <f ca="1">SOLID!M68</f>
        <v>0</v>
      </c>
      <c r="J57" s="14">
        <f ca="1">SOLID!N68</f>
        <v>0</v>
      </c>
      <c r="K57" s="14">
        <f ca="1">SOLID!O68</f>
        <v>0</v>
      </c>
      <c r="L57" s="14">
        <f ca="1">SOLID!P68</f>
        <v>0</v>
      </c>
      <c r="M57" s="14">
        <f ca="1">SOLID!Q68</f>
        <v>0</v>
      </c>
      <c r="N57" s="14">
        <f ca="1">SOLID!R68</f>
        <v>0</v>
      </c>
      <c r="O57" s="14">
        <f ca="1">SOLID!S68</f>
        <v>0</v>
      </c>
      <c r="P57" s="14">
        <f ca="1">SOLID!T68</f>
        <v>0</v>
      </c>
      <c r="Q57" s="14">
        <f ca="1">SOLID!U68</f>
        <v>0</v>
      </c>
      <c r="R57" s="14">
        <f ca="1">SOLID!V68</f>
        <v>0</v>
      </c>
      <c r="S57" s="14">
        <f ca="1">SOLID!W68</f>
        <v>0</v>
      </c>
      <c r="T57" s="14">
        <f ca="1">SOLID!X68</f>
        <v>0</v>
      </c>
      <c r="U57" s="14">
        <f ca="1">SOLID!Y68</f>
        <v>0</v>
      </c>
      <c r="V57" s="14">
        <f ca="1">SOLID!Z68</f>
        <v>0</v>
      </c>
      <c r="W57" s="14">
        <f ca="1">SOLID!AA68</f>
        <v>0</v>
      </c>
      <c r="X57" s="14">
        <f ca="1">SOLID!AB68</f>
        <v>0</v>
      </c>
      <c r="Y57" s="14">
        <f ca="1">SOLID!AC68</f>
        <v>0</v>
      </c>
      <c r="Z57" s="14">
        <f ca="1">SOLID!AD68</f>
        <v>0</v>
      </c>
      <c r="AA57" s="14">
        <f ca="1">SOLID!AE68</f>
        <v>0</v>
      </c>
      <c r="AB57" s="14">
        <f ca="1">SOLID!AF68</f>
        <v>0</v>
      </c>
      <c r="AC57" s="14">
        <f ca="1">SOLID!AG68</f>
        <v>0</v>
      </c>
      <c r="AD57" s="14">
        <f ca="1">SOLID!AH68</f>
        <v>0</v>
      </c>
      <c r="AE57" s="14">
        <f ca="1">SOLID!AI68</f>
        <v>0</v>
      </c>
      <c r="AF57" s="14">
        <f ca="1">SOLID!AJ68</f>
        <v>0</v>
      </c>
      <c r="AG57" s="14">
        <f ca="1">SOLID!AK68</f>
        <v>0</v>
      </c>
      <c r="AH57" s="14">
        <f ca="1">SOLID!AL68</f>
        <v>0</v>
      </c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55"/>
      <c r="BK57" s="55"/>
      <c r="BL57" s="55"/>
      <c r="BM57" s="55"/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5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55"/>
      <c r="CO57" s="55"/>
      <c r="CP57" s="55"/>
    </row>
    <row r="58" spans="1:94" ht="21.75" hidden="1" outlineLevel="1" thickBot="1" x14ac:dyDescent="0.4">
      <c r="A58" s="35">
        <f>SOLID!E69</f>
        <v>0</v>
      </c>
      <c r="B58" s="16">
        <f ca="1">SOLID!F69</f>
        <v>0</v>
      </c>
      <c r="C58" s="16">
        <f ca="1">SOLID!G69</f>
        <v>0</v>
      </c>
      <c r="D58" s="16">
        <f ca="1">SOLID!H69</f>
        <v>0</v>
      </c>
      <c r="E58" s="16">
        <f ca="1">SOLID!I69</f>
        <v>0</v>
      </c>
      <c r="F58" s="14">
        <f ca="1">SOLID!J69</f>
        <v>0</v>
      </c>
      <c r="G58" s="14">
        <f ca="1">SOLID!K69</f>
        <v>0</v>
      </c>
      <c r="H58" s="14">
        <f ca="1">SOLID!L69</f>
        <v>0</v>
      </c>
      <c r="I58" s="14">
        <f ca="1">SOLID!M69</f>
        <v>0</v>
      </c>
      <c r="J58" s="14">
        <f ca="1">SOLID!N69</f>
        <v>0</v>
      </c>
      <c r="K58" s="14">
        <f ca="1">SOLID!O69</f>
        <v>0</v>
      </c>
      <c r="L58" s="14">
        <f ca="1">SOLID!P69</f>
        <v>0</v>
      </c>
      <c r="M58" s="14">
        <f ca="1">SOLID!Q69</f>
        <v>0</v>
      </c>
      <c r="N58" s="14">
        <f ca="1">SOLID!R69</f>
        <v>0</v>
      </c>
      <c r="O58" s="14">
        <f ca="1">SOLID!S69</f>
        <v>0</v>
      </c>
      <c r="P58" s="14">
        <f ca="1">SOLID!T69</f>
        <v>0</v>
      </c>
      <c r="Q58" s="14">
        <f ca="1">SOLID!U69</f>
        <v>0</v>
      </c>
      <c r="R58" s="14">
        <f ca="1">SOLID!V69</f>
        <v>0</v>
      </c>
      <c r="S58" s="14">
        <f ca="1">SOLID!W69</f>
        <v>0</v>
      </c>
      <c r="T58" s="14">
        <f ca="1">SOLID!X69</f>
        <v>0</v>
      </c>
      <c r="U58" s="14">
        <f ca="1">SOLID!Y69</f>
        <v>0</v>
      </c>
      <c r="V58" s="14">
        <f ca="1">SOLID!Z69</f>
        <v>0</v>
      </c>
      <c r="W58" s="14">
        <f ca="1">SOLID!AA69</f>
        <v>0</v>
      </c>
      <c r="X58" s="14">
        <f ca="1">SOLID!AB69</f>
        <v>0</v>
      </c>
      <c r="Y58" s="14">
        <f ca="1">SOLID!AC69</f>
        <v>0</v>
      </c>
      <c r="Z58" s="14">
        <f ca="1">SOLID!AD69</f>
        <v>0</v>
      </c>
      <c r="AA58" s="14">
        <f ca="1">SOLID!AE69</f>
        <v>0</v>
      </c>
      <c r="AB58" s="14">
        <f ca="1">SOLID!AF69</f>
        <v>0</v>
      </c>
      <c r="AC58" s="14">
        <f ca="1">SOLID!AG69</f>
        <v>0</v>
      </c>
      <c r="AD58" s="14">
        <f ca="1">SOLID!AH69</f>
        <v>0</v>
      </c>
      <c r="AE58" s="14">
        <f ca="1">SOLID!AI69</f>
        <v>0</v>
      </c>
      <c r="AF58" s="14">
        <f ca="1">SOLID!AJ69</f>
        <v>0</v>
      </c>
      <c r="AG58" s="14">
        <f ca="1">SOLID!AK69</f>
        <v>0</v>
      </c>
      <c r="AH58" s="14">
        <f ca="1">SOLID!AL69</f>
        <v>0</v>
      </c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55"/>
      <c r="BK58" s="55"/>
      <c r="BL58" s="55"/>
      <c r="BM58" s="55"/>
      <c r="BN58" s="55"/>
      <c r="BO58" s="55"/>
      <c r="BP58" s="55"/>
      <c r="BQ58" s="55"/>
      <c r="BR58" s="55"/>
      <c r="BS58" s="55"/>
      <c r="BT58" s="55"/>
      <c r="BU58" s="55"/>
      <c r="BV58" s="55"/>
      <c r="BW58" s="55"/>
      <c r="BX58" s="5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55"/>
      <c r="CO58" s="55"/>
      <c r="CP58" s="55"/>
    </row>
    <row r="59" spans="1:94" ht="21.75" hidden="1" outlineLevel="1" thickBot="1" x14ac:dyDescent="0.4">
      <c r="A59" s="35">
        <f>SOLID!E70</f>
        <v>0</v>
      </c>
      <c r="B59" s="16">
        <f ca="1">SOLID!F70</f>
        <v>0</v>
      </c>
      <c r="C59" s="16">
        <f ca="1">SOLID!G70</f>
        <v>0</v>
      </c>
      <c r="D59" s="16">
        <f ca="1">SOLID!H70</f>
        <v>0</v>
      </c>
      <c r="E59" s="16">
        <f ca="1">SOLID!I70</f>
        <v>0</v>
      </c>
      <c r="F59" s="14">
        <f ca="1">SOLID!J70</f>
        <v>0</v>
      </c>
      <c r="G59" s="14">
        <f ca="1">SOLID!K70</f>
        <v>0</v>
      </c>
      <c r="H59" s="14">
        <f ca="1">SOLID!L70</f>
        <v>0</v>
      </c>
      <c r="I59" s="14">
        <f ca="1">SOLID!M70</f>
        <v>0</v>
      </c>
      <c r="J59" s="14">
        <f ca="1">SOLID!N70</f>
        <v>0</v>
      </c>
      <c r="K59" s="14">
        <f ca="1">SOLID!O70</f>
        <v>0</v>
      </c>
      <c r="L59" s="14">
        <f ca="1">SOLID!P70</f>
        <v>0</v>
      </c>
      <c r="M59" s="14">
        <f ca="1">SOLID!Q70</f>
        <v>0</v>
      </c>
      <c r="N59" s="14">
        <f ca="1">SOLID!R70</f>
        <v>0</v>
      </c>
      <c r="O59" s="14">
        <f ca="1">SOLID!S70</f>
        <v>0</v>
      </c>
      <c r="P59" s="14">
        <f ca="1">SOLID!T70</f>
        <v>0</v>
      </c>
      <c r="Q59" s="14">
        <f ca="1">SOLID!U70</f>
        <v>0</v>
      </c>
      <c r="R59" s="14">
        <f ca="1">SOLID!V70</f>
        <v>0</v>
      </c>
      <c r="S59" s="14">
        <f ca="1">SOLID!W70</f>
        <v>0</v>
      </c>
      <c r="T59" s="14">
        <f ca="1">SOLID!X70</f>
        <v>0</v>
      </c>
      <c r="U59" s="14">
        <f ca="1">SOLID!Y70</f>
        <v>0</v>
      </c>
      <c r="V59" s="14">
        <f ca="1">SOLID!Z70</f>
        <v>0</v>
      </c>
      <c r="W59" s="14">
        <f ca="1">SOLID!AA70</f>
        <v>0</v>
      </c>
      <c r="X59" s="14">
        <f ca="1">SOLID!AB70</f>
        <v>0</v>
      </c>
      <c r="Y59" s="14">
        <f ca="1">SOLID!AC70</f>
        <v>0</v>
      </c>
      <c r="Z59" s="14">
        <f ca="1">SOLID!AD70</f>
        <v>0</v>
      </c>
      <c r="AA59" s="14">
        <f ca="1">SOLID!AE70</f>
        <v>0</v>
      </c>
      <c r="AB59" s="14">
        <f ca="1">SOLID!AF70</f>
        <v>0</v>
      </c>
      <c r="AC59" s="14">
        <f ca="1">SOLID!AG70</f>
        <v>0</v>
      </c>
      <c r="AD59" s="14">
        <f ca="1">SOLID!AH70</f>
        <v>0</v>
      </c>
      <c r="AE59" s="14">
        <f ca="1">SOLID!AI70</f>
        <v>0</v>
      </c>
      <c r="AF59" s="14">
        <f ca="1">SOLID!AJ70</f>
        <v>0</v>
      </c>
      <c r="AG59" s="14">
        <f ca="1">SOLID!AK70</f>
        <v>0</v>
      </c>
      <c r="AH59" s="14">
        <f ca="1">SOLID!AL70</f>
        <v>0</v>
      </c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55"/>
      <c r="BK59" s="55"/>
      <c r="BL59" s="55"/>
      <c r="BM59" s="55"/>
      <c r="BN59" s="55"/>
      <c r="BO59" s="55"/>
      <c r="BP59" s="55"/>
      <c r="BQ59" s="55"/>
      <c r="BR59" s="55"/>
      <c r="BS59" s="55"/>
      <c r="BT59" s="55"/>
      <c r="BU59" s="55"/>
      <c r="BV59" s="55"/>
      <c r="BW59" s="55"/>
      <c r="BX59" s="5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55"/>
      <c r="CO59" s="55"/>
      <c r="CP59" s="55"/>
    </row>
    <row r="60" spans="1:94" ht="21.75" hidden="1" outlineLevel="1" thickBot="1" x14ac:dyDescent="0.4">
      <c r="A60" s="35">
        <f>SOLID!E71</f>
        <v>0</v>
      </c>
      <c r="B60" s="16">
        <f ca="1">SOLID!F71</f>
        <v>0</v>
      </c>
      <c r="C60" s="16">
        <f ca="1">SOLID!G71</f>
        <v>0</v>
      </c>
      <c r="D60" s="16">
        <f ca="1">SOLID!H71</f>
        <v>0</v>
      </c>
      <c r="E60" s="16">
        <f ca="1">SOLID!I71</f>
        <v>0</v>
      </c>
      <c r="F60" s="14">
        <f ca="1">SOLID!J71</f>
        <v>0</v>
      </c>
      <c r="G60" s="14">
        <f ca="1">SOLID!K71</f>
        <v>0</v>
      </c>
      <c r="H60" s="14">
        <f ca="1">SOLID!L71</f>
        <v>0</v>
      </c>
      <c r="I60" s="14">
        <f ca="1">SOLID!M71</f>
        <v>0</v>
      </c>
      <c r="J60" s="14">
        <f ca="1">SOLID!N71</f>
        <v>0</v>
      </c>
      <c r="K60" s="14">
        <f ca="1">SOLID!O71</f>
        <v>0</v>
      </c>
      <c r="L60" s="14">
        <f ca="1">SOLID!P71</f>
        <v>0</v>
      </c>
      <c r="M60" s="14">
        <f ca="1">SOLID!Q71</f>
        <v>0</v>
      </c>
      <c r="N60" s="14">
        <f ca="1">SOLID!R71</f>
        <v>0</v>
      </c>
      <c r="O60" s="14">
        <f ca="1">SOLID!S71</f>
        <v>0</v>
      </c>
      <c r="P60" s="14">
        <f ca="1">SOLID!T71</f>
        <v>0</v>
      </c>
      <c r="Q60" s="14">
        <f ca="1">SOLID!U71</f>
        <v>0</v>
      </c>
      <c r="R60" s="14">
        <f ca="1">SOLID!V71</f>
        <v>0</v>
      </c>
      <c r="S60" s="14">
        <f ca="1">SOLID!W71</f>
        <v>0</v>
      </c>
      <c r="T60" s="14">
        <f ca="1">SOLID!X71</f>
        <v>0</v>
      </c>
      <c r="U60" s="14">
        <f ca="1">SOLID!Y71</f>
        <v>0</v>
      </c>
      <c r="V60" s="14">
        <f ca="1">SOLID!Z71</f>
        <v>0</v>
      </c>
      <c r="W60" s="14">
        <f ca="1">SOLID!AA71</f>
        <v>0</v>
      </c>
      <c r="X60" s="14">
        <f ca="1">SOLID!AB71</f>
        <v>0</v>
      </c>
      <c r="Y60" s="14">
        <f ca="1">SOLID!AC71</f>
        <v>0</v>
      </c>
      <c r="Z60" s="14">
        <f ca="1">SOLID!AD71</f>
        <v>0</v>
      </c>
      <c r="AA60" s="14">
        <f ca="1">SOLID!AE71</f>
        <v>0</v>
      </c>
      <c r="AB60" s="14">
        <f ca="1">SOLID!AF71</f>
        <v>0</v>
      </c>
      <c r="AC60" s="14">
        <f ca="1">SOLID!AG71</f>
        <v>0</v>
      </c>
      <c r="AD60" s="14">
        <f ca="1">SOLID!AH71</f>
        <v>0</v>
      </c>
      <c r="AE60" s="14">
        <f ca="1">SOLID!AI71</f>
        <v>0</v>
      </c>
      <c r="AF60" s="14">
        <f ca="1">SOLID!AJ71</f>
        <v>0</v>
      </c>
      <c r="AG60" s="14">
        <f ca="1">SOLID!AK71</f>
        <v>0</v>
      </c>
      <c r="AH60" s="14">
        <f ca="1">SOLID!AL71</f>
        <v>0</v>
      </c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55"/>
      <c r="BK60" s="55"/>
      <c r="BL60" s="55"/>
      <c r="BM60" s="55"/>
      <c r="BN60" s="55"/>
      <c r="BO60" s="55"/>
      <c r="BP60" s="55"/>
      <c r="BQ60" s="55"/>
      <c r="BR60" s="55"/>
      <c r="BS60" s="55"/>
      <c r="BT60" s="55"/>
      <c r="BU60" s="55"/>
      <c r="BV60" s="55"/>
      <c r="BW60" s="55"/>
      <c r="BX60" s="5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55"/>
      <c r="CO60" s="55"/>
      <c r="CP60" s="55"/>
    </row>
    <row r="61" spans="1:94" ht="21.75" hidden="1" outlineLevel="1" thickBot="1" x14ac:dyDescent="0.4">
      <c r="A61" s="35">
        <f>SOLID!E72</f>
        <v>0</v>
      </c>
      <c r="B61" s="16">
        <f ca="1">SOLID!F72</f>
        <v>0</v>
      </c>
      <c r="C61" s="16">
        <f ca="1">SOLID!G72</f>
        <v>0</v>
      </c>
      <c r="D61" s="16">
        <f ca="1">SOLID!H72</f>
        <v>0</v>
      </c>
      <c r="E61" s="16">
        <f ca="1">SOLID!I72</f>
        <v>0</v>
      </c>
      <c r="F61" s="14">
        <f ca="1">SOLID!J72</f>
        <v>0</v>
      </c>
      <c r="G61" s="14">
        <f ca="1">SOLID!K72</f>
        <v>0</v>
      </c>
      <c r="H61" s="14">
        <f ca="1">SOLID!L72</f>
        <v>0</v>
      </c>
      <c r="I61" s="14">
        <f ca="1">SOLID!M72</f>
        <v>0</v>
      </c>
      <c r="J61" s="14">
        <f ca="1">SOLID!N72</f>
        <v>0</v>
      </c>
      <c r="K61" s="14">
        <f ca="1">SOLID!O72</f>
        <v>0</v>
      </c>
      <c r="L61" s="14">
        <f ca="1">SOLID!P72</f>
        <v>0</v>
      </c>
      <c r="M61" s="14">
        <f ca="1">SOLID!Q72</f>
        <v>0</v>
      </c>
      <c r="N61" s="14">
        <f ca="1">SOLID!R72</f>
        <v>0</v>
      </c>
      <c r="O61" s="14">
        <f ca="1">SOLID!S72</f>
        <v>0</v>
      </c>
      <c r="P61" s="14">
        <f ca="1">SOLID!T72</f>
        <v>0</v>
      </c>
      <c r="Q61" s="14">
        <f ca="1">SOLID!U72</f>
        <v>0</v>
      </c>
      <c r="R61" s="14">
        <f ca="1">SOLID!V72</f>
        <v>0</v>
      </c>
      <c r="S61" s="14">
        <f ca="1">SOLID!W72</f>
        <v>0</v>
      </c>
      <c r="T61" s="14">
        <f ca="1">SOLID!X72</f>
        <v>0</v>
      </c>
      <c r="U61" s="14">
        <f ca="1">SOLID!Y72</f>
        <v>0</v>
      </c>
      <c r="V61" s="14">
        <f ca="1">SOLID!Z72</f>
        <v>0</v>
      </c>
      <c r="W61" s="14">
        <f ca="1">SOLID!AA72</f>
        <v>0</v>
      </c>
      <c r="X61" s="14">
        <f ca="1">SOLID!AB72</f>
        <v>0</v>
      </c>
      <c r="Y61" s="14">
        <f ca="1">SOLID!AC72</f>
        <v>0</v>
      </c>
      <c r="Z61" s="14">
        <f ca="1">SOLID!AD72</f>
        <v>0</v>
      </c>
      <c r="AA61" s="14">
        <f ca="1">SOLID!AE72</f>
        <v>0</v>
      </c>
      <c r="AB61" s="14">
        <f ca="1">SOLID!AF72</f>
        <v>0</v>
      </c>
      <c r="AC61" s="14">
        <f ca="1">SOLID!AG72</f>
        <v>0</v>
      </c>
      <c r="AD61" s="14">
        <f ca="1">SOLID!AH72</f>
        <v>0</v>
      </c>
      <c r="AE61" s="14">
        <f ca="1">SOLID!AI72</f>
        <v>0</v>
      </c>
      <c r="AF61" s="14">
        <f ca="1">SOLID!AJ72</f>
        <v>0</v>
      </c>
      <c r="AG61" s="14">
        <f ca="1">SOLID!AK72</f>
        <v>0</v>
      </c>
      <c r="AH61" s="14">
        <f ca="1">SOLID!AL72</f>
        <v>0</v>
      </c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55"/>
      <c r="BK61" s="55"/>
      <c r="BL61" s="55"/>
      <c r="BM61" s="55"/>
      <c r="BN61" s="55"/>
      <c r="BO61" s="55"/>
      <c r="BP61" s="55"/>
      <c r="BQ61" s="55"/>
      <c r="BR61" s="55"/>
      <c r="BS61" s="55"/>
      <c r="BT61" s="55"/>
      <c r="BU61" s="55"/>
      <c r="BV61" s="55"/>
      <c r="BW61" s="55"/>
      <c r="BX61" s="5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55"/>
      <c r="CO61" s="55"/>
      <c r="CP61" s="55"/>
    </row>
    <row r="62" spans="1:94" ht="21.75" hidden="1" outlineLevel="1" thickBot="1" x14ac:dyDescent="0.4">
      <c r="A62" s="35">
        <f>SOLID!E73</f>
        <v>0</v>
      </c>
      <c r="B62" s="16">
        <f ca="1">SOLID!F73</f>
        <v>0</v>
      </c>
      <c r="C62" s="16">
        <f ca="1">SOLID!G73</f>
        <v>0</v>
      </c>
      <c r="D62" s="16">
        <f ca="1">SOLID!H73</f>
        <v>0</v>
      </c>
      <c r="E62" s="16">
        <f ca="1">SOLID!I73</f>
        <v>0</v>
      </c>
      <c r="F62" s="14">
        <f ca="1">SOLID!J73</f>
        <v>0</v>
      </c>
      <c r="G62" s="14">
        <f ca="1">SOLID!K73</f>
        <v>0</v>
      </c>
      <c r="H62" s="14">
        <f ca="1">SOLID!L73</f>
        <v>0</v>
      </c>
      <c r="I62" s="14">
        <f ca="1">SOLID!M73</f>
        <v>0</v>
      </c>
      <c r="J62" s="14">
        <f ca="1">SOLID!N73</f>
        <v>0</v>
      </c>
      <c r="K62" s="14">
        <f ca="1">SOLID!O73</f>
        <v>0</v>
      </c>
      <c r="L62" s="14">
        <f ca="1">SOLID!P73</f>
        <v>0</v>
      </c>
      <c r="M62" s="14">
        <f ca="1">SOLID!Q73</f>
        <v>0</v>
      </c>
      <c r="N62" s="14">
        <f ca="1">SOLID!R73</f>
        <v>0</v>
      </c>
      <c r="O62" s="14">
        <f ca="1">SOLID!S73</f>
        <v>0</v>
      </c>
      <c r="P62" s="14">
        <f ca="1">SOLID!T73</f>
        <v>0</v>
      </c>
      <c r="Q62" s="14">
        <f ca="1">SOLID!U73</f>
        <v>0</v>
      </c>
      <c r="R62" s="14">
        <f ca="1">SOLID!V73</f>
        <v>0</v>
      </c>
      <c r="S62" s="14">
        <f ca="1">SOLID!W73</f>
        <v>0</v>
      </c>
      <c r="T62" s="14">
        <f ca="1">SOLID!X73</f>
        <v>0</v>
      </c>
      <c r="U62" s="14">
        <f ca="1">SOLID!Y73</f>
        <v>0</v>
      </c>
      <c r="V62" s="14">
        <f ca="1">SOLID!Z73</f>
        <v>0</v>
      </c>
      <c r="W62" s="14">
        <f ca="1">SOLID!AA73</f>
        <v>0</v>
      </c>
      <c r="X62" s="14">
        <f ca="1">SOLID!AB73</f>
        <v>0</v>
      </c>
      <c r="Y62" s="14">
        <f ca="1">SOLID!AC73</f>
        <v>0</v>
      </c>
      <c r="Z62" s="14">
        <f ca="1">SOLID!AD73</f>
        <v>0</v>
      </c>
      <c r="AA62" s="14">
        <f ca="1">SOLID!AE73</f>
        <v>0</v>
      </c>
      <c r="AB62" s="14">
        <f ca="1">SOLID!AF73</f>
        <v>0</v>
      </c>
      <c r="AC62" s="14">
        <f ca="1">SOLID!AG73</f>
        <v>0</v>
      </c>
      <c r="AD62" s="14">
        <f ca="1">SOLID!AH73</f>
        <v>0</v>
      </c>
      <c r="AE62" s="14">
        <f ca="1">SOLID!AI73</f>
        <v>0</v>
      </c>
      <c r="AF62" s="14">
        <f ca="1">SOLID!AJ73</f>
        <v>0</v>
      </c>
      <c r="AG62" s="14">
        <f ca="1">SOLID!AK73</f>
        <v>0</v>
      </c>
      <c r="AH62" s="14">
        <f ca="1">SOLID!AL73</f>
        <v>0</v>
      </c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  <c r="BN62" s="55"/>
      <c r="BO62" s="55"/>
      <c r="BP62" s="55"/>
      <c r="BQ62" s="55"/>
      <c r="BR62" s="55"/>
      <c r="BS62" s="55"/>
      <c r="BT62" s="55"/>
      <c r="BU62" s="55"/>
      <c r="BV62" s="55"/>
      <c r="BW62" s="55"/>
      <c r="BX62" s="5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55"/>
      <c r="CO62" s="55"/>
      <c r="CP62" s="55"/>
    </row>
    <row r="63" spans="1:94" ht="21.75" hidden="1" outlineLevel="1" thickBot="1" x14ac:dyDescent="0.4">
      <c r="A63" s="35">
        <f>SOLID!E74</f>
        <v>0</v>
      </c>
      <c r="B63" s="16">
        <f ca="1">SOLID!F74</f>
        <v>0</v>
      </c>
      <c r="C63" s="16">
        <f ca="1">SOLID!G74</f>
        <v>0</v>
      </c>
      <c r="D63" s="16">
        <f ca="1">SOLID!H74</f>
        <v>0</v>
      </c>
      <c r="E63" s="16">
        <f ca="1">SOLID!I74</f>
        <v>0</v>
      </c>
      <c r="F63" s="14">
        <f ca="1">SOLID!J74</f>
        <v>0</v>
      </c>
      <c r="G63" s="14">
        <f ca="1">SOLID!K74</f>
        <v>0</v>
      </c>
      <c r="H63" s="14">
        <f ca="1">SOLID!L74</f>
        <v>0</v>
      </c>
      <c r="I63" s="14">
        <f ca="1">SOLID!M74</f>
        <v>0</v>
      </c>
      <c r="J63" s="14">
        <f ca="1">SOLID!N74</f>
        <v>0</v>
      </c>
      <c r="K63" s="14">
        <f ca="1">SOLID!O74</f>
        <v>0</v>
      </c>
      <c r="L63" s="14">
        <f ca="1">SOLID!P74</f>
        <v>0</v>
      </c>
      <c r="M63" s="14">
        <f ca="1">SOLID!Q74</f>
        <v>0</v>
      </c>
      <c r="N63" s="14">
        <f ca="1">SOLID!R74</f>
        <v>0</v>
      </c>
      <c r="O63" s="14">
        <f ca="1">SOLID!S74</f>
        <v>0</v>
      </c>
      <c r="P63" s="14">
        <f ca="1">SOLID!T74</f>
        <v>0</v>
      </c>
      <c r="Q63" s="14">
        <f ca="1">SOLID!U74</f>
        <v>0</v>
      </c>
      <c r="R63" s="14">
        <f ca="1">SOLID!V74</f>
        <v>0</v>
      </c>
      <c r="S63" s="14">
        <f ca="1">SOLID!W74</f>
        <v>0</v>
      </c>
      <c r="T63" s="14">
        <f ca="1">SOLID!X74</f>
        <v>0</v>
      </c>
      <c r="U63" s="14">
        <f ca="1">SOLID!Y74</f>
        <v>0</v>
      </c>
      <c r="V63" s="14">
        <f ca="1">SOLID!Z74</f>
        <v>0</v>
      </c>
      <c r="W63" s="14">
        <f ca="1">SOLID!AA74</f>
        <v>0</v>
      </c>
      <c r="X63" s="14">
        <f ca="1">SOLID!AB74</f>
        <v>0</v>
      </c>
      <c r="Y63" s="14">
        <f ca="1">SOLID!AC74</f>
        <v>0</v>
      </c>
      <c r="Z63" s="14">
        <f ca="1">SOLID!AD74</f>
        <v>0</v>
      </c>
      <c r="AA63" s="14">
        <f ca="1">SOLID!AE74</f>
        <v>0</v>
      </c>
      <c r="AB63" s="14">
        <f ca="1">SOLID!AF74</f>
        <v>0</v>
      </c>
      <c r="AC63" s="14">
        <f ca="1">SOLID!AG74</f>
        <v>0</v>
      </c>
      <c r="AD63" s="14">
        <f ca="1">SOLID!AH74</f>
        <v>0</v>
      </c>
      <c r="AE63" s="14">
        <f ca="1">SOLID!AI74</f>
        <v>0</v>
      </c>
      <c r="AF63" s="14">
        <f ca="1">SOLID!AJ74</f>
        <v>0</v>
      </c>
      <c r="AG63" s="14">
        <f ca="1">SOLID!AK74</f>
        <v>0</v>
      </c>
      <c r="AH63" s="14">
        <f ca="1">SOLID!AL74</f>
        <v>0</v>
      </c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</row>
    <row r="64" spans="1:94" ht="21.75" hidden="1" outlineLevel="1" thickBot="1" x14ac:dyDescent="0.4">
      <c r="A64" s="35">
        <f>SOLID!E75</f>
        <v>1</v>
      </c>
      <c r="B64" s="16">
        <f>SOLID!F75</f>
        <v>0</v>
      </c>
      <c r="C64" s="16">
        <f>SOLID!G75</f>
        <v>0</v>
      </c>
      <c r="D64" s="16">
        <f>SOLID!H75</f>
        <v>0</v>
      </c>
      <c r="E64" s="16">
        <f>SOLID!I75</f>
        <v>0</v>
      </c>
      <c r="F64" s="14">
        <f>SOLID!J75</f>
        <v>0</v>
      </c>
      <c r="G64" s="14">
        <f>SOLID!K75</f>
        <v>0</v>
      </c>
      <c r="H64" s="14">
        <f>SOLID!L75</f>
        <v>0</v>
      </c>
      <c r="I64" s="14">
        <f>SOLID!M75</f>
        <v>0</v>
      </c>
      <c r="J64" s="14">
        <f>SOLID!N75</f>
        <v>0</v>
      </c>
      <c r="K64" s="14">
        <f>SOLID!O75</f>
        <v>0</v>
      </c>
      <c r="L64" s="14">
        <f>SOLID!P75</f>
        <v>0</v>
      </c>
      <c r="M64" s="14">
        <f>SOLID!Q75</f>
        <v>0</v>
      </c>
      <c r="N64" s="14">
        <f>SOLID!R75</f>
        <v>0</v>
      </c>
      <c r="O64" s="14">
        <f>SOLID!S75</f>
        <v>0</v>
      </c>
      <c r="P64" s="14">
        <f>SOLID!T75</f>
        <v>0</v>
      </c>
      <c r="Q64" s="14">
        <f>SOLID!U75</f>
        <v>0</v>
      </c>
      <c r="R64" s="14">
        <f>SOLID!V75</f>
        <v>0</v>
      </c>
      <c r="S64" s="14">
        <f>SOLID!W75</f>
        <v>0</v>
      </c>
      <c r="T64" s="14">
        <f>SOLID!X75</f>
        <v>0</v>
      </c>
      <c r="U64" s="14">
        <f>SOLID!Y75</f>
        <v>0</v>
      </c>
      <c r="V64" s="14">
        <f>SOLID!Z75</f>
        <v>0</v>
      </c>
      <c r="W64" s="14">
        <f>SOLID!AA75</f>
        <v>0</v>
      </c>
      <c r="X64" s="14">
        <f>SOLID!AB75</f>
        <v>0</v>
      </c>
      <c r="Y64" s="14">
        <f>SOLID!AC75</f>
        <v>0</v>
      </c>
      <c r="Z64" s="14">
        <f>SOLID!AD75</f>
        <v>0</v>
      </c>
      <c r="AA64" s="14">
        <f>SOLID!AE75</f>
        <v>0</v>
      </c>
      <c r="AB64" s="14">
        <f>SOLID!AF75</f>
        <v>0</v>
      </c>
      <c r="AC64" s="14">
        <f>SOLID!AG75</f>
        <v>0</v>
      </c>
      <c r="AD64" s="14">
        <f>SOLID!AH75</f>
        <v>0</v>
      </c>
      <c r="AE64" s="14">
        <f>SOLID!AI75</f>
        <v>0</v>
      </c>
      <c r="AF64" s="14">
        <f>SOLID!AJ75</f>
        <v>0</v>
      </c>
      <c r="AG64" s="14">
        <f>SOLID!AK75</f>
        <v>0</v>
      </c>
      <c r="AH64" s="14">
        <f>SOLID!AL75</f>
        <v>0</v>
      </c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</row>
    <row r="65" spans="1:94" ht="22.5" collapsed="1" thickTop="1" thickBot="1" x14ac:dyDescent="0.4">
      <c r="A65" s="38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55"/>
      <c r="BK65" s="55"/>
      <c r="BL65" s="55"/>
      <c r="BM65" s="55"/>
      <c r="BN65" s="55"/>
      <c r="BO65" s="55"/>
      <c r="BP65" s="55"/>
      <c r="BQ65" s="55"/>
      <c r="BR65" s="55"/>
      <c r="BS65" s="55"/>
      <c r="BT65" s="55"/>
      <c r="BU65" s="55"/>
      <c r="BV65" s="55"/>
      <c r="BW65" s="55"/>
      <c r="BX65" s="5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55"/>
      <c r="CO65" s="55"/>
      <c r="CP65" s="55"/>
    </row>
    <row r="66" spans="1:94" ht="22.5" thickTop="1" thickBot="1" x14ac:dyDescent="0.4">
      <c r="A66" s="4" t="s">
        <v>31</v>
      </c>
      <c r="B66" s="72">
        <f>ALL!F45</f>
        <v>273.10000000000002</v>
      </c>
      <c r="C66" s="72">
        <f>ALL!G45</f>
        <v>293.3</v>
      </c>
      <c r="D66" s="72">
        <f>ALL!H45</f>
        <v>313.5</v>
      </c>
      <c r="E66" s="72">
        <f>ALL!I45</f>
        <v>333.7</v>
      </c>
      <c r="F66" s="4">
        <f>ALL!J45</f>
        <v>353.9</v>
      </c>
      <c r="G66" s="4">
        <f>ALL!K45</f>
        <v>434.7</v>
      </c>
      <c r="H66" s="4">
        <f>ALL!L45</f>
        <v>454.9</v>
      </c>
      <c r="I66" s="4">
        <f>ALL!M45</f>
        <v>475.1</v>
      </c>
      <c r="J66" s="4">
        <f>ALL!N45</f>
        <v>495.2</v>
      </c>
      <c r="K66" s="4">
        <f>ALL!O45</f>
        <v>515.4</v>
      </c>
      <c r="L66" s="4">
        <f>ALL!P45</f>
        <v>535.6</v>
      </c>
      <c r="M66" s="4">
        <f>ALL!Q45</f>
        <v>555.79999999999995</v>
      </c>
      <c r="N66" s="4">
        <f>ALL!R45</f>
        <v>576</v>
      </c>
      <c r="O66" s="4">
        <f>ALL!S45</f>
        <v>596.20000000000005</v>
      </c>
      <c r="P66" s="4">
        <f>ALL!T45</f>
        <v>616.4</v>
      </c>
      <c r="Q66" s="4">
        <f>ALL!U45</f>
        <v>636.6</v>
      </c>
      <c r="R66" s="4">
        <f>ALL!V45</f>
        <v>656.8</v>
      </c>
      <c r="S66" s="4">
        <f>ALL!W45</f>
        <v>677</v>
      </c>
      <c r="T66" s="4">
        <f>ALL!X45</f>
        <v>757.7</v>
      </c>
      <c r="U66" s="4">
        <f>ALL!Y45</f>
        <v>838.5</v>
      </c>
      <c r="V66" s="4">
        <f>ALL!Z45</f>
        <v>919.2</v>
      </c>
      <c r="W66" s="4">
        <f>ALL!AA45</f>
        <v>1000</v>
      </c>
      <c r="X66" s="4">
        <f>ALL!AB45</f>
        <v>0</v>
      </c>
      <c r="Y66" s="4">
        <f>ALL!AC45</f>
        <v>0</v>
      </c>
      <c r="Z66" s="4">
        <f>ALL!AD45</f>
        <v>0</v>
      </c>
      <c r="AA66" s="4">
        <f>ALL!AE45</f>
        <v>0</v>
      </c>
      <c r="AB66" s="4">
        <f>ALL!AF45</f>
        <v>0</v>
      </c>
      <c r="AC66" s="4">
        <f>ALL!AG45</f>
        <v>0</v>
      </c>
      <c r="AD66" s="4">
        <f>ALL!AH45</f>
        <v>0</v>
      </c>
      <c r="AE66" s="4">
        <f>ALL!AI45</f>
        <v>0</v>
      </c>
      <c r="AF66" s="4">
        <f>ALL!AJ45</f>
        <v>0</v>
      </c>
      <c r="AG66" s="4">
        <f>ALL!AK45</f>
        <v>0</v>
      </c>
      <c r="AH66" s="4">
        <f>ALL!AL45</f>
        <v>0</v>
      </c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55"/>
      <c r="BK66" s="55"/>
      <c r="BL66" s="55"/>
      <c r="BM66" s="55"/>
      <c r="BN66" s="55"/>
      <c r="BO66" s="55"/>
      <c r="BP66" s="55"/>
      <c r="BQ66" s="55"/>
      <c r="BR66" s="55"/>
      <c r="BS66" s="55"/>
      <c r="BT66" s="55"/>
      <c r="BU66" s="55"/>
      <c r="BV66" s="55"/>
      <c r="BW66" s="55"/>
      <c r="BX66" s="5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55"/>
      <c r="CO66" s="55"/>
      <c r="CP66" s="55"/>
    </row>
    <row r="67" spans="1:94" ht="22.5" hidden="1" outlineLevel="1" thickTop="1" thickBot="1" x14ac:dyDescent="0.4">
      <c r="A67" s="36" t="str">
        <f>ALL!E46</f>
        <v>*Se[m]</v>
      </c>
      <c r="B67" s="16">
        <f ca="1">ALL!F46</f>
        <v>-23.56</v>
      </c>
      <c r="C67" s="16">
        <f ca="1">ALL!G46</f>
        <v>-22.32</v>
      </c>
      <c r="D67" s="16">
        <f ca="1">ALL!H46</f>
        <v>-21.49</v>
      </c>
      <c r="E67" s="16">
        <f ca="1">ALL!I46</f>
        <v>-21.1</v>
      </c>
      <c r="F67" s="14">
        <f ca="1">ALL!J46</f>
        <v>-21.07</v>
      </c>
      <c r="G67" s="14">
        <f ca="1">ALL!K46</f>
        <v>-21.96</v>
      </c>
      <c r="H67" s="14">
        <f ca="1">ALL!L46</f>
        <v>-22.15</v>
      </c>
      <c r="I67" s="14">
        <f ca="1">ALL!M46</f>
        <v>-22.33</v>
      </c>
      <c r="J67" s="14">
        <f ca="1">ALL!N46</f>
        <v>-22.53</v>
      </c>
      <c r="K67" s="14">
        <f ca="1">ALL!O46</f>
        <v>-22.76</v>
      </c>
      <c r="L67" s="14">
        <f ca="1">ALL!P46</f>
        <v>-23.03</v>
      </c>
      <c r="M67" s="14">
        <f ca="1">ALL!Q46</f>
        <v>-23.31</v>
      </c>
      <c r="N67" s="14">
        <f ca="1">ALL!R46</f>
        <v>-23.6</v>
      </c>
      <c r="O67" s="14">
        <f ca="1">ALL!S46</f>
        <v>-23.89</v>
      </c>
      <c r="P67" s="14">
        <f ca="1">ALL!T46</f>
        <v>-24.17</v>
      </c>
      <c r="Q67" s="14">
        <f ca="1">ALL!U46</f>
        <v>-24.46</v>
      </c>
      <c r="R67" s="14">
        <f ca="1">ALL!V46</f>
        <v>-24.74</v>
      </c>
      <c r="S67" s="14">
        <f ca="1">ALL!W46</f>
        <v>-25.02</v>
      </c>
      <c r="T67" s="14">
        <f ca="1">ALL!X46</f>
        <v>-26.11</v>
      </c>
      <c r="U67" s="14">
        <f ca="1">ALL!Y46</f>
        <v>-27.16</v>
      </c>
      <c r="V67" s="14">
        <f ca="1">ALL!Z46</f>
        <v>-28.16</v>
      </c>
      <c r="W67" s="14">
        <f ca="1">ALL!AA46</f>
        <v>-29.13</v>
      </c>
      <c r="X67" s="14">
        <f ca="1">ALL!AB46</f>
        <v>0</v>
      </c>
      <c r="Y67" s="14">
        <f ca="1">ALL!AC46</f>
        <v>0</v>
      </c>
      <c r="Z67" s="14">
        <f ca="1">ALL!AD46</f>
        <v>0</v>
      </c>
      <c r="AA67" s="14">
        <f ca="1">ALL!AE46</f>
        <v>0</v>
      </c>
      <c r="AB67" s="14">
        <f ca="1">ALL!AF46</f>
        <v>0</v>
      </c>
      <c r="AC67" s="14">
        <f ca="1">ALL!AG46</f>
        <v>0</v>
      </c>
      <c r="AD67" s="14">
        <f ca="1">ALL!AH46</f>
        <v>0</v>
      </c>
      <c r="AE67" s="14">
        <f ca="1">ALL!AI46</f>
        <v>0</v>
      </c>
      <c r="AF67" s="14">
        <f ca="1">ALL!AJ46</f>
        <v>0</v>
      </c>
      <c r="AG67" s="14">
        <f ca="1">ALL!AK46</f>
        <v>0</v>
      </c>
      <c r="AH67" s="14">
        <f ca="1">ALL!AL46</f>
        <v>0</v>
      </c>
      <c r="AI67" s="14">
        <f>ALL!AM46</f>
        <v>0</v>
      </c>
    </row>
    <row r="68" spans="1:94" ht="21.75" hidden="1" outlineLevel="1" thickBot="1" x14ac:dyDescent="0.4">
      <c r="A68" s="36" t="str">
        <f>ALL!E47</f>
        <v>*GeSe2</v>
      </c>
      <c r="B68" s="16">
        <f ca="1">ALL!F47</f>
        <v>-64.06</v>
      </c>
      <c r="C68" s="16">
        <f ca="1">ALL!G47</f>
        <v>-60.67</v>
      </c>
      <c r="D68" s="16">
        <f ca="1">ALL!H47</f>
        <v>-57.97</v>
      </c>
      <c r="E68" s="16">
        <f ca="1">ALL!I47</f>
        <v>-55.92</v>
      </c>
      <c r="F68" s="14">
        <f ca="1">ALL!J47</f>
        <v>-54.46</v>
      </c>
      <c r="G68" s="14">
        <f ca="1">ALL!K47</f>
        <v>-51.398000000000003</v>
      </c>
      <c r="H68" s="14">
        <f ca="1">ALL!L47</f>
        <v>-51.046999999999997</v>
      </c>
      <c r="I68" s="14">
        <f ca="1">ALL!M47</f>
        <v>-50.923999999999999</v>
      </c>
      <c r="J68" s="14">
        <f ca="1">ALL!N47</f>
        <v>-51.050000000000004</v>
      </c>
      <c r="K68" s="14">
        <f ca="1">ALL!O47</f>
        <v>-51.386000000000003</v>
      </c>
      <c r="L68" s="14">
        <f ca="1">ALL!P47</f>
        <v>-51.891000000000005</v>
      </c>
      <c r="M68" s="14">
        <f ca="1">ALL!Q47</f>
        <v>-52.461999999999996</v>
      </c>
      <c r="N68" s="14">
        <f ca="1">ALL!R47</f>
        <v>-53.074000000000005</v>
      </c>
      <c r="O68" s="14">
        <f ca="1">ALL!S47</f>
        <v>-53.695999999999998</v>
      </c>
      <c r="P68" s="14">
        <f ca="1">ALL!T47</f>
        <v>-54.303000000000004</v>
      </c>
      <c r="Q68" s="14">
        <f ca="1">ALL!U47</f>
        <v>-54.931000000000004</v>
      </c>
      <c r="R68" s="14">
        <f ca="1">ALL!V47</f>
        <v>-55.54</v>
      </c>
      <c r="S68" s="14">
        <f ca="1">ALL!W47</f>
        <v>-56.149000000000001</v>
      </c>
      <c r="T68" s="14">
        <f ca="1">ALL!X47</f>
        <v>-58.524999999999999</v>
      </c>
      <c r="U68" s="14">
        <f ca="1">ALL!Y47</f>
        <v>-60.816000000000003</v>
      </c>
      <c r="V68" s="14">
        <f ca="1">ALL!Z47</f>
        <v>-63.000999999999998</v>
      </c>
      <c r="W68" s="14">
        <f ca="1">ALL!AA47</f>
        <v>-65.117999999999995</v>
      </c>
      <c r="X68" s="14">
        <f ca="1">ALL!AB47</f>
        <v>0</v>
      </c>
      <c r="Y68" s="14">
        <f ca="1">ALL!AC47</f>
        <v>0</v>
      </c>
      <c r="Z68" s="14">
        <f ca="1">ALL!AD47</f>
        <v>0</v>
      </c>
      <c r="AA68" s="14">
        <f ca="1">ALL!AE47</f>
        <v>0</v>
      </c>
      <c r="AB68" s="14">
        <f ca="1">ALL!AF47</f>
        <v>0</v>
      </c>
      <c r="AC68" s="14">
        <f ca="1">ALL!AG47</f>
        <v>0</v>
      </c>
      <c r="AD68" s="14">
        <f ca="1">ALL!AH47</f>
        <v>0</v>
      </c>
      <c r="AE68" s="14">
        <f ca="1">ALL!AI47</f>
        <v>0</v>
      </c>
      <c r="AF68" s="14">
        <f ca="1">ALL!AJ47</f>
        <v>0</v>
      </c>
      <c r="AG68" s="14">
        <f ca="1">ALL!AK47</f>
        <v>0</v>
      </c>
      <c r="AH68" s="14">
        <f ca="1">ALL!AL47</f>
        <v>0</v>
      </c>
      <c r="AI68" s="14">
        <f>ALL!AM47</f>
        <v>0</v>
      </c>
    </row>
    <row r="69" spans="1:94" ht="21.75" hidden="1" outlineLevel="1" thickBot="1" x14ac:dyDescent="0.4">
      <c r="A69" s="36" t="str">
        <f>ALL!E48</f>
        <v>*GeSe</v>
      </c>
      <c r="B69" s="16">
        <f ca="1">ALL!F48</f>
        <v>-40.5</v>
      </c>
      <c r="C69" s="16">
        <f ca="1">ALL!G48</f>
        <v>-38.35</v>
      </c>
      <c r="D69" s="16">
        <f ca="1">ALL!H48</f>
        <v>-36.479999999999997</v>
      </c>
      <c r="E69" s="16">
        <f ca="1">ALL!I48</f>
        <v>-34.82</v>
      </c>
      <c r="F69" s="14">
        <f ca="1">ALL!J48</f>
        <v>-33.39</v>
      </c>
      <c r="G69" s="14">
        <f ca="1">ALL!K48</f>
        <v>-29.438000000000002</v>
      </c>
      <c r="H69" s="14">
        <f ca="1">ALL!L48</f>
        <v>-28.896999999999998</v>
      </c>
      <c r="I69" s="14">
        <f ca="1">ALL!M48</f>
        <v>-28.593999999999998</v>
      </c>
      <c r="J69" s="14">
        <f ca="1">ALL!N48</f>
        <v>-28.520000000000003</v>
      </c>
      <c r="K69" s="14">
        <f ca="1">ALL!O48</f>
        <v>-28.626000000000001</v>
      </c>
      <c r="L69" s="14">
        <f ca="1">ALL!P48</f>
        <v>-28.861000000000001</v>
      </c>
      <c r="M69" s="14">
        <f ca="1">ALL!Q48</f>
        <v>-29.151999999999997</v>
      </c>
      <c r="N69" s="14">
        <f ca="1">ALL!R48</f>
        <v>-29.474</v>
      </c>
      <c r="O69" s="14">
        <f ca="1">ALL!S48</f>
        <v>-29.806000000000001</v>
      </c>
      <c r="P69" s="14">
        <f ca="1">ALL!T48</f>
        <v>-30.133000000000003</v>
      </c>
      <c r="Q69" s="14">
        <f ca="1">ALL!U48</f>
        <v>-30.471</v>
      </c>
      <c r="R69" s="14">
        <f ca="1">ALL!V48</f>
        <v>-30.799999999999997</v>
      </c>
      <c r="S69" s="14">
        <f ca="1">ALL!W48</f>
        <v>-31.128999999999998</v>
      </c>
      <c r="T69" s="14">
        <f ca="1">ALL!X48</f>
        <v>-32.414999999999999</v>
      </c>
      <c r="U69" s="14">
        <f ca="1">ALL!Y48</f>
        <v>-33.655999999999999</v>
      </c>
      <c r="V69" s="14">
        <f ca="1">ALL!Z48</f>
        <v>-34.841000000000001</v>
      </c>
      <c r="W69" s="14">
        <f ca="1">ALL!AA48</f>
        <v>-35.988</v>
      </c>
      <c r="X69" s="14">
        <f ca="1">ALL!AB48</f>
        <v>0</v>
      </c>
      <c r="Y69" s="14">
        <f ca="1">ALL!AC48</f>
        <v>0</v>
      </c>
      <c r="Z69" s="14">
        <f ca="1">ALL!AD48</f>
        <v>0</v>
      </c>
      <c r="AA69" s="14">
        <f ca="1">ALL!AE48</f>
        <v>0</v>
      </c>
      <c r="AB69" s="14">
        <f ca="1">ALL!AF48</f>
        <v>0</v>
      </c>
      <c r="AC69" s="14">
        <f ca="1">ALL!AG48</f>
        <v>0</v>
      </c>
      <c r="AD69" s="14">
        <f ca="1">ALL!AH48</f>
        <v>0</v>
      </c>
      <c r="AE69" s="14">
        <f ca="1">ALL!AI48</f>
        <v>0</v>
      </c>
      <c r="AF69" s="14">
        <f ca="1">ALL!AJ48</f>
        <v>0</v>
      </c>
      <c r="AG69" s="14">
        <f ca="1">ALL!AK48</f>
        <v>0</v>
      </c>
      <c r="AH69" s="14">
        <f ca="1">ALL!AL48</f>
        <v>0</v>
      </c>
      <c r="AI69" s="14">
        <f>ALL!AM48</f>
        <v>0</v>
      </c>
    </row>
    <row r="70" spans="1:94" ht="21.75" hidden="1" outlineLevel="1" thickBot="1" x14ac:dyDescent="0.4">
      <c r="A70" s="36" t="str">
        <f>ALL!E49</f>
        <v>Ar</v>
      </c>
      <c r="B70" s="16">
        <f ca="1">ALL!F49</f>
        <v>-18.62</v>
      </c>
      <c r="C70" s="16">
        <f ca="1">ALL!G49</f>
        <v>-18.61</v>
      </c>
      <c r="D70" s="16">
        <f ca="1">ALL!H49</f>
        <v>-18.61</v>
      </c>
      <c r="E70" s="16">
        <f ca="1">ALL!I49</f>
        <v>-18.63</v>
      </c>
      <c r="F70" s="14">
        <f ca="1">ALL!J49</f>
        <v>-18.649999999999999</v>
      </c>
      <c r="G70" s="14">
        <f ca="1">ALL!K49</f>
        <v>-18.77</v>
      </c>
      <c r="H70" s="14">
        <f ca="1">ALL!L49</f>
        <v>-18.809999999999999</v>
      </c>
      <c r="I70" s="14">
        <f ca="1">ALL!M49</f>
        <v>-18.84</v>
      </c>
      <c r="J70" s="14">
        <f ca="1">ALL!N49</f>
        <v>-18.88</v>
      </c>
      <c r="K70" s="14">
        <f ca="1">ALL!O49</f>
        <v>-18.93</v>
      </c>
      <c r="L70" s="14">
        <f ca="1">ALL!P49</f>
        <v>-18.97</v>
      </c>
      <c r="M70" s="14">
        <f ca="1">ALL!Q49</f>
        <v>-19.010000000000002</v>
      </c>
      <c r="N70" s="14">
        <f ca="1">ALL!R49</f>
        <v>-19.05</v>
      </c>
      <c r="O70" s="14">
        <f ca="1">ALL!S49</f>
        <v>-19.09</v>
      </c>
      <c r="P70" s="14">
        <f ca="1">ALL!T49</f>
        <v>-19.14</v>
      </c>
      <c r="Q70" s="14">
        <f ca="1">ALL!U49</f>
        <v>-19.18</v>
      </c>
      <c r="R70" s="14">
        <f ca="1">ALL!V49</f>
        <v>-19.22</v>
      </c>
      <c r="S70" s="14">
        <f ca="1">ALL!W49</f>
        <v>-19.260000000000002</v>
      </c>
      <c r="T70" s="14">
        <f ca="1">ALL!X49</f>
        <v>-19.43</v>
      </c>
      <c r="U70" s="14">
        <f ca="1">ALL!Y49</f>
        <v>-19.59</v>
      </c>
      <c r="V70" s="14">
        <f ca="1">ALL!Z49</f>
        <v>-19.739999999999998</v>
      </c>
      <c r="W70" s="14">
        <f ca="1">ALL!AA49</f>
        <v>-19.88</v>
      </c>
      <c r="X70" s="14">
        <f ca="1">ALL!AB49</f>
        <v>0</v>
      </c>
      <c r="Y70" s="14">
        <f ca="1">ALL!AC49</f>
        <v>0</v>
      </c>
      <c r="Z70" s="14">
        <f ca="1">ALL!AD49</f>
        <v>0</v>
      </c>
      <c r="AA70" s="14">
        <f ca="1">ALL!AE49</f>
        <v>0</v>
      </c>
      <c r="AB70" s="14">
        <f ca="1">ALL!AF49</f>
        <v>0</v>
      </c>
      <c r="AC70" s="14">
        <f ca="1">ALL!AG49</f>
        <v>0</v>
      </c>
      <c r="AD70" s="14">
        <f ca="1">ALL!AH49</f>
        <v>0</v>
      </c>
      <c r="AE70" s="14">
        <f ca="1">ALL!AI49</f>
        <v>0</v>
      </c>
      <c r="AF70" s="14">
        <f ca="1">ALL!AJ49</f>
        <v>0</v>
      </c>
      <c r="AG70" s="14">
        <f ca="1">ALL!AK49</f>
        <v>0</v>
      </c>
      <c r="AH70" s="14">
        <f ca="1">ALL!AL49</f>
        <v>0</v>
      </c>
      <c r="AI70" s="14">
        <f>ALL!AM49</f>
        <v>0</v>
      </c>
    </row>
    <row r="71" spans="1:94" ht="21.75" hidden="1" outlineLevel="1" thickBot="1" x14ac:dyDescent="0.4">
      <c r="A71" s="36" t="str">
        <f>ALL!E50</f>
        <v>(l)GeSe2</v>
      </c>
      <c r="B71" s="16">
        <f ca="1">ALL!F50</f>
        <v>-64.06</v>
      </c>
      <c r="C71" s="16">
        <f ca="1">ALL!G50</f>
        <v>-60.67</v>
      </c>
      <c r="D71" s="16">
        <f ca="1">ALL!H50</f>
        <v>-57.97</v>
      </c>
      <c r="E71" s="16">
        <f ca="1">ALL!I50</f>
        <v>-55.92</v>
      </c>
      <c r="F71" s="14">
        <f ca="1">ALL!J50</f>
        <v>-54.46</v>
      </c>
      <c r="G71" s="14">
        <f ca="1">ALL!K50</f>
        <v>-51.398000000000003</v>
      </c>
      <c r="H71" s="14">
        <f ca="1">ALL!L50</f>
        <v>-51.046999999999997</v>
      </c>
      <c r="I71" s="14">
        <f ca="1">ALL!M50</f>
        <v>-50.923999999999999</v>
      </c>
      <c r="J71" s="14">
        <f ca="1">ALL!N50</f>
        <v>-51.050000000000004</v>
      </c>
      <c r="K71" s="14">
        <f ca="1">ALL!O50</f>
        <v>-51.386000000000003</v>
      </c>
      <c r="L71" s="14">
        <f ca="1">ALL!P50</f>
        <v>-51.891000000000005</v>
      </c>
      <c r="M71" s="14">
        <f ca="1">ALL!Q50</f>
        <v>-52.461999999999996</v>
      </c>
      <c r="N71" s="14">
        <f ca="1">ALL!R50</f>
        <v>-53.074000000000005</v>
      </c>
      <c r="O71" s="14">
        <f ca="1">ALL!S50</f>
        <v>-53.695999999999998</v>
      </c>
      <c r="P71" s="14">
        <f ca="1">ALL!T50</f>
        <v>-54.303000000000004</v>
      </c>
      <c r="Q71" s="14">
        <f ca="1">ALL!U50</f>
        <v>-54.931000000000004</v>
      </c>
      <c r="R71" s="14">
        <f ca="1">ALL!V50</f>
        <v>-55.54</v>
      </c>
      <c r="S71" s="14">
        <f ca="1">ALL!W50</f>
        <v>-56.149000000000001</v>
      </c>
      <c r="T71" s="14">
        <f ca="1">ALL!X50</f>
        <v>-58.524999999999999</v>
      </c>
      <c r="U71" s="14">
        <f ca="1">ALL!Y50</f>
        <v>-60.816000000000003</v>
      </c>
      <c r="V71" s="14">
        <f ca="1">ALL!Z50</f>
        <v>-63.000999999999998</v>
      </c>
      <c r="W71" s="14">
        <f ca="1">ALL!AA50</f>
        <v>-65.117999999999995</v>
      </c>
      <c r="X71" s="14">
        <f ca="1">ALL!AB50</f>
        <v>0</v>
      </c>
      <c r="Y71" s="14">
        <f ca="1">ALL!AC50</f>
        <v>0</v>
      </c>
      <c r="Z71" s="14">
        <f ca="1">ALL!AD50</f>
        <v>0</v>
      </c>
      <c r="AA71" s="14">
        <f ca="1">ALL!AE50</f>
        <v>0</v>
      </c>
      <c r="AB71" s="14">
        <f ca="1">ALL!AF50</f>
        <v>0</v>
      </c>
      <c r="AC71" s="14">
        <f ca="1">ALL!AG50</f>
        <v>0</v>
      </c>
      <c r="AD71" s="14">
        <f ca="1">ALL!AH50</f>
        <v>0</v>
      </c>
      <c r="AE71" s="14">
        <f ca="1">ALL!AI50</f>
        <v>0</v>
      </c>
      <c r="AF71" s="14">
        <f ca="1">ALL!AJ50</f>
        <v>0</v>
      </c>
      <c r="AG71" s="14">
        <f ca="1">ALL!AK50</f>
        <v>0</v>
      </c>
      <c r="AH71" s="14">
        <f ca="1">ALL!AL50</f>
        <v>0</v>
      </c>
      <c r="AI71" s="14">
        <f>ALL!AM50</f>
        <v>0</v>
      </c>
    </row>
    <row r="72" spans="1:94" ht="21.75" hidden="1" outlineLevel="1" thickBot="1" x14ac:dyDescent="0.4">
      <c r="A72" s="36" t="str">
        <f>ALL!E51</f>
        <v>(l)GeSe</v>
      </c>
      <c r="B72" s="16">
        <f ca="1">ALL!F51</f>
        <v>-40.5</v>
      </c>
      <c r="C72" s="16">
        <f ca="1">ALL!G51</f>
        <v>-38.35</v>
      </c>
      <c r="D72" s="16">
        <f ca="1">ALL!H51</f>
        <v>-36.479999999999997</v>
      </c>
      <c r="E72" s="16">
        <f ca="1">ALL!I51</f>
        <v>-34.82</v>
      </c>
      <c r="F72" s="14">
        <f ca="1">ALL!J51</f>
        <v>-33.39</v>
      </c>
      <c r="G72" s="14">
        <f ca="1">ALL!K51</f>
        <v>-29.438000000000002</v>
      </c>
      <c r="H72" s="14">
        <f ca="1">ALL!L51</f>
        <v>-28.896999999999998</v>
      </c>
      <c r="I72" s="14">
        <f ca="1">ALL!M51</f>
        <v>-28.593999999999998</v>
      </c>
      <c r="J72" s="14">
        <f ca="1">ALL!N51</f>
        <v>-28.520000000000003</v>
      </c>
      <c r="K72" s="14">
        <f ca="1">ALL!O51</f>
        <v>-28.626000000000001</v>
      </c>
      <c r="L72" s="14">
        <f ca="1">ALL!P51</f>
        <v>-28.861000000000001</v>
      </c>
      <c r="M72" s="14">
        <f ca="1">ALL!Q51</f>
        <v>-29.151999999999997</v>
      </c>
      <c r="N72" s="14">
        <f ca="1">ALL!R51</f>
        <v>-29.474</v>
      </c>
      <c r="O72" s="14">
        <f ca="1">ALL!S51</f>
        <v>-29.806000000000001</v>
      </c>
      <c r="P72" s="14">
        <f ca="1">ALL!T51</f>
        <v>-30.133000000000003</v>
      </c>
      <c r="Q72" s="14">
        <f ca="1">ALL!U51</f>
        <v>-30.471</v>
      </c>
      <c r="R72" s="14">
        <f ca="1">ALL!V51</f>
        <v>-30.799999999999997</v>
      </c>
      <c r="S72" s="14">
        <f ca="1">ALL!W51</f>
        <v>-31.128999999999998</v>
      </c>
      <c r="T72" s="14">
        <f ca="1">ALL!X51</f>
        <v>-32.414999999999999</v>
      </c>
      <c r="U72" s="14">
        <f ca="1">ALL!Y51</f>
        <v>-33.655999999999999</v>
      </c>
      <c r="V72" s="14">
        <f ca="1">ALL!Z51</f>
        <v>-34.841000000000001</v>
      </c>
      <c r="W72" s="14">
        <f ca="1">ALL!AA51</f>
        <v>-35.988</v>
      </c>
      <c r="X72" s="14">
        <f ca="1">ALL!AB51</f>
        <v>0</v>
      </c>
      <c r="Y72" s="14">
        <f ca="1">ALL!AC51</f>
        <v>0</v>
      </c>
      <c r="Z72" s="14">
        <f ca="1">ALL!AD51</f>
        <v>0</v>
      </c>
      <c r="AA72" s="14">
        <f ca="1">ALL!AE51</f>
        <v>0</v>
      </c>
      <c r="AB72" s="14">
        <f ca="1">ALL!AF51</f>
        <v>0</v>
      </c>
      <c r="AC72" s="14">
        <f ca="1">ALL!AG51</f>
        <v>0</v>
      </c>
      <c r="AD72" s="14">
        <f ca="1">ALL!AH51</f>
        <v>0</v>
      </c>
      <c r="AE72" s="14">
        <f ca="1">ALL!AI51</f>
        <v>0</v>
      </c>
      <c r="AF72" s="14">
        <f ca="1">ALL!AJ51</f>
        <v>0</v>
      </c>
      <c r="AG72" s="14">
        <f ca="1">ALL!AK51</f>
        <v>0</v>
      </c>
      <c r="AH72" s="14">
        <f ca="1">ALL!AL51</f>
        <v>0</v>
      </c>
      <c r="AI72" s="14">
        <f>ALL!AM51</f>
        <v>0</v>
      </c>
    </row>
    <row r="73" spans="1:94" ht="21.75" hidden="1" outlineLevel="1" thickBot="1" x14ac:dyDescent="0.4">
      <c r="A73" s="36" t="str">
        <f>ALL!E52</f>
        <v>(l)Ge</v>
      </c>
      <c r="B73" s="16">
        <f ca="1">ALL!F52</f>
        <v>-16.940000000000001</v>
      </c>
      <c r="C73" s="16">
        <f ca="1">ALL!G52</f>
        <v>-16.03</v>
      </c>
      <c r="D73" s="16">
        <f ca="1">ALL!H52</f>
        <v>-14.99</v>
      </c>
      <c r="E73" s="16">
        <f ca="1">ALL!I52</f>
        <v>-13.72</v>
      </c>
      <c r="F73" s="14">
        <f ca="1">ALL!J52</f>
        <v>-12.32</v>
      </c>
      <c r="G73" s="14">
        <f ca="1">ALL!K52</f>
        <v>-7.4779999999999998</v>
      </c>
      <c r="H73" s="14">
        <f ca="1">ALL!L52</f>
        <v>-6.7469999999999999</v>
      </c>
      <c r="I73" s="14">
        <f ca="1">ALL!M52</f>
        <v>-6.2640000000000002</v>
      </c>
      <c r="J73" s="14">
        <f ca="1">ALL!N52</f>
        <v>-5.99</v>
      </c>
      <c r="K73" s="14">
        <f ca="1">ALL!O52</f>
        <v>-5.8659999999999997</v>
      </c>
      <c r="L73" s="14">
        <f ca="1">ALL!P52</f>
        <v>-5.8310000000000004</v>
      </c>
      <c r="M73" s="14">
        <f ca="1">ALL!Q52</f>
        <v>-5.8419999999999996</v>
      </c>
      <c r="N73" s="14">
        <f ca="1">ALL!R52</f>
        <v>-5.8739999999999997</v>
      </c>
      <c r="O73" s="14">
        <f ca="1">ALL!S52</f>
        <v>-5.9160000000000004</v>
      </c>
      <c r="P73" s="14">
        <f ca="1">ALL!T52</f>
        <v>-5.9630000000000001</v>
      </c>
      <c r="Q73" s="14">
        <f ca="1">ALL!U52</f>
        <v>-6.0110000000000001</v>
      </c>
      <c r="R73" s="14">
        <f ca="1">ALL!V52</f>
        <v>-6.06</v>
      </c>
      <c r="S73" s="14">
        <f ca="1">ALL!W52</f>
        <v>-6.109</v>
      </c>
      <c r="T73" s="14">
        <f ca="1">ALL!X52</f>
        <v>-6.3049999999999997</v>
      </c>
      <c r="U73" s="14">
        <f ca="1">ALL!Y52</f>
        <v>-6.4960000000000004</v>
      </c>
      <c r="V73" s="14">
        <f ca="1">ALL!Z52</f>
        <v>-6.681</v>
      </c>
      <c r="W73" s="14">
        <f ca="1">ALL!AA52</f>
        <v>-6.8579999999999997</v>
      </c>
      <c r="X73" s="14">
        <f ca="1">ALL!AB52</f>
        <v>0</v>
      </c>
      <c r="Y73" s="14">
        <f ca="1">ALL!AC52</f>
        <v>0</v>
      </c>
      <c r="Z73" s="14">
        <f ca="1">ALL!AD52</f>
        <v>0</v>
      </c>
      <c r="AA73" s="14">
        <f ca="1">ALL!AE52</f>
        <v>0</v>
      </c>
      <c r="AB73" s="14">
        <f ca="1">ALL!AF52</f>
        <v>0</v>
      </c>
      <c r="AC73" s="14">
        <f ca="1">ALL!AG52</f>
        <v>0</v>
      </c>
      <c r="AD73" s="14">
        <f ca="1">ALL!AH52</f>
        <v>0</v>
      </c>
      <c r="AE73" s="14">
        <f ca="1">ALL!AI52</f>
        <v>0</v>
      </c>
      <c r="AF73" s="14">
        <f ca="1">ALL!AJ52</f>
        <v>0</v>
      </c>
      <c r="AG73" s="14">
        <f ca="1">ALL!AK52</f>
        <v>0</v>
      </c>
      <c r="AH73" s="14">
        <f ca="1">ALL!AL52</f>
        <v>0</v>
      </c>
      <c r="AI73" s="14">
        <f>ALL!AM52</f>
        <v>0</v>
      </c>
    </row>
    <row r="74" spans="1:94" ht="21.75" hidden="1" outlineLevel="1" thickBot="1" x14ac:dyDescent="0.4">
      <c r="A74" s="36" t="str">
        <f>ALL!E53</f>
        <v>(l)Se</v>
      </c>
      <c r="B74" s="16">
        <f ca="1">ALL!F53</f>
        <v>-23.56</v>
      </c>
      <c r="C74" s="16">
        <f ca="1">ALL!G53</f>
        <v>-22.32</v>
      </c>
      <c r="D74" s="16">
        <f ca="1">ALL!H53</f>
        <v>-21.49</v>
      </c>
      <c r="E74" s="16">
        <f ca="1">ALL!I53</f>
        <v>-21.1</v>
      </c>
      <c r="F74" s="14">
        <f ca="1">ALL!J53</f>
        <v>-21.07</v>
      </c>
      <c r="G74" s="14">
        <f ca="1">ALL!K53</f>
        <v>-21.96</v>
      </c>
      <c r="H74" s="14">
        <f ca="1">ALL!L53</f>
        <v>-22.15</v>
      </c>
      <c r="I74" s="14">
        <f ca="1">ALL!M53</f>
        <v>-22.33</v>
      </c>
      <c r="J74" s="14">
        <f ca="1">ALL!N53</f>
        <v>-22.53</v>
      </c>
      <c r="K74" s="14">
        <f ca="1">ALL!O53</f>
        <v>-22.76</v>
      </c>
      <c r="L74" s="14">
        <f ca="1">ALL!P53</f>
        <v>-23.03</v>
      </c>
      <c r="M74" s="14">
        <f ca="1">ALL!Q53</f>
        <v>-23.31</v>
      </c>
      <c r="N74" s="14">
        <f ca="1">ALL!R53</f>
        <v>-23.6</v>
      </c>
      <c r="O74" s="14">
        <f ca="1">ALL!S53</f>
        <v>-23.89</v>
      </c>
      <c r="P74" s="14">
        <f ca="1">ALL!T53</f>
        <v>-24.17</v>
      </c>
      <c r="Q74" s="14">
        <f ca="1">ALL!U53</f>
        <v>-24.46</v>
      </c>
      <c r="R74" s="14">
        <f ca="1">ALL!V53</f>
        <v>-24.74</v>
      </c>
      <c r="S74" s="14">
        <f ca="1">ALL!W53</f>
        <v>-25.02</v>
      </c>
      <c r="T74" s="14">
        <f ca="1">ALL!X53</f>
        <v>-26.11</v>
      </c>
      <c r="U74" s="14">
        <f ca="1">ALL!Y53</f>
        <v>-27.16</v>
      </c>
      <c r="V74" s="14">
        <f ca="1">ALL!Z53</f>
        <v>-28.16</v>
      </c>
      <c r="W74" s="14">
        <f ca="1">ALL!AA53</f>
        <v>-29.13</v>
      </c>
      <c r="X74" s="14">
        <f ca="1">ALL!AB53</f>
        <v>0</v>
      </c>
      <c r="Y74" s="14">
        <f ca="1">ALL!AC53</f>
        <v>0</v>
      </c>
      <c r="Z74" s="14">
        <f ca="1">ALL!AD53</f>
        <v>0</v>
      </c>
      <c r="AA74" s="14">
        <f ca="1">ALL!AE53</f>
        <v>0</v>
      </c>
      <c r="AB74" s="14">
        <f ca="1">ALL!AF53</f>
        <v>0</v>
      </c>
      <c r="AC74" s="14">
        <f ca="1">ALL!AG53</f>
        <v>0</v>
      </c>
      <c r="AD74" s="14">
        <f ca="1">ALL!AH53</f>
        <v>0</v>
      </c>
      <c r="AE74" s="14">
        <f ca="1">ALL!AI53</f>
        <v>0</v>
      </c>
      <c r="AF74" s="14">
        <f ca="1">ALL!AJ53</f>
        <v>0</v>
      </c>
      <c r="AG74" s="14">
        <f ca="1">ALL!AK53</f>
        <v>0</v>
      </c>
      <c r="AH74" s="14">
        <f ca="1">ALL!AL53</f>
        <v>0</v>
      </c>
      <c r="AI74" s="14">
        <f>ALL!AM53</f>
        <v>0</v>
      </c>
    </row>
    <row r="75" spans="1:94" ht="21.75" hidden="1" outlineLevel="1" thickBot="1" x14ac:dyDescent="0.4">
      <c r="A75" s="36" t="str">
        <f>ALL!E54</f>
        <v>(l)Se[a]</v>
      </c>
      <c r="B75" s="16">
        <f ca="1">ALL!F54</f>
        <v>-23.56</v>
      </c>
      <c r="C75" s="16">
        <f ca="1">ALL!G54</f>
        <v>-22.32</v>
      </c>
      <c r="D75" s="16">
        <f ca="1">ALL!H54</f>
        <v>-21.49</v>
      </c>
      <c r="E75" s="16">
        <f ca="1">ALL!I54</f>
        <v>-21.1</v>
      </c>
      <c r="F75" s="14">
        <f ca="1">ALL!J54</f>
        <v>-21.07</v>
      </c>
      <c r="G75" s="14">
        <f ca="1">ALL!K54</f>
        <v>-21.96</v>
      </c>
      <c r="H75" s="14">
        <f ca="1">ALL!L54</f>
        <v>-22.15</v>
      </c>
      <c r="I75" s="14">
        <f ca="1">ALL!M54</f>
        <v>-22.33</v>
      </c>
      <c r="J75" s="14">
        <f ca="1">ALL!N54</f>
        <v>-22.53</v>
      </c>
      <c r="K75" s="14">
        <f ca="1">ALL!O54</f>
        <v>-22.76</v>
      </c>
      <c r="L75" s="14">
        <f ca="1">ALL!P54</f>
        <v>-23.03</v>
      </c>
      <c r="M75" s="14">
        <f ca="1">ALL!Q54</f>
        <v>-23.31</v>
      </c>
      <c r="N75" s="14">
        <f ca="1">ALL!R54</f>
        <v>-23.6</v>
      </c>
      <c r="O75" s="14">
        <f ca="1">ALL!S54</f>
        <v>-23.89</v>
      </c>
      <c r="P75" s="14">
        <f ca="1">ALL!T54</f>
        <v>-24.17</v>
      </c>
      <c r="Q75" s="14">
        <f ca="1">ALL!U54</f>
        <v>-24.46</v>
      </c>
      <c r="R75" s="14">
        <f ca="1">ALL!V54</f>
        <v>-24.74</v>
      </c>
      <c r="S75" s="14">
        <f ca="1">ALL!W54</f>
        <v>-25.02</v>
      </c>
      <c r="T75" s="14">
        <f ca="1">ALL!X54</f>
        <v>-26.11</v>
      </c>
      <c r="U75" s="14">
        <f ca="1">ALL!Y54</f>
        <v>-27.16</v>
      </c>
      <c r="V75" s="14">
        <f ca="1">ALL!Z54</f>
        <v>-28.16</v>
      </c>
      <c r="W75" s="14">
        <f ca="1">ALL!AA54</f>
        <v>-29.13</v>
      </c>
      <c r="X75" s="14">
        <f ca="1">ALL!AB54</f>
        <v>0</v>
      </c>
      <c r="Y75" s="14">
        <f ca="1">ALL!AC54</f>
        <v>0</v>
      </c>
      <c r="Z75" s="14">
        <f ca="1">ALL!AD54</f>
        <v>0</v>
      </c>
      <c r="AA75" s="14">
        <f ca="1">ALL!AE54</f>
        <v>0</v>
      </c>
      <c r="AB75" s="14">
        <f ca="1">ALL!AF54</f>
        <v>0</v>
      </c>
      <c r="AC75" s="14">
        <f ca="1">ALL!AG54</f>
        <v>0</v>
      </c>
      <c r="AD75" s="14">
        <f ca="1">ALL!AH54</f>
        <v>0</v>
      </c>
      <c r="AE75" s="14">
        <f ca="1">ALL!AI54</f>
        <v>0</v>
      </c>
      <c r="AF75" s="14">
        <f ca="1">ALL!AJ54</f>
        <v>0</v>
      </c>
      <c r="AG75" s="14">
        <f ca="1">ALL!AK54</f>
        <v>0</v>
      </c>
      <c r="AH75" s="14">
        <f ca="1">ALL!AL54</f>
        <v>0</v>
      </c>
      <c r="AI75" s="14">
        <f>ALL!AM54</f>
        <v>0</v>
      </c>
    </row>
    <row r="76" spans="1:94" ht="21.75" hidden="1" outlineLevel="1" thickBot="1" x14ac:dyDescent="0.4">
      <c r="A76" s="36" t="str">
        <f>ALL!E55</f>
        <v>(l)Se[m]</v>
      </c>
      <c r="B76" s="16">
        <f ca="1">ALL!F55</f>
        <v>-23.56</v>
      </c>
      <c r="C76" s="16">
        <f ca="1">ALL!G55</f>
        <v>-22.32</v>
      </c>
      <c r="D76" s="16">
        <f ca="1">ALL!H55</f>
        <v>-21.49</v>
      </c>
      <c r="E76" s="16">
        <f ca="1">ALL!I55</f>
        <v>-21.1</v>
      </c>
      <c r="F76" s="14">
        <f ca="1">ALL!J55</f>
        <v>-21.07</v>
      </c>
      <c r="G76" s="14">
        <f ca="1">ALL!K55</f>
        <v>-21.96</v>
      </c>
      <c r="H76" s="14">
        <f ca="1">ALL!L55</f>
        <v>-22.15</v>
      </c>
      <c r="I76" s="14">
        <f ca="1">ALL!M55</f>
        <v>-22.33</v>
      </c>
      <c r="J76" s="14">
        <f ca="1">ALL!N55</f>
        <v>-22.53</v>
      </c>
      <c r="K76" s="14">
        <f ca="1">ALL!O55</f>
        <v>-22.76</v>
      </c>
      <c r="L76" s="14">
        <f ca="1">ALL!P55</f>
        <v>-23.03</v>
      </c>
      <c r="M76" s="14">
        <f ca="1">ALL!Q55</f>
        <v>-23.31</v>
      </c>
      <c r="N76" s="14">
        <f ca="1">ALL!R55</f>
        <v>-23.6</v>
      </c>
      <c r="O76" s="14">
        <f ca="1">ALL!S55</f>
        <v>-23.89</v>
      </c>
      <c r="P76" s="14">
        <f ca="1">ALL!T55</f>
        <v>-24.17</v>
      </c>
      <c r="Q76" s="14">
        <f ca="1">ALL!U55</f>
        <v>-24.46</v>
      </c>
      <c r="R76" s="14">
        <f ca="1">ALL!V55</f>
        <v>-24.74</v>
      </c>
      <c r="S76" s="14">
        <f ca="1">ALL!W55</f>
        <v>-25.02</v>
      </c>
      <c r="T76" s="14">
        <f ca="1">ALL!X55</f>
        <v>-26.11</v>
      </c>
      <c r="U76" s="14">
        <f ca="1">ALL!Y55</f>
        <v>-27.16</v>
      </c>
      <c r="V76" s="14">
        <f ca="1">ALL!Z55</f>
        <v>-28.16</v>
      </c>
      <c r="W76" s="14">
        <f ca="1">ALL!AA55</f>
        <v>-29.13</v>
      </c>
      <c r="X76" s="14">
        <f ca="1">ALL!AB55</f>
        <v>0</v>
      </c>
      <c r="Y76" s="14">
        <f ca="1">ALL!AC55</f>
        <v>0</v>
      </c>
      <c r="Z76" s="14">
        <f ca="1">ALL!AD55</f>
        <v>0</v>
      </c>
      <c r="AA76" s="14">
        <f ca="1">ALL!AE55</f>
        <v>0</v>
      </c>
      <c r="AB76" s="14">
        <f ca="1">ALL!AF55</f>
        <v>0</v>
      </c>
      <c r="AC76" s="14">
        <f ca="1">ALL!AG55</f>
        <v>0</v>
      </c>
      <c r="AD76" s="14">
        <f ca="1">ALL!AH55</f>
        <v>0</v>
      </c>
      <c r="AE76" s="14">
        <f ca="1">ALL!AI55</f>
        <v>0</v>
      </c>
      <c r="AF76" s="14">
        <f ca="1">ALL!AJ55</f>
        <v>0</v>
      </c>
      <c r="AG76" s="14">
        <f ca="1">ALL!AK55</f>
        <v>0</v>
      </c>
      <c r="AH76" s="14">
        <f ca="1">ALL!AL55</f>
        <v>0</v>
      </c>
      <c r="AI76" s="14">
        <f>ALL!AM55</f>
        <v>0</v>
      </c>
    </row>
    <row r="77" spans="1:94" ht="21.75" hidden="1" outlineLevel="1" thickBot="1" x14ac:dyDescent="0.4">
      <c r="A77" s="36" t="str">
        <f>ALL!E56</f>
        <v>(l)Se[r]</v>
      </c>
      <c r="B77" s="16">
        <f ca="1">ALL!F56</f>
        <v>-23.56</v>
      </c>
      <c r="C77" s="16">
        <f ca="1">ALL!G56</f>
        <v>-22.32</v>
      </c>
      <c r="D77" s="16">
        <f ca="1">ALL!H56</f>
        <v>-21.49</v>
      </c>
      <c r="E77" s="16">
        <f ca="1">ALL!I56</f>
        <v>-21.1</v>
      </c>
      <c r="F77" s="14">
        <f ca="1">ALL!J56</f>
        <v>-21.07</v>
      </c>
      <c r="G77" s="14">
        <f ca="1">ALL!K56</f>
        <v>-21.96</v>
      </c>
      <c r="H77" s="14">
        <f ca="1">ALL!L56</f>
        <v>-22.15</v>
      </c>
      <c r="I77" s="14">
        <f ca="1">ALL!M56</f>
        <v>-22.33</v>
      </c>
      <c r="J77" s="14">
        <f ca="1">ALL!N56</f>
        <v>-22.53</v>
      </c>
      <c r="K77" s="14">
        <f ca="1">ALL!O56</f>
        <v>-22.76</v>
      </c>
      <c r="L77" s="14">
        <f ca="1">ALL!P56</f>
        <v>-23.03</v>
      </c>
      <c r="M77" s="14">
        <f ca="1">ALL!Q56</f>
        <v>-23.31</v>
      </c>
      <c r="N77" s="14">
        <f ca="1">ALL!R56</f>
        <v>-23.6</v>
      </c>
      <c r="O77" s="14">
        <f ca="1">ALL!S56</f>
        <v>-23.89</v>
      </c>
      <c r="P77" s="14">
        <f ca="1">ALL!T56</f>
        <v>-24.17</v>
      </c>
      <c r="Q77" s="14">
        <f ca="1">ALL!U56</f>
        <v>-24.46</v>
      </c>
      <c r="R77" s="14">
        <f ca="1">ALL!V56</f>
        <v>-24.74</v>
      </c>
      <c r="S77" s="14">
        <f ca="1">ALL!W56</f>
        <v>-25.02</v>
      </c>
      <c r="T77" s="14">
        <f ca="1">ALL!X56</f>
        <v>-26.11</v>
      </c>
      <c r="U77" s="14">
        <f ca="1">ALL!Y56</f>
        <v>-27.16</v>
      </c>
      <c r="V77" s="14">
        <f ca="1">ALL!Z56</f>
        <v>-28.16</v>
      </c>
      <c r="W77" s="14">
        <f ca="1">ALL!AA56</f>
        <v>-29.13</v>
      </c>
      <c r="X77" s="14">
        <f ca="1">ALL!AB56</f>
        <v>0</v>
      </c>
      <c r="Y77" s="14">
        <f ca="1">ALL!AC56</f>
        <v>0</v>
      </c>
      <c r="Z77" s="14">
        <f ca="1">ALL!AD56</f>
        <v>0</v>
      </c>
      <c r="AA77" s="14">
        <f ca="1">ALL!AE56</f>
        <v>0</v>
      </c>
      <c r="AB77" s="14">
        <f ca="1">ALL!AF56</f>
        <v>0</v>
      </c>
      <c r="AC77" s="14">
        <f ca="1">ALL!AG56</f>
        <v>0</v>
      </c>
      <c r="AD77" s="14">
        <f ca="1">ALL!AH56</f>
        <v>0</v>
      </c>
      <c r="AE77" s="14">
        <f ca="1">ALL!AI56</f>
        <v>0</v>
      </c>
      <c r="AF77" s="14">
        <f ca="1">ALL!AJ56</f>
        <v>0</v>
      </c>
      <c r="AG77" s="14">
        <f ca="1">ALL!AK56</f>
        <v>0</v>
      </c>
      <c r="AH77" s="14">
        <f ca="1">ALL!AL56</f>
        <v>0</v>
      </c>
      <c r="AI77" s="14">
        <f>ALL!AM56</f>
        <v>0</v>
      </c>
    </row>
    <row r="78" spans="1:94" ht="21.75" hidden="1" outlineLevel="1" thickBot="1" x14ac:dyDescent="0.4">
      <c r="A78" s="36" t="str">
        <f>ALL!E57</f>
        <v>(l)Ge[c]</v>
      </c>
      <c r="B78" s="16">
        <f ca="1">ALL!F57</f>
        <v>-16.940000000000001</v>
      </c>
      <c r="C78" s="16">
        <f ca="1">ALL!G57</f>
        <v>-16.03</v>
      </c>
      <c r="D78" s="16">
        <f ca="1">ALL!H57</f>
        <v>-14.99</v>
      </c>
      <c r="E78" s="16">
        <f ca="1">ALL!I57</f>
        <v>-13.72</v>
      </c>
      <c r="F78" s="14">
        <f ca="1">ALL!J57</f>
        <v>-12.32</v>
      </c>
      <c r="G78" s="14">
        <f ca="1">ALL!K57</f>
        <v>-7.4779999999999998</v>
      </c>
      <c r="H78" s="14">
        <f ca="1">ALL!L57</f>
        <v>-6.7469999999999999</v>
      </c>
      <c r="I78" s="14">
        <f ca="1">ALL!M57</f>
        <v>-6.2640000000000002</v>
      </c>
      <c r="J78" s="14">
        <f ca="1">ALL!N57</f>
        <v>-5.99</v>
      </c>
      <c r="K78" s="14">
        <f ca="1">ALL!O57</f>
        <v>-5.8659999999999997</v>
      </c>
      <c r="L78" s="14">
        <f ca="1">ALL!P57</f>
        <v>-5.8310000000000004</v>
      </c>
      <c r="M78" s="14">
        <f ca="1">ALL!Q57</f>
        <v>-5.8419999999999996</v>
      </c>
      <c r="N78" s="14">
        <f ca="1">ALL!R57</f>
        <v>-5.8739999999999997</v>
      </c>
      <c r="O78" s="14">
        <f ca="1">ALL!S57</f>
        <v>-5.9160000000000004</v>
      </c>
      <c r="P78" s="14">
        <f ca="1">ALL!T57</f>
        <v>-5.9630000000000001</v>
      </c>
      <c r="Q78" s="14">
        <f ca="1">ALL!U57</f>
        <v>-6.0110000000000001</v>
      </c>
      <c r="R78" s="14">
        <f ca="1">ALL!V57</f>
        <v>-6.06</v>
      </c>
      <c r="S78" s="14">
        <f ca="1">ALL!W57</f>
        <v>-6.109</v>
      </c>
      <c r="T78" s="14">
        <f ca="1">ALL!X57</f>
        <v>-6.3049999999999997</v>
      </c>
      <c r="U78" s="14">
        <f ca="1">ALL!Y57</f>
        <v>-6.4960000000000004</v>
      </c>
      <c r="V78" s="14">
        <f ca="1">ALL!Z57</f>
        <v>-6.681</v>
      </c>
      <c r="W78" s="14">
        <f ca="1">ALL!AA57</f>
        <v>-6.8579999999999997</v>
      </c>
      <c r="X78" s="14">
        <f ca="1">ALL!AB57</f>
        <v>0</v>
      </c>
      <c r="Y78" s="14">
        <f ca="1">ALL!AC57</f>
        <v>0</v>
      </c>
      <c r="Z78" s="14">
        <f ca="1">ALL!AD57</f>
        <v>0</v>
      </c>
      <c r="AA78" s="14">
        <f ca="1">ALL!AE57</f>
        <v>0</v>
      </c>
      <c r="AB78" s="14">
        <f ca="1">ALL!AF57</f>
        <v>0</v>
      </c>
      <c r="AC78" s="14">
        <f ca="1">ALL!AG57</f>
        <v>0</v>
      </c>
      <c r="AD78" s="14">
        <f ca="1">ALL!AH57</f>
        <v>0</v>
      </c>
      <c r="AE78" s="14">
        <f ca="1">ALL!AI57</f>
        <v>0</v>
      </c>
      <c r="AF78" s="14">
        <f ca="1">ALL!AJ57</f>
        <v>0</v>
      </c>
      <c r="AG78" s="14">
        <f ca="1">ALL!AK57</f>
        <v>0</v>
      </c>
      <c r="AH78" s="14">
        <f ca="1">ALL!AL57</f>
        <v>0</v>
      </c>
      <c r="AI78" s="14">
        <f>ALL!AM57</f>
        <v>0</v>
      </c>
    </row>
    <row r="79" spans="1:94" ht="21.75" hidden="1" outlineLevel="1" thickBot="1" x14ac:dyDescent="0.4">
      <c r="A79" s="36" t="str">
        <f>ALL!E58</f>
        <v>H (Ar)</v>
      </c>
      <c r="B79" s="16">
        <f ca="1">ALL!F58</f>
        <v>-18.62</v>
      </c>
      <c r="C79" s="16">
        <f ca="1">ALL!G58</f>
        <v>-18.61</v>
      </c>
      <c r="D79" s="16">
        <f ca="1">ALL!H58</f>
        <v>-18.61</v>
      </c>
      <c r="E79" s="16">
        <f ca="1">ALL!I58</f>
        <v>-18.63</v>
      </c>
      <c r="F79" s="14">
        <f ca="1">ALL!J58</f>
        <v>-18.649999999999999</v>
      </c>
      <c r="G79" s="14">
        <f ca="1">ALL!K58</f>
        <v>-18.77</v>
      </c>
      <c r="H79" s="14">
        <f ca="1">ALL!L58</f>
        <v>-18.809999999999999</v>
      </c>
      <c r="I79" s="14">
        <f ca="1">ALL!M58</f>
        <v>-18.84</v>
      </c>
      <c r="J79" s="14">
        <f ca="1">ALL!N58</f>
        <v>-18.88</v>
      </c>
      <c r="K79" s="14">
        <f ca="1">ALL!O58</f>
        <v>-18.93</v>
      </c>
      <c r="L79" s="14">
        <f ca="1">ALL!P58</f>
        <v>-18.97</v>
      </c>
      <c r="M79" s="14">
        <f ca="1">ALL!Q58</f>
        <v>-19.010000000000002</v>
      </c>
      <c r="N79" s="14">
        <f ca="1">ALL!R58</f>
        <v>-19.05</v>
      </c>
      <c r="O79" s="14">
        <f ca="1">ALL!S58</f>
        <v>-19.09</v>
      </c>
      <c r="P79" s="14">
        <f ca="1">ALL!T58</f>
        <v>-19.14</v>
      </c>
      <c r="Q79" s="14">
        <f ca="1">ALL!U58</f>
        <v>-19.18</v>
      </c>
      <c r="R79" s="14">
        <f ca="1">ALL!V58</f>
        <v>-19.22</v>
      </c>
      <c r="S79" s="14">
        <f ca="1">ALL!W58</f>
        <v>-19.260000000000002</v>
      </c>
      <c r="T79" s="14">
        <f ca="1">ALL!X58</f>
        <v>-19.43</v>
      </c>
      <c r="U79" s="14">
        <f ca="1">ALL!Y58</f>
        <v>-19.59</v>
      </c>
      <c r="V79" s="14">
        <f ca="1">ALL!Z58</f>
        <v>-19.739999999999998</v>
      </c>
      <c r="W79" s="14">
        <f ca="1">ALL!AA58</f>
        <v>-19.88</v>
      </c>
      <c r="X79" s="14">
        <f ca="1">ALL!AB58</f>
        <v>0</v>
      </c>
      <c r="Y79" s="14">
        <f ca="1">ALL!AC58</f>
        <v>0</v>
      </c>
      <c r="Z79" s="14">
        <f ca="1">ALL!AD58</f>
        <v>0</v>
      </c>
      <c r="AA79" s="14">
        <f ca="1">ALL!AE58</f>
        <v>0</v>
      </c>
      <c r="AB79" s="14">
        <f ca="1">ALL!AF58</f>
        <v>0</v>
      </c>
      <c r="AC79" s="14">
        <f ca="1">ALL!AG58</f>
        <v>0</v>
      </c>
      <c r="AD79" s="14">
        <f ca="1">ALL!AH58</f>
        <v>0</v>
      </c>
      <c r="AE79" s="14">
        <f ca="1">ALL!AI58</f>
        <v>0</v>
      </c>
      <c r="AF79" s="14">
        <f ca="1">ALL!AJ58</f>
        <v>0</v>
      </c>
      <c r="AG79" s="14">
        <f ca="1">ALL!AK58</f>
        <v>0</v>
      </c>
      <c r="AH79" s="14">
        <f ca="1">ALL!AL58</f>
        <v>0</v>
      </c>
      <c r="AI79" s="14">
        <f>ALL!AM58</f>
        <v>0</v>
      </c>
    </row>
    <row r="80" spans="1:94" ht="21.75" hidden="1" outlineLevel="1" thickBot="1" x14ac:dyDescent="0.4">
      <c r="A80" s="36" t="str">
        <f>ALL!E59</f>
        <v>H (Ge)</v>
      </c>
      <c r="B80" s="16">
        <f ca="1">ALL!F59</f>
        <v>-16.940000000000001</v>
      </c>
      <c r="C80" s="16">
        <f ca="1">ALL!G59</f>
        <v>-16.03</v>
      </c>
      <c r="D80" s="16">
        <f ca="1">ALL!H59</f>
        <v>-14.99</v>
      </c>
      <c r="E80" s="16">
        <f ca="1">ALL!I59</f>
        <v>-13.72</v>
      </c>
      <c r="F80" s="14">
        <f ca="1">ALL!J59</f>
        <v>-12.32</v>
      </c>
      <c r="G80" s="14">
        <f ca="1">ALL!K59</f>
        <v>-7.4779999999999998</v>
      </c>
      <c r="H80" s="14">
        <f ca="1">ALL!L59</f>
        <v>-6.7469999999999999</v>
      </c>
      <c r="I80" s="14">
        <f ca="1">ALL!M59</f>
        <v>-6.2640000000000002</v>
      </c>
      <c r="J80" s="14">
        <f ca="1">ALL!N59</f>
        <v>-5.99</v>
      </c>
      <c r="K80" s="14">
        <f ca="1">ALL!O59</f>
        <v>-5.8659999999999997</v>
      </c>
      <c r="L80" s="14">
        <f ca="1">ALL!P59</f>
        <v>-5.8310000000000004</v>
      </c>
      <c r="M80" s="14">
        <f ca="1">ALL!Q59</f>
        <v>-5.8419999999999996</v>
      </c>
      <c r="N80" s="14">
        <f ca="1">ALL!R59</f>
        <v>-5.8739999999999997</v>
      </c>
      <c r="O80" s="14">
        <f ca="1">ALL!S59</f>
        <v>-5.9160000000000004</v>
      </c>
      <c r="P80" s="14">
        <f ca="1">ALL!T59</f>
        <v>-5.9630000000000001</v>
      </c>
      <c r="Q80" s="14">
        <f ca="1">ALL!U59</f>
        <v>-6.0110000000000001</v>
      </c>
      <c r="R80" s="14">
        <f ca="1">ALL!V59</f>
        <v>-6.06</v>
      </c>
      <c r="S80" s="14">
        <f ca="1">ALL!W59</f>
        <v>-6.109</v>
      </c>
      <c r="T80" s="14">
        <f ca="1">ALL!X59</f>
        <v>-6.3049999999999997</v>
      </c>
      <c r="U80" s="14">
        <f ca="1">ALL!Y59</f>
        <v>-6.4960000000000004</v>
      </c>
      <c r="V80" s="14">
        <f ca="1">ALL!Z59</f>
        <v>-6.681</v>
      </c>
      <c r="W80" s="14">
        <f ca="1">ALL!AA59</f>
        <v>-6.8579999999999997</v>
      </c>
      <c r="X80" s="14">
        <f ca="1">ALL!AB59</f>
        <v>0</v>
      </c>
      <c r="Y80" s="14">
        <f ca="1">ALL!AC59</f>
        <v>0</v>
      </c>
      <c r="Z80" s="14">
        <f ca="1">ALL!AD59</f>
        <v>0</v>
      </c>
      <c r="AA80" s="14">
        <f ca="1">ALL!AE59</f>
        <v>0</v>
      </c>
      <c r="AB80" s="14">
        <f ca="1">ALL!AF59</f>
        <v>0</v>
      </c>
      <c r="AC80" s="14">
        <f ca="1">ALL!AG59</f>
        <v>0</v>
      </c>
      <c r="AD80" s="14">
        <f ca="1">ALL!AH59</f>
        <v>0</v>
      </c>
      <c r="AE80" s="14">
        <f ca="1">ALL!AI59</f>
        <v>0</v>
      </c>
      <c r="AF80" s="14">
        <f ca="1">ALL!AJ59</f>
        <v>0</v>
      </c>
      <c r="AG80" s="14">
        <f ca="1">ALL!AK59</f>
        <v>0</v>
      </c>
      <c r="AH80" s="14">
        <f ca="1">ALL!AL59</f>
        <v>0</v>
      </c>
      <c r="AI80" s="14">
        <f>ALL!AM59</f>
        <v>0</v>
      </c>
    </row>
    <row r="81" spans="1:35" ht="21.75" hidden="1" outlineLevel="1" thickBot="1" x14ac:dyDescent="0.4">
      <c r="A81" s="36" t="str">
        <f>ALL!E60</f>
        <v>H (Se)</v>
      </c>
      <c r="B81" s="16">
        <f ca="1">ALL!F60</f>
        <v>-23.56</v>
      </c>
      <c r="C81" s="16">
        <f ca="1">ALL!G60</f>
        <v>-22.32</v>
      </c>
      <c r="D81" s="16">
        <f ca="1">ALL!H60</f>
        <v>-21.49</v>
      </c>
      <c r="E81" s="16">
        <f ca="1">ALL!I60</f>
        <v>-21.1</v>
      </c>
      <c r="F81" s="14">
        <f ca="1">ALL!J60</f>
        <v>-21.07</v>
      </c>
      <c r="G81" s="14">
        <f ca="1">ALL!K60</f>
        <v>-21.96</v>
      </c>
      <c r="H81" s="14">
        <f ca="1">ALL!L60</f>
        <v>-22.15</v>
      </c>
      <c r="I81" s="14">
        <f ca="1">ALL!M60</f>
        <v>-22.33</v>
      </c>
      <c r="J81" s="14">
        <f ca="1">ALL!N60</f>
        <v>-22.53</v>
      </c>
      <c r="K81" s="14">
        <f ca="1">ALL!O60</f>
        <v>-22.76</v>
      </c>
      <c r="L81" s="14">
        <f ca="1">ALL!P60</f>
        <v>-23.03</v>
      </c>
      <c r="M81" s="14">
        <f ca="1">ALL!Q60</f>
        <v>-23.31</v>
      </c>
      <c r="N81" s="14">
        <f ca="1">ALL!R60</f>
        <v>-23.6</v>
      </c>
      <c r="O81" s="14">
        <f ca="1">ALL!S60</f>
        <v>-23.89</v>
      </c>
      <c r="P81" s="14">
        <f ca="1">ALL!T60</f>
        <v>-24.17</v>
      </c>
      <c r="Q81" s="14">
        <f ca="1">ALL!U60</f>
        <v>-24.46</v>
      </c>
      <c r="R81" s="14">
        <f ca="1">ALL!V60</f>
        <v>-24.74</v>
      </c>
      <c r="S81" s="14">
        <f ca="1">ALL!W60</f>
        <v>-25.02</v>
      </c>
      <c r="T81" s="14">
        <f ca="1">ALL!X60</f>
        <v>-26.11</v>
      </c>
      <c r="U81" s="14">
        <f ca="1">ALL!Y60</f>
        <v>-27.16</v>
      </c>
      <c r="V81" s="14">
        <f ca="1">ALL!Z60</f>
        <v>-28.16</v>
      </c>
      <c r="W81" s="14">
        <f ca="1">ALL!AA60</f>
        <v>-29.13</v>
      </c>
      <c r="X81" s="14">
        <f ca="1">ALL!AB60</f>
        <v>0</v>
      </c>
      <c r="Y81" s="14">
        <f ca="1">ALL!AC60</f>
        <v>0</v>
      </c>
      <c r="Z81" s="14">
        <f ca="1">ALL!AD60</f>
        <v>0</v>
      </c>
      <c r="AA81" s="14">
        <f ca="1">ALL!AE60</f>
        <v>0</v>
      </c>
      <c r="AB81" s="14">
        <f ca="1">ALL!AF60</f>
        <v>0</v>
      </c>
      <c r="AC81" s="14">
        <f ca="1">ALL!AG60</f>
        <v>0</v>
      </c>
      <c r="AD81" s="14">
        <f ca="1">ALL!AH60</f>
        <v>0</v>
      </c>
      <c r="AE81" s="14">
        <f ca="1">ALL!AI60</f>
        <v>0</v>
      </c>
      <c r="AF81" s="14">
        <f ca="1">ALL!AJ60</f>
        <v>0</v>
      </c>
      <c r="AG81" s="14">
        <f ca="1">ALL!AK60</f>
        <v>0</v>
      </c>
      <c r="AH81" s="14">
        <f ca="1">ALL!AL60</f>
        <v>0</v>
      </c>
      <c r="AI81" s="14">
        <f>ALL!AM60</f>
        <v>0</v>
      </c>
    </row>
    <row r="82" spans="1:35" ht="21.75" hidden="1" outlineLevel="1" thickBot="1" x14ac:dyDescent="0.4">
      <c r="A82" s="36">
        <f>ALL!E61</f>
        <v>0</v>
      </c>
      <c r="B82" s="16">
        <f ca="1">ALL!F61</f>
        <v>0</v>
      </c>
      <c r="C82" s="16">
        <f ca="1">ALL!G61</f>
        <v>0</v>
      </c>
      <c r="D82" s="16">
        <f ca="1">ALL!H61</f>
        <v>0</v>
      </c>
      <c r="E82" s="16">
        <f ca="1">ALL!I61</f>
        <v>0</v>
      </c>
      <c r="F82" s="14">
        <f ca="1">ALL!J61</f>
        <v>0</v>
      </c>
      <c r="G82" s="14">
        <f ca="1">ALL!K61</f>
        <v>0</v>
      </c>
      <c r="H82" s="14">
        <f ca="1">ALL!L61</f>
        <v>0</v>
      </c>
      <c r="I82" s="14">
        <f ca="1">ALL!M61</f>
        <v>0</v>
      </c>
      <c r="J82" s="14">
        <f ca="1">ALL!N61</f>
        <v>0</v>
      </c>
      <c r="K82" s="14">
        <f ca="1">ALL!O61</f>
        <v>0</v>
      </c>
      <c r="L82" s="14">
        <f ca="1">ALL!P61</f>
        <v>0</v>
      </c>
      <c r="M82" s="14">
        <f ca="1">ALL!Q61</f>
        <v>0</v>
      </c>
      <c r="N82" s="14">
        <f ca="1">ALL!R61</f>
        <v>0</v>
      </c>
      <c r="O82" s="14">
        <f ca="1">ALL!S61</f>
        <v>0</v>
      </c>
      <c r="P82" s="14">
        <f ca="1">ALL!T61</f>
        <v>0</v>
      </c>
      <c r="Q82" s="14">
        <f ca="1">ALL!U61</f>
        <v>0</v>
      </c>
      <c r="R82" s="14">
        <f ca="1">ALL!V61</f>
        <v>0</v>
      </c>
      <c r="S82" s="14">
        <f ca="1">ALL!W61</f>
        <v>0</v>
      </c>
      <c r="T82" s="14">
        <f ca="1">ALL!X61</f>
        <v>0</v>
      </c>
      <c r="U82" s="14">
        <f ca="1">ALL!Y61</f>
        <v>0</v>
      </c>
      <c r="V82" s="14">
        <f ca="1">ALL!Z61</f>
        <v>0</v>
      </c>
      <c r="W82" s="14">
        <f ca="1">ALL!AA61</f>
        <v>0</v>
      </c>
      <c r="X82" s="14">
        <f ca="1">ALL!AB61</f>
        <v>0</v>
      </c>
      <c r="Y82" s="14">
        <f ca="1">ALL!AC61</f>
        <v>0</v>
      </c>
      <c r="Z82" s="14">
        <f ca="1">ALL!AD61</f>
        <v>0</v>
      </c>
      <c r="AA82" s="14">
        <f ca="1">ALL!AE61</f>
        <v>0</v>
      </c>
      <c r="AB82" s="14">
        <f ca="1">ALL!AF61</f>
        <v>0</v>
      </c>
      <c r="AC82" s="14">
        <f ca="1">ALL!AG61</f>
        <v>0</v>
      </c>
      <c r="AD82" s="14">
        <f ca="1">ALL!AH61</f>
        <v>0</v>
      </c>
      <c r="AE82" s="14">
        <f ca="1">ALL!AI61</f>
        <v>0</v>
      </c>
      <c r="AF82" s="14">
        <f ca="1">ALL!AJ61</f>
        <v>0</v>
      </c>
      <c r="AG82" s="14">
        <f ca="1">ALL!AK61</f>
        <v>0</v>
      </c>
      <c r="AH82" s="14">
        <f ca="1">ALL!AL61</f>
        <v>0</v>
      </c>
      <c r="AI82" s="14">
        <f>ALL!AM61</f>
        <v>0</v>
      </c>
    </row>
    <row r="83" spans="1:35" ht="21.75" hidden="1" outlineLevel="1" thickBot="1" x14ac:dyDescent="0.4">
      <c r="A83" s="36">
        <f>ALL!E62</f>
        <v>0</v>
      </c>
      <c r="B83" s="16">
        <f ca="1">ALL!F62</f>
        <v>0</v>
      </c>
      <c r="C83" s="16">
        <f ca="1">ALL!G62</f>
        <v>0</v>
      </c>
      <c r="D83" s="16">
        <f ca="1">ALL!H62</f>
        <v>0</v>
      </c>
      <c r="E83" s="16">
        <f ca="1">ALL!I62</f>
        <v>0</v>
      </c>
      <c r="F83" s="14">
        <f ca="1">ALL!J62</f>
        <v>0</v>
      </c>
      <c r="G83" s="14">
        <f ca="1">ALL!K62</f>
        <v>0</v>
      </c>
      <c r="H83" s="14">
        <f ca="1">ALL!L62</f>
        <v>0</v>
      </c>
      <c r="I83" s="14">
        <f ca="1">ALL!M62</f>
        <v>0</v>
      </c>
      <c r="J83" s="14">
        <f ca="1">ALL!N62</f>
        <v>0</v>
      </c>
      <c r="K83" s="14">
        <f ca="1">ALL!O62</f>
        <v>0</v>
      </c>
      <c r="L83" s="14">
        <f ca="1">ALL!P62</f>
        <v>0</v>
      </c>
      <c r="M83" s="14">
        <f ca="1">ALL!Q62</f>
        <v>0</v>
      </c>
      <c r="N83" s="14">
        <f ca="1">ALL!R62</f>
        <v>0</v>
      </c>
      <c r="O83" s="14">
        <f ca="1">ALL!S62</f>
        <v>0</v>
      </c>
      <c r="P83" s="14">
        <f ca="1">ALL!T62</f>
        <v>0</v>
      </c>
      <c r="Q83" s="14">
        <f ca="1">ALL!U62</f>
        <v>0</v>
      </c>
      <c r="R83" s="14">
        <f ca="1">ALL!V62</f>
        <v>0</v>
      </c>
      <c r="S83" s="14">
        <f ca="1">ALL!W62</f>
        <v>0</v>
      </c>
      <c r="T83" s="14">
        <f ca="1">ALL!X62</f>
        <v>0</v>
      </c>
      <c r="U83" s="14">
        <f ca="1">ALL!Y62</f>
        <v>0</v>
      </c>
      <c r="V83" s="14">
        <f ca="1">ALL!Z62</f>
        <v>0</v>
      </c>
      <c r="W83" s="14">
        <f ca="1">ALL!AA62</f>
        <v>0</v>
      </c>
      <c r="X83" s="14">
        <f ca="1">ALL!AB62</f>
        <v>0</v>
      </c>
      <c r="Y83" s="14">
        <f ca="1">ALL!AC62</f>
        <v>0</v>
      </c>
      <c r="Z83" s="14">
        <f ca="1">ALL!AD62</f>
        <v>0</v>
      </c>
      <c r="AA83" s="14">
        <f ca="1">ALL!AE62</f>
        <v>0</v>
      </c>
      <c r="AB83" s="14">
        <f ca="1">ALL!AF62</f>
        <v>0</v>
      </c>
      <c r="AC83" s="14">
        <f ca="1">ALL!AG62</f>
        <v>0</v>
      </c>
      <c r="AD83" s="14">
        <f ca="1">ALL!AH62</f>
        <v>0</v>
      </c>
      <c r="AE83" s="14">
        <f ca="1">ALL!AI62</f>
        <v>0</v>
      </c>
      <c r="AF83" s="14">
        <f ca="1">ALL!AJ62</f>
        <v>0</v>
      </c>
      <c r="AG83" s="14">
        <f ca="1">ALL!AK62</f>
        <v>0</v>
      </c>
      <c r="AH83" s="14">
        <f ca="1">ALL!AL62</f>
        <v>0</v>
      </c>
      <c r="AI83" s="14">
        <f>ALL!AM62</f>
        <v>0</v>
      </c>
    </row>
    <row r="84" spans="1:35" ht="21.75" hidden="1" outlineLevel="1" thickBot="1" x14ac:dyDescent="0.4">
      <c r="A84" s="36">
        <f>ALL!E63</f>
        <v>0</v>
      </c>
      <c r="B84" s="16">
        <f ca="1">ALL!F63</f>
        <v>0</v>
      </c>
      <c r="C84" s="16">
        <f ca="1">ALL!G63</f>
        <v>0</v>
      </c>
      <c r="D84" s="16">
        <f ca="1">ALL!H63</f>
        <v>0</v>
      </c>
      <c r="E84" s="16">
        <f ca="1">ALL!I63</f>
        <v>0</v>
      </c>
      <c r="F84" s="14">
        <f ca="1">ALL!J63</f>
        <v>0</v>
      </c>
      <c r="G84" s="14">
        <f ca="1">ALL!K63</f>
        <v>0</v>
      </c>
      <c r="H84" s="14">
        <f ca="1">ALL!L63</f>
        <v>0</v>
      </c>
      <c r="I84" s="14">
        <f ca="1">ALL!M63</f>
        <v>0</v>
      </c>
      <c r="J84" s="14">
        <f ca="1">ALL!N63</f>
        <v>0</v>
      </c>
      <c r="K84" s="14">
        <f ca="1">ALL!O63</f>
        <v>0</v>
      </c>
      <c r="L84" s="14">
        <f ca="1">ALL!P63</f>
        <v>0</v>
      </c>
      <c r="M84" s="14">
        <f ca="1">ALL!Q63</f>
        <v>0</v>
      </c>
      <c r="N84" s="14">
        <f ca="1">ALL!R63</f>
        <v>0</v>
      </c>
      <c r="O84" s="14">
        <f ca="1">ALL!S63</f>
        <v>0</v>
      </c>
      <c r="P84" s="14">
        <f ca="1">ALL!T63</f>
        <v>0</v>
      </c>
      <c r="Q84" s="14">
        <f ca="1">ALL!U63</f>
        <v>0</v>
      </c>
      <c r="R84" s="14">
        <f ca="1">ALL!V63</f>
        <v>0</v>
      </c>
      <c r="S84" s="14">
        <f ca="1">ALL!W63</f>
        <v>0</v>
      </c>
      <c r="T84" s="14">
        <f ca="1">ALL!X63</f>
        <v>0</v>
      </c>
      <c r="U84" s="14">
        <f ca="1">ALL!Y63</f>
        <v>0</v>
      </c>
      <c r="V84" s="14">
        <f ca="1">ALL!Z63</f>
        <v>0</v>
      </c>
      <c r="W84" s="14">
        <f ca="1">ALL!AA63</f>
        <v>0</v>
      </c>
      <c r="X84" s="14">
        <f ca="1">ALL!AB63</f>
        <v>0</v>
      </c>
      <c r="Y84" s="14">
        <f ca="1">ALL!AC63</f>
        <v>0</v>
      </c>
      <c r="Z84" s="14">
        <f ca="1">ALL!AD63</f>
        <v>0</v>
      </c>
      <c r="AA84" s="14">
        <f ca="1">ALL!AE63</f>
        <v>0</v>
      </c>
      <c r="AB84" s="14">
        <f ca="1">ALL!AF63</f>
        <v>0</v>
      </c>
      <c r="AC84" s="14">
        <f ca="1">ALL!AG63</f>
        <v>0</v>
      </c>
      <c r="AD84" s="14">
        <f ca="1">ALL!AH63</f>
        <v>0</v>
      </c>
      <c r="AE84" s="14">
        <f ca="1">ALL!AI63</f>
        <v>0</v>
      </c>
      <c r="AF84" s="14">
        <f ca="1">ALL!AJ63</f>
        <v>0</v>
      </c>
      <c r="AG84" s="14">
        <f ca="1">ALL!AK63</f>
        <v>0</v>
      </c>
      <c r="AH84" s="14">
        <f ca="1">ALL!AL63</f>
        <v>0</v>
      </c>
      <c r="AI84" s="14">
        <f>ALL!AM63</f>
        <v>0</v>
      </c>
    </row>
    <row r="85" spans="1:35" ht="21.75" hidden="1" outlineLevel="1" thickBot="1" x14ac:dyDescent="0.4">
      <c r="A85" s="36">
        <f>ALL!E64</f>
        <v>0</v>
      </c>
      <c r="B85" s="16">
        <f ca="1">ALL!F64</f>
        <v>0</v>
      </c>
      <c r="C85" s="16">
        <f ca="1">ALL!G64</f>
        <v>0</v>
      </c>
      <c r="D85" s="16">
        <f ca="1">ALL!H64</f>
        <v>0</v>
      </c>
      <c r="E85" s="16">
        <f ca="1">ALL!I64</f>
        <v>0</v>
      </c>
      <c r="F85" s="14">
        <f ca="1">ALL!J64</f>
        <v>0</v>
      </c>
      <c r="G85" s="14">
        <f ca="1">ALL!K64</f>
        <v>0</v>
      </c>
      <c r="H85" s="14">
        <f ca="1">ALL!L64</f>
        <v>0</v>
      </c>
      <c r="I85" s="14">
        <f ca="1">ALL!M64</f>
        <v>0</v>
      </c>
      <c r="J85" s="14">
        <f ca="1">ALL!N64</f>
        <v>0</v>
      </c>
      <c r="K85" s="14">
        <f ca="1">ALL!O64</f>
        <v>0</v>
      </c>
      <c r="L85" s="14">
        <f ca="1">ALL!P64</f>
        <v>0</v>
      </c>
      <c r="M85" s="14">
        <f ca="1">ALL!Q64</f>
        <v>0</v>
      </c>
      <c r="N85" s="14">
        <f ca="1">ALL!R64</f>
        <v>0</v>
      </c>
      <c r="O85" s="14">
        <f ca="1">ALL!S64</f>
        <v>0</v>
      </c>
      <c r="P85" s="14">
        <f ca="1">ALL!T64</f>
        <v>0</v>
      </c>
      <c r="Q85" s="14">
        <f ca="1">ALL!U64</f>
        <v>0</v>
      </c>
      <c r="R85" s="14">
        <f ca="1">ALL!V64</f>
        <v>0</v>
      </c>
      <c r="S85" s="14">
        <f ca="1">ALL!W64</f>
        <v>0</v>
      </c>
      <c r="T85" s="14">
        <f ca="1">ALL!X64</f>
        <v>0</v>
      </c>
      <c r="U85" s="14">
        <f ca="1">ALL!Y64</f>
        <v>0</v>
      </c>
      <c r="V85" s="14">
        <f ca="1">ALL!Z64</f>
        <v>0</v>
      </c>
      <c r="W85" s="14">
        <f ca="1">ALL!AA64</f>
        <v>0</v>
      </c>
      <c r="X85" s="14">
        <f ca="1">ALL!AB64</f>
        <v>0</v>
      </c>
      <c r="Y85" s="14">
        <f ca="1">ALL!AC64</f>
        <v>0</v>
      </c>
      <c r="Z85" s="14">
        <f ca="1">ALL!AD64</f>
        <v>0</v>
      </c>
      <c r="AA85" s="14">
        <f ca="1">ALL!AE64</f>
        <v>0</v>
      </c>
      <c r="AB85" s="14">
        <f ca="1">ALL!AF64</f>
        <v>0</v>
      </c>
      <c r="AC85" s="14">
        <f ca="1">ALL!AG64</f>
        <v>0</v>
      </c>
      <c r="AD85" s="14">
        <f ca="1">ALL!AH64</f>
        <v>0</v>
      </c>
      <c r="AE85" s="14">
        <f ca="1">ALL!AI64</f>
        <v>0</v>
      </c>
      <c r="AF85" s="14">
        <f ca="1">ALL!AJ64</f>
        <v>0</v>
      </c>
      <c r="AG85" s="14">
        <f ca="1">ALL!AK64</f>
        <v>0</v>
      </c>
      <c r="AH85" s="14">
        <f ca="1">ALL!AL64</f>
        <v>0</v>
      </c>
      <c r="AI85" s="14">
        <f>ALL!AM64</f>
        <v>0</v>
      </c>
    </row>
    <row r="86" spans="1:35" ht="21.75" hidden="1" outlineLevel="1" thickBot="1" x14ac:dyDescent="0.4">
      <c r="A86" s="36">
        <f>ALL!E65</f>
        <v>0</v>
      </c>
      <c r="B86" s="16">
        <f ca="1">ALL!F65</f>
        <v>0</v>
      </c>
      <c r="C86" s="16">
        <f ca="1">ALL!G65</f>
        <v>0</v>
      </c>
      <c r="D86" s="16">
        <f ca="1">ALL!H65</f>
        <v>0</v>
      </c>
      <c r="E86" s="16">
        <f ca="1">ALL!I65</f>
        <v>0</v>
      </c>
      <c r="F86" s="14">
        <f ca="1">ALL!J65</f>
        <v>0</v>
      </c>
      <c r="G86" s="14">
        <f ca="1">ALL!K65</f>
        <v>0</v>
      </c>
      <c r="H86" s="14">
        <f ca="1">ALL!L65</f>
        <v>0</v>
      </c>
      <c r="I86" s="14">
        <f ca="1">ALL!M65</f>
        <v>0</v>
      </c>
      <c r="J86" s="14">
        <f ca="1">ALL!N65</f>
        <v>0</v>
      </c>
      <c r="K86" s="14">
        <f ca="1">ALL!O65</f>
        <v>0</v>
      </c>
      <c r="L86" s="14">
        <f ca="1">ALL!P65</f>
        <v>0</v>
      </c>
      <c r="M86" s="14">
        <f ca="1">ALL!Q65</f>
        <v>0</v>
      </c>
      <c r="N86" s="14">
        <f ca="1">ALL!R65</f>
        <v>0</v>
      </c>
      <c r="O86" s="14">
        <f ca="1">ALL!S65</f>
        <v>0</v>
      </c>
      <c r="P86" s="14">
        <f ca="1">ALL!T65</f>
        <v>0</v>
      </c>
      <c r="Q86" s="14">
        <f ca="1">ALL!U65</f>
        <v>0</v>
      </c>
      <c r="R86" s="14">
        <f ca="1">ALL!V65</f>
        <v>0</v>
      </c>
      <c r="S86" s="14">
        <f ca="1">ALL!W65</f>
        <v>0</v>
      </c>
      <c r="T86" s="14">
        <f ca="1">ALL!X65</f>
        <v>0</v>
      </c>
      <c r="U86" s="14">
        <f ca="1">ALL!Y65</f>
        <v>0</v>
      </c>
      <c r="V86" s="14">
        <f ca="1">ALL!Z65</f>
        <v>0</v>
      </c>
      <c r="W86" s="14">
        <f ca="1">ALL!AA65</f>
        <v>0</v>
      </c>
      <c r="X86" s="14">
        <f ca="1">ALL!AB65</f>
        <v>0</v>
      </c>
      <c r="Y86" s="14">
        <f ca="1">ALL!AC65</f>
        <v>0</v>
      </c>
      <c r="Z86" s="14">
        <f ca="1">ALL!AD65</f>
        <v>0</v>
      </c>
      <c r="AA86" s="14">
        <f ca="1">ALL!AE65</f>
        <v>0</v>
      </c>
      <c r="AB86" s="14">
        <f ca="1">ALL!AF65</f>
        <v>0</v>
      </c>
      <c r="AC86" s="14">
        <f ca="1">ALL!AG65</f>
        <v>0</v>
      </c>
      <c r="AD86" s="14">
        <f ca="1">ALL!AH65</f>
        <v>0</v>
      </c>
      <c r="AE86" s="14">
        <f ca="1">ALL!AI65</f>
        <v>0</v>
      </c>
      <c r="AF86" s="14">
        <f ca="1">ALL!AJ65</f>
        <v>0</v>
      </c>
      <c r="AG86" s="14">
        <f ca="1">ALL!AK65</f>
        <v>0</v>
      </c>
      <c r="AH86" s="14">
        <f ca="1">ALL!AL65</f>
        <v>0</v>
      </c>
      <c r="AI86" s="14">
        <f>ALL!AM65</f>
        <v>0</v>
      </c>
    </row>
    <row r="87" spans="1:35" ht="21.75" hidden="1" outlineLevel="1" thickBot="1" x14ac:dyDescent="0.4">
      <c r="A87" s="36">
        <f>ALL!E66</f>
        <v>0</v>
      </c>
      <c r="B87" s="16">
        <f ca="1">ALL!F66</f>
        <v>0</v>
      </c>
      <c r="C87" s="16">
        <f ca="1">ALL!G66</f>
        <v>0</v>
      </c>
      <c r="D87" s="16">
        <f ca="1">ALL!H66</f>
        <v>0</v>
      </c>
      <c r="E87" s="16">
        <f ca="1">ALL!I66</f>
        <v>0</v>
      </c>
      <c r="F87" s="14">
        <f ca="1">ALL!J66</f>
        <v>0</v>
      </c>
      <c r="G87" s="14">
        <f ca="1">ALL!K66</f>
        <v>0</v>
      </c>
      <c r="H87" s="14">
        <f ca="1">ALL!L66</f>
        <v>0</v>
      </c>
      <c r="I87" s="14">
        <f ca="1">ALL!M66</f>
        <v>0</v>
      </c>
      <c r="J87" s="14">
        <f ca="1">ALL!N66</f>
        <v>0</v>
      </c>
      <c r="K87" s="14">
        <f ca="1">ALL!O66</f>
        <v>0</v>
      </c>
      <c r="L87" s="14">
        <f ca="1">ALL!P66</f>
        <v>0</v>
      </c>
      <c r="M87" s="14">
        <f ca="1">ALL!Q66</f>
        <v>0</v>
      </c>
      <c r="N87" s="14">
        <f ca="1">ALL!R66</f>
        <v>0</v>
      </c>
      <c r="O87" s="14">
        <f ca="1">ALL!S66</f>
        <v>0</v>
      </c>
      <c r="P87" s="14">
        <f ca="1">ALL!T66</f>
        <v>0</v>
      </c>
      <c r="Q87" s="14">
        <f ca="1">ALL!U66</f>
        <v>0</v>
      </c>
      <c r="R87" s="14">
        <f ca="1">ALL!V66</f>
        <v>0</v>
      </c>
      <c r="S87" s="14">
        <f ca="1">ALL!W66</f>
        <v>0</v>
      </c>
      <c r="T87" s="14">
        <f ca="1">ALL!X66</f>
        <v>0</v>
      </c>
      <c r="U87" s="14">
        <f ca="1">ALL!Y66</f>
        <v>0</v>
      </c>
      <c r="V87" s="14">
        <f ca="1">ALL!Z66</f>
        <v>0</v>
      </c>
      <c r="W87" s="14">
        <f ca="1">ALL!AA66</f>
        <v>0</v>
      </c>
      <c r="X87" s="14">
        <f ca="1">ALL!AB66</f>
        <v>0</v>
      </c>
      <c r="Y87" s="14">
        <f ca="1">ALL!AC66</f>
        <v>0</v>
      </c>
      <c r="Z87" s="14">
        <f ca="1">ALL!AD66</f>
        <v>0</v>
      </c>
      <c r="AA87" s="14">
        <f ca="1">ALL!AE66</f>
        <v>0</v>
      </c>
      <c r="AB87" s="14">
        <f ca="1">ALL!AF66</f>
        <v>0</v>
      </c>
      <c r="AC87" s="14">
        <f ca="1">ALL!AG66</f>
        <v>0</v>
      </c>
      <c r="AD87" s="14">
        <f ca="1">ALL!AH66</f>
        <v>0</v>
      </c>
      <c r="AE87" s="14">
        <f ca="1">ALL!AI66</f>
        <v>0</v>
      </c>
      <c r="AF87" s="14">
        <f ca="1">ALL!AJ66</f>
        <v>0</v>
      </c>
      <c r="AG87" s="14">
        <f ca="1">ALL!AK66</f>
        <v>0</v>
      </c>
      <c r="AH87" s="14">
        <f ca="1">ALL!AL66</f>
        <v>0</v>
      </c>
      <c r="AI87" s="14">
        <f>ALL!AM66</f>
        <v>0</v>
      </c>
    </row>
    <row r="88" spans="1:35" ht="21.75" hidden="1" outlineLevel="1" thickBot="1" x14ac:dyDescent="0.4">
      <c r="A88" s="36">
        <f>ALL!E67</f>
        <v>0</v>
      </c>
      <c r="B88" s="16">
        <f ca="1">ALL!F67</f>
        <v>0</v>
      </c>
      <c r="C88" s="16">
        <f ca="1">ALL!G67</f>
        <v>0</v>
      </c>
      <c r="D88" s="16">
        <f ca="1">ALL!H67</f>
        <v>0</v>
      </c>
      <c r="E88" s="16">
        <f ca="1">ALL!I67</f>
        <v>0</v>
      </c>
      <c r="F88" s="14">
        <f ca="1">ALL!J67</f>
        <v>0</v>
      </c>
      <c r="G88" s="14">
        <f ca="1">ALL!K67</f>
        <v>0</v>
      </c>
      <c r="H88" s="14">
        <f ca="1">ALL!L67</f>
        <v>0</v>
      </c>
      <c r="I88" s="14">
        <f ca="1">ALL!M67</f>
        <v>0</v>
      </c>
      <c r="J88" s="14">
        <f ca="1">ALL!N67</f>
        <v>0</v>
      </c>
      <c r="K88" s="14">
        <f ca="1">ALL!O67</f>
        <v>0</v>
      </c>
      <c r="L88" s="14">
        <f ca="1">ALL!P67</f>
        <v>0</v>
      </c>
      <c r="M88" s="14">
        <f ca="1">ALL!Q67</f>
        <v>0</v>
      </c>
      <c r="N88" s="14">
        <f ca="1">ALL!R67</f>
        <v>0</v>
      </c>
      <c r="O88" s="14">
        <f ca="1">ALL!S67</f>
        <v>0</v>
      </c>
      <c r="P88" s="14">
        <f ca="1">ALL!T67</f>
        <v>0</v>
      </c>
      <c r="Q88" s="14">
        <f ca="1">ALL!U67</f>
        <v>0</v>
      </c>
      <c r="R88" s="14">
        <f ca="1">ALL!V67</f>
        <v>0</v>
      </c>
      <c r="S88" s="14">
        <f ca="1">ALL!W67</f>
        <v>0</v>
      </c>
      <c r="T88" s="14">
        <f ca="1">ALL!X67</f>
        <v>0</v>
      </c>
      <c r="U88" s="14">
        <f ca="1">ALL!Y67</f>
        <v>0</v>
      </c>
      <c r="V88" s="14">
        <f ca="1">ALL!Z67</f>
        <v>0</v>
      </c>
      <c r="W88" s="14">
        <f ca="1">ALL!AA67</f>
        <v>0</v>
      </c>
      <c r="X88" s="14">
        <f ca="1">ALL!AB67</f>
        <v>0</v>
      </c>
      <c r="Y88" s="14">
        <f ca="1">ALL!AC67</f>
        <v>0</v>
      </c>
      <c r="Z88" s="14">
        <f ca="1">ALL!AD67</f>
        <v>0</v>
      </c>
      <c r="AA88" s="14">
        <f ca="1">ALL!AE67</f>
        <v>0</v>
      </c>
      <c r="AB88" s="14">
        <f ca="1">ALL!AF67</f>
        <v>0</v>
      </c>
      <c r="AC88" s="14">
        <f ca="1">ALL!AG67</f>
        <v>0</v>
      </c>
      <c r="AD88" s="14">
        <f ca="1">ALL!AH67</f>
        <v>0</v>
      </c>
      <c r="AE88" s="14">
        <f ca="1">ALL!AI67</f>
        <v>0</v>
      </c>
      <c r="AF88" s="14">
        <f ca="1">ALL!AJ67</f>
        <v>0</v>
      </c>
      <c r="AG88" s="14">
        <f ca="1">ALL!AK67</f>
        <v>0</v>
      </c>
      <c r="AH88" s="14">
        <f ca="1">ALL!AL67</f>
        <v>0</v>
      </c>
      <c r="AI88" s="14">
        <f>ALL!AM67</f>
        <v>0</v>
      </c>
    </row>
    <row r="89" spans="1:35" ht="21.75" hidden="1" outlineLevel="1" thickBot="1" x14ac:dyDescent="0.4">
      <c r="A89" s="36">
        <f>ALL!E68</f>
        <v>0</v>
      </c>
      <c r="B89" s="16">
        <f ca="1">ALL!F68</f>
        <v>0</v>
      </c>
      <c r="C89" s="16">
        <f ca="1">ALL!G68</f>
        <v>0</v>
      </c>
      <c r="D89" s="16">
        <f ca="1">ALL!H68</f>
        <v>0</v>
      </c>
      <c r="E89" s="16">
        <f ca="1">ALL!I68</f>
        <v>0</v>
      </c>
      <c r="F89" s="14">
        <f ca="1">ALL!J68</f>
        <v>0</v>
      </c>
      <c r="G89" s="14">
        <f ca="1">ALL!K68</f>
        <v>0</v>
      </c>
      <c r="H89" s="14">
        <f ca="1">ALL!L68</f>
        <v>0</v>
      </c>
      <c r="I89" s="14">
        <f ca="1">ALL!M68</f>
        <v>0</v>
      </c>
      <c r="J89" s="14">
        <f ca="1">ALL!N68</f>
        <v>0</v>
      </c>
      <c r="K89" s="14">
        <f ca="1">ALL!O68</f>
        <v>0</v>
      </c>
      <c r="L89" s="14">
        <f ca="1">ALL!P68</f>
        <v>0</v>
      </c>
      <c r="M89" s="14">
        <f ca="1">ALL!Q68</f>
        <v>0</v>
      </c>
      <c r="N89" s="14">
        <f ca="1">ALL!R68</f>
        <v>0</v>
      </c>
      <c r="O89" s="14">
        <f ca="1">ALL!S68</f>
        <v>0</v>
      </c>
      <c r="P89" s="14">
        <f ca="1">ALL!T68</f>
        <v>0</v>
      </c>
      <c r="Q89" s="14">
        <f ca="1">ALL!U68</f>
        <v>0</v>
      </c>
      <c r="R89" s="14">
        <f ca="1">ALL!V68</f>
        <v>0</v>
      </c>
      <c r="S89" s="14">
        <f ca="1">ALL!W68</f>
        <v>0</v>
      </c>
      <c r="T89" s="14">
        <f ca="1">ALL!X68</f>
        <v>0</v>
      </c>
      <c r="U89" s="14">
        <f ca="1">ALL!Y68</f>
        <v>0</v>
      </c>
      <c r="V89" s="14">
        <f ca="1">ALL!Z68</f>
        <v>0</v>
      </c>
      <c r="W89" s="14">
        <f ca="1">ALL!AA68</f>
        <v>0</v>
      </c>
      <c r="X89" s="14">
        <f ca="1">ALL!AB68</f>
        <v>0</v>
      </c>
      <c r="Y89" s="14">
        <f ca="1">ALL!AC68</f>
        <v>0</v>
      </c>
      <c r="Z89" s="14">
        <f ca="1">ALL!AD68</f>
        <v>0</v>
      </c>
      <c r="AA89" s="14">
        <f ca="1">ALL!AE68</f>
        <v>0</v>
      </c>
      <c r="AB89" s="14">
        <f ca="1">ALL!AF68</f>
        <v>0</v>
      </c>
      <c r="AC89" s="14">
        <f ca="1">ALL!AG68</f>
        <v>0</v>
      </c>
      <c r="AD89" s="14">
        <f ca="1">ALL!AH68</f>
        <v>0</v>
      </c>
      <c r="AE89" s="14">
        <f ca="1">ALL!AI68</f>
        <v>0</v>
      </c>
      <c r="AF89" s="14">
        <f ca="1">ALL!AJ68</f>
        <v>0</v>
      </c>
      <c r="AG89" s="14">
        <f ca="1">ALL!AK68</f>
        <v>0</v>
      </c>
      <c r="AH89" s="14">
        <f ca="1">ALL!AL68</f>
        <v>0</v>
      </c>
      <c r="AI89" s="14">
        <f>ALL!AM68</f>
        <v>0</v>
      </c>
    </row>
    <row r="90" spans="1:35" ht="21.75" hidden="1" outlineLevel="1" thickBot="1" x14ac:dyDescent="0.4">
      <c r="A90" s="36">
        <f>ALL!E69</f>
        <v>0</v>
      </c>
      <c r="B90" s="16">
        <f ca="1">ALL!F69</f>
        <v>0</v>
      </c>
      <c r="C90" s="16">
        <f ca="1">ALL!G69</f>
        <v>0</v>
      </c>
      <c r="D90" s="16">
        <f ca="1">ALL!H69</f>
        <v>0</v>
      </c>
      <c r="E90" s="16">
        <f ca="1">ALL!I69</f>
        <v>0</v>
      </c>
      <c r="F90" s="14">
        <f ca="1">ALL!J69</f>
        <v>0</v>
      </c>
      <c r="G90" s="14">
        <f ca="1">ALL!K69</f>
        <v>0</v>
      </c>
      <c r="H90" s="14">
        <f ca="1">ALL!L69</f>
        <v>0</v>
      </c>
      <c r="I90" s="14">
        <f ca="1">ALL!M69</f>
        <v>0</v>
      </c>
      <c r="J90" s="14">
        <f ca="1">ALL!N69</f>
        <v>0</v>
      </c>
      <c r="K90" s="14">
        <f ca="1">ALL!O69</f>
        <v>0</v>
      </c>
      <c r="L90" s="14">
        <f ca="1">ALL!P69</f>
        <v>0</v>
      </c>
      <c r="M90" s="14">
        <f ca="1">ALL!Q69</f>
        <v>0</v>
      </c>
      <c r="N90" s="14">
        <f ca="1">ALL!R69</f>
        <v>0</v>
      </c>
      <c r="O90" s="14">
        <f ca="1">ALL!S69</f>
        <v>0</v>
      </c>
      <c r="P90" s="14">
        <f ca="1">ALL!T69</f>
        <v>0</v>
      </c>
      <c r="Q90" s="14">
        <f ca="1">ALL!U69</f>
        <v>0</v>
      </c>
      <c r="R90" s="14">
        <f ca="1">ALL!V69</f>
        <v>0</v>
      </c>
      <c r="S90" s="14">
        <f ca="1">ALL!W69</f>
        <v>0</v>
      </c>
      <c r="T90" s="14">
        <f ca="1">ALL!X69</f>
        <v>0</v>
      </c>
      <c r="U90" s="14">
        <f ca="1">ALL!Y69</f>
        <v>0</v>
      </c>
      <c r="V90" s="14">
        <f ca="1">ALL!Z69</f>
        <v>0</v>
      </c>
      <c r="W90" s="14">
        <f ca="1">ALL!AA69</f>
        <v>0</v>
      </c>
      <c r="X90" s="14">
        <f ca="1">ALL!AB69</f>
        <v>0</v>
      </c>
      <c r="Y90" s="14">
        <f ca="1">ALL!AC69</f>
        <v>0</v>
      </c>
      <c r="Z90" s="14">
        <f ca="1">ALL!AD69</f>
        <v>0</v>
      </c>
      <c r="AA90" s="14">
        <f ca="1">ALL!AE69</f>
        <v>0</v>
      </c>
      <c r="AB90" s="14">
        <f ca="1">ALL!AF69</f>
        <v>0</v>
      </c>
      <c r="AC90" s="14">
        <f ca="1">ALL!AG69</f>
        <v>0</v>
      </c>
      <c r="AD90" s="14">
        <f ca="1">ALL!AH69</f>
        <v>0</v>
      </c>
      <c r="AE90" s="14">
        <f ca="1">ALL!AI69</f>
        <v>0</v>
      </c>
      <c r="AF90" s="14">
        <f ca="1">ALL!AJ69</f>
        <v>0</v>
      </c>
      <c r="AG90" s="14">
        <f ca="1">ALL!AK69</f>
        <v>0</v>
      </c>
      <c r="AH90" s="14">
        <f ca="1">ALL!AL69</f>
        <v>0</v>
      </c>
      <c r="AI90" s="14">
        <f>ALL!AM69</f>
        <v>0</v>
      </c>
    </row>
    <row r="91" spans="1:35" ht="21.75" hidden="1" outlineLevel="1" thickBot="1" x14ac:dyDescent="0.4">
      <c r="A91" s="36">
        <f>ALL!E70</f>
        <v>0</v>
      </c>
      <c r="B91" s="16">
        <f ca="1">ALL!F70</f>
        <v>0</v>
      </c>
      <c r="C91" s="16">
        <f ca="1">ALL!G70</f>
        <v>0</v>
      </c>
      <c r="D91" s="16">
        <f ca="1">ALL!H70</f>
        <v>0</v>
      </c>
      <c r="E91" s="16">
        <f ca="1">ALL!I70</f>
        <v>0</v>
      </c>
      <c r="F91" s="14">
        <f ca="1">ALL!J70</f>
        <v>0</v>
      </c>
      <c r="G91" s="14">
        <f ca="1">ALL!K70</f>
        <v>0</v>
      </c>
      <c r="H91" s="14">
        <f ca="1">ALL!L70</f>
        <v>0</v>
      </c>
      <c r="I91" s="14">
        <f ca="1">ALL!M70</f>
        <v>0</v>
      </c>
      <c r="J91" s="14">
        <f ca="1">ALL!N70</f>
        <v>0</v>
      </c>
      <c r="K91" s="14">
        <f ca="1">ALL!O70</f>
        <v>0</v>
      </c>
      <c r="L91" s="14">
        <f ca="1">ALL!P70</f>
        <v>0</v>
      </c>
      <c r="M91" s="14">
        <f ca="1">ALL!Q70</f>
        <v>0</v>
      </c>
      <c r="N91" s="14">
        <f ca="1">ALL!R70</f>
        <v>0</v>
      </c>
      <c r="O91" s="14">
        <f ca="1">ALL!S70</f>
        <v>0</v>
      </c>
      <c r="P91" s="14">
        <f ca="1">ALL!T70</f>
        <v>0</v>
      </c>
      <c r="Q91" s="14">
        <f ca="1">ALL!U70</f>
        <v>0</v>
      </c>
      <c r="R91" s="14">
        <f ca="1">ALL!V70</f>
        <v>0</v>
      </c>
      <c r="S91" s="14">
        <f ca="1">ALL!W70</f>
        <v>0</v>
      </c>
      <c r="T91" s="14">
        <f ca="1">ALL!X70</f>
        <v>0</v>
      </c>
      <c r="U91" s="14">
        <f ca="1">ALL!Y70</f>
        <v>0</v>
      </c>
      <c r="V91" s="14">
        <f ca="1">ALL!Z70</f>
        <v>0</v>
      </c>
      <c r="W91" s="14">
        <f ca="1">ALL!AA70</f>
        <v>0</v>
      </c>
      <c r="X91" s="14">
        <f ca="1">ALL!AB70</f>
        <v>0</v>
      </c>
      <c r="Y91" s="14">
        <f ca="1">ALL!AC70</f>
        <v>0</v>
      </c>
      <c r="Z91" s="14">
        <f ca="1">ALL!AD70</f>
        <v>0</v>
      </c>
      <c r="AA91" s="14">
        <f ca="1">ALL!AE70</f>
        <v>0</v>
      </c>
      <c r="AB91" s="14">
        <f ca="1">ALL!AF70</f>
        <v>0</v>
      </c>
      <c r="AC91" s="14">
        <f ca="1">ALL!AG70</f>
        <v>0</v>
      </c>
      <c r="AD91" s="14">
        <f ca="1">ALL!AH70</f>
        <v>0</v>
      </c>
      <c r="AE91" s="14">
        <f ca="1">ALL!AI70</f>
        <v>0</v>
      </c>
      <c r="AF91" s="14">
        <f ca="1">ALL!AJ70</f>
        <v>0</v>
      </c>
      <c r="AG91" s="14">
        <f ca="1">ALL!AK70</f>
        <v>0</v>
      </c>
      <c r="AH91" s="14">
        <f ca="1">ALL!AL70</f>
        <v>0</v>
      </c>
      <c r="AI91" s="14">
        <f>ALL!AM70</f>
        <v>0</v>
      </c>
    </row>
    <row r="92" spans="1:35" ht="21.75" hidden="1" outlineLevel="1" thickBot="1" x14ac:dyDescent="0.4">
      <c r="A92" s="36">
        <f>ALL!E71</f>
        <v>0</v>
      </c>
      <c r="B92" s="16">
        <f ca="1">ALL!F71</f>
        <v>0</v>
      </c>
      <c r="C92" s="16">
        <f ca="1">ALL!G71</f>
        <v>0</v>
      </c>
      <c r="D92" s="16">
        <f ca="1">ALL!H71</f>
        <v>0</v>
      </c>
      <c r="E92" s="16">
        <f ca="1">ALL!I71</f>
        <v>0</v>
      </c>
      <c r="F92" s="14">
        <f ca="1">ALL!J71</f>
        <v>0</v>
      </c>
      <c r="G92" s="14">
        <f ca="1">ALL!K71</f>
        <v>0</v>
      </c>
      <c r="H92" s="14">
        <f ca="1">ALL!L71</f>
        <v>0</v>
      </c>
      <c r="I92" s="14">
        <f ca="1">ALL!M71</f>
        <v>0</v>
      </c>
      <c r="J92" s="14">
        <f ca="1">ALL!N71</f>
        <v>0</v>
      </c>
      <c r="K92" s="14">
        <f ca="1">ALL!O71</f>
        <v>0</v>
      </c>
      <c r="L92" s="14">
        <f ca="1">ALL!P71</f>
        <v>0</v>
      </c>
      <c r="M92" s="14">
        <f ca="1">ALL!Q71</f>
        <v>0</v>
      </c>
      <c r="N92" s="14">
        <f ca="1">ALL!R71</f>
        <v>0</v>
      </c>
      <c r="O92" s="14">
        <f ca="1">ALL!S71</f>
        <v>0</v>
      </c>
      <c r="P92" s="14">
        <f ca="1">ALL!T71</f>
        <v>0</v>
      </c>
      <c r="Q92" s="14">
        <f ca="1">ALL!U71</f>
        <v>0</v>
      </c>
      <c r="R92" s="14">
        <f ca="1">ALL!V71</f>
        <v>0</v>
      </c>
      <c r="S92" s="14">
        <f ca="1">ALL!W71</f>
        <v>0</v>
      </c>
      <c r="T92" s="14">
        <f ca="1">ALL!X71</f>
        <v>0</v>
      </c>
      <c r="U92" s="14">
        <f ca="1">ALL!Y71</f>
        <v>0</v>
      </c>
      <c r="V92" s="14">
        <f ca="1">ALL!Z71</f>
        <v>0</v>
      </c>
      <c r="W92" s="14">
        <f ca="1">ALL!AA71</f>
        <v>0</v>
      </c>
      <c r="X92" s="14">
        <f ca="1">ALL!AB71</f>
        <v>0</v>
      </c>
      <c r="Y92" s="14">
        <f ca="1">ALL!AC71</f>
        <v>0</v>
      </c>
      <c r="Z92" s="14">
        <f ca="1">ALL!AD71</f>
        <v>0</v>
      </c>
      <c r="AA92" s="14">
        <f ca="1">ALL!AE71</f>
        <v>0</v>
      </c>
      <c r="AB92" s="14">
        <f ca="1">ALL!AF71</f>
        <v>0</v>
      </c>
      <c r="AC92" s="14">
        <f ca="1">ALL!AG71</f>
        <v>0</v>
      </c>
      <c r="AD92" s="14">
        <f ca="1">ALL!AH71</f>
        <v>0</v>
      </c>
      <c r="AE92" s="14">
        <f ca="1">ALL!AI71</f>
        <v>0</v>
      </c>
      <c r="AF92" s="14">
        <f ca="1">ALL!AJ71</f>
        <v>0</v>
      </c>
      <c r="AG92" s="14">
        <f ca="1">ALL!AK71</f>
        <v>0</v>
      </c>
      <c r="AH92" s="14">
        <f ca="1">ALL!AL71</f>
        <v>0</v>
      </c>
      <c r="AI92" s="14">
        <f>ALL!AM71</f>
        <v>0</v>
      </c>
    </row>
    <row r="93" spans="1:35" ht="21.75" hidden="1" outlineLevel="1" thickBot="1" x14ac:dyDescent="0.4">
      <c r="A93" s="36">
        <f>ALL!E72</f>
        <v>0</v>
      </c>
      <c r="B93" s="16">
        <f ca="1">ALL!F72</f>
        <v>0</v>
      </c>
      <c r="C93" s="16">
        <f ca="1">ALL!G72</f>
        <v>0</v>
      </c>
      <c r="D93" s="16">
        <f ca="1">ALL!H72</f>
        <v>0</v>
      </c>
      <c r="E93" s="16">
        <f ca="1">ALL!I72</f>
        <v>0</v>
      </c>
      <c r="F93" s="14">
        <f ca="1">ALL!J72</f>
        <v>0</v>
      </c>
      <c r="G93" s="14">
        <f ca="1">ALL!K72</f>
        <v>0</v>
      </c>
      <c r="H93" s="14">
        <f ca="1">ALL!L72</f>
        <v>0</v>
      </c>
      <c r="I93" s="14">
        <f ca="1">ALL!M72</f>
        <v>0</v>
      </c>
      <c r="J93" s="14">
        <f ca="1">ALL!N72</f>
        <v>0</v>
      </c>
      <c r="K93" s="14">
        <f ca="1">ALL!O72</f>
        <v>0</v>
      </c>
      <c r="L93" s="14">
        <f ca="1">ALL!P72</f>
        <v>0</v>
      </c>
      <c r="M93" s="14">
        <f ca="1">ALL!Q72</f>
        <v>0</v>
      </c>
      <c r="N93" s="14">
        <f ca="1">ALL!R72</f>
        <v>0</v>
      </c>
      <c r="O93" s="14">
        <f ca="1">ALL!S72</f>
        <v>0</v>
      </c>
      <c r="P93" s="14">
        <f ca="1">ALL!T72</f>
        <v>0</v>
      </c>
      <c r="Q93" s="14">
        <f ca="1">ALL!U72</f>
        <v>0</v>
      </c>
      <c r="R93" s="14">
        <f ca="1">ALL!V72</f>
        <v>0</v>
      </c>
      <c r="S93" s="14">
        <f ca="1">ALL!W72</f>
        <v>0</v>
      </c>
      <c r="T93" s="14">
        <f ca="1">ALL!X72</f>
        <v>0</v>
      </c>
      <c r="U93" s="14">
        <f ca="1">ALL!Y72</f>
        <v>0</v>
      </c>
      <c r="V93" s="14">
        <f ca="1">ALL!Z72</f>
        <v>0</v>
      </c>
      <c r="W93" s="14">
        <f ca="1">ALL!AA72</f>
        <v>0</v>
      </c>
      <c r="X93" s="14">
        <f ca="1">ALL!AB72</f>
        <v>0</v>
      </c>
      <c r="Y93" s="14">
        <f ca="1">ALL!AC72</f>
        <v>0</v>
      </c>
      <c r="Z93" s="14">
        <f ca="1">ALL!AD72</f>
        <v>0</v>
      </c>
      <c r="AA93" s="14">
        <f ca="1">ALL!AE72</f>
        <v>0</v>
      </c>
      <c r="AB93" s="14">
        <f ca="1">ALL!AF72</f>
        <v>0</v>
      </c>
      <c r="AC93" s="14">
        <f ca="1">ALL!AG72</f>
        <v>0</v>
      </c>
      <c r="AD93" s="14">
        <f ca="1">ALL!AH72</f>
        <v>0</v>
      </c>
      <c r="AE93" s="14">
        <f ca="1">ALL!AI72</f>
        <v>0</v>
      </c>
      <c r="AF93" s="14">
        <f ca="1">ALL!AJ72</f>
        <v>0</v>
      </c>
      <c r="AG93" s="14">
        <f ca="1">ALL!AK72</f>
        <v>0</v>
      </c>
      <c r="AH93" s="14">
        <f ca="1">ALL!AL72</f>
        <v>0</v>
      </c>
      <c r="AI93" s="14">
        <f>ALL!AM72</f>
        <v>0</v>
      </c>
    </row>
    <row r="94" spans="1:35" ht="21.75" hidden="1" outlineLevel="1" thickBot="1" x14ac:dyDescent="0.4">
      <c r="A94" s="36">
        <f>ALL!E73</f>
        <v>0</v>
      </c>
      <c r="B94" s="16">
        <f ca="1">ALL!F73</f>
        <v>0</v>
      </c>
      <c r="C94" s="16">
        <f ca="1">ALL!G73</f>
        <v>0</v>
      </c>
      <c r="D94" s="16">
        <f ca="1">ALL!H73</f>
        <v>0</v>
      </c>
      <c r="E94" s="16">
        <f ca="1">ALL!I73</f>
        <v>0</v>
      </c>
      <c r="F94" s="14">
        <f ca="1">ALL!J73</f>
        <v>0</v>
      </c>
      <c r="G94" s="14">
        <f ca="1">ALL!K73</f>
        <v>0</v>
      </c>
      <c r="H94" s="14">
        <f ca="1">ALL!L73</f>
        <v>0</v>
      </c>
      <c r="I94" s="14">
        <f ca="1">ALL!M73</f>
        <v>0</v>
      </c>
      <c r="J94" s="14">
        <f ca="1">ALL!N73</f>
        <v>0</v>
      </c>
      <c r="K94" s="14">
        <f ca="1">ALL!O73</f>
        <v>0</v>
      </c>
      <c r="L94" s="14">
        <f ca="1">ALL!P73</f>
        <v>0</v>
      </c>
      <c r="M94" s="14">
        <f ca="1">ALL!Q73</f>
        <v>0</v>
      </c>
      <c r="N94" s="14">
        <f ca="1">ALL!R73</f>
        <v>0</v>
      </c>
      <c r="O94" s="14">
        <f ca="1">ALL!S73</f>
        <v>0</v>
      </c>
      <c r="P94" s="14">
        <f ca="1">ALL!T73</f>
        <v>0</v>
      </c>
      <c r="Q94" s="14">
        <f ca="1">ALL!U73</f>
        <v>0</v>
      </c>
      <c r="R94" s="14">
        <f ca="1">ALL!V73</f>
        <v>0</v>
      </c>
      <c r="S94" s="14">
        <f ca="1">ALL!W73</f>
        <v>0</v>
      </c>
      <c r="T94" s="14">
        <f ca="1">ALL!X73</f>
        <v>0</v>
      </c>
      <c r="U94" s="14">
        <f ca="1">ALL!Y73</f>
        <v>0</v>
      </c>
      <c r="V94" s="14">
        <f ca="1">ALL!Z73</f>
        <v>0</v>
      </c>
      <c r="W94" s="14">
        <f ca="1">ALL!AA73</f>
        <v>0</v>
      </c>
      <c r="X94" s="14">
        <f ca="1">ALL!AB73</f>
        <v>0</v>
      </c>
      <c r="Y94" s="14">
        <f ca="1">ALL!AC73</f>
        <v>0</v>
      </c>
      <c r="Z94" s="14">
        <f ca="1">ALL!AD73</f>
        <v>0</v>
      </c>
      <c r="AA94" s="14">
        <f ca="1">ALL!AE73</f>
        <v>0</v>
      </c>
      <c r="AB94" s="14">
        <f ca="1">ALL!AF73</f>
        <v>0</v>
      </c>
      <c r="AC94" s="14">
        <f ca="1">ALL!AG73</f>
        <v>0</v>
      </c>
      <c r="AD94" s="14">
        <f ca="1">ALL!AH73</f>
        <v>0</v>
      </c>
      <c r="AE94" s="14">
        <f ca="1">ALL!AI73</f>
        <v>0</v>
      </c>
      <c r="AF94" s="14">
        <f ca="1">ALL!AJ73</f>
        <v>0</v>
      </c>
      <c r="AG94" s="14">
        <f ca="1">ALL!AK73</f>
        <v>0</v>
      </c>
      <c r="AH94" s="14">
        <f ca="1">ALL!AL73</f>
        <v>0</v>
      </c>
      <c r="AI94" s="14">
        <f>ALL!AM73</f>
        <v>0</v>
      </c>
    </row>
    <row r="95" spans="1:35" ht="21.75" hidden="1" outlineLevel="1" thickBot="1" x14ac:dyDescent="0.4">
      <c r="A95" s="36">
        <f>ALL!E74</f>
        <v>0</v>
      </c>
      <c r="B95" s="16">
        <f ca="1">ALL!F74</f>
        <v>0</v>
      </c>
      <c r="C95" s="16">
        <f ca="1">ALL!G74</f>
        <v>0</v>
      </c>
      <c r="D95" s="16">
        <f ca="1">ALL!H74</f>
        <v>0</v>
      </c>
      <c r="E95" s="16">
        <f ca="1">ALL!I74</f>
        <v>0</v>
      </c>
      <c r="F95" s="14">
        <f ca="1">ALL!J74</f>
        <v>0</v>
      </c>
      <c r="G95" s="14">
        <f ca="1">ALL!K74</f>
        <v>0</v>
      </c>
      <c r="H95" s="14">
        <f ca="1">ALL!L74</f>
        <v>0</v>
      </c>
      <c r="I95" s="14">
        <f ca="1">ALL!M74</f>
        <v>0</v>
      </c>
      <c r="J95" s="14">
        <f ca="1">ALL!N74</f>
        <v>0</v>
      </c>
      <c r="K95" s="14">
        <f ca="1">ALL!O74</f>
        <v>0</v>
      </c>
      <c r="L95" s="14">
        <f ca="1">ALL!P74</f>
        <v>0</v>
      </c>
      <c r="M95" s="14">
        <f ca="1">ALL!Q74</f>
        <v>0</v>
      </c>
      <c r="N95" s="14">
        <f ca="1">ALL!R74</f>
        <v>0</v>
      </c>
      <c r="O95" s="14">
        <f ca="1">ALL!S74</f>
        <v>0</v>
      </c>
      <c r="P95" s="14">
        <f ca="1">ALL!T74</f>
        <v>0</v>
      </c>
      <c r="Q95" s="14">
        <f ca="1">ALL!U74</f>
        <v>0</v>
      </c>
      <c r="R95" s="14">
        <f ca="1">ALL!V74</f>
        <v>0</v>
      </c>
      <c r="S95" s="14">
        <f ca="1">ALL!W74</f>
        <v>0</v>
      </c>
      <c r="T95" s="14">
        <f ca="1">ALL!X74</f>
        <v>0</v>
      </c>
      <c r="U95" s="14">
        <f ca="1">ALL!Y74</f>
        <v>0</v>
      </c>
      <c r="V95" s="14">
        <f ca="1">ALL!Z74</f>
        <v>0</v>
      </c>
      <c r="W95" s="14">
        <f ca="1">ALL!AA74</f>
        <v>0</v>
      </c>
      <c r="X95" s="14">
        <f ca="1">ALL!AB74</f>
        <v>0</v>
      </c>
      <c r="Y95" s="14">
        <f ca="1">ALL!AC74</f>
        <v>0</v>
      </c>
      <c r="Z95" s="14">
        <f ca="1">ALL!AD74</f>
        <v>0</v>
      </c>
      <c r="AA95" s="14">
        <f ca="1">ALL!AE74</f>
        <v>0</v>
      </c>
      <c r="AB95" s="14">
        <f ca="1">ALL!AF74</f>
        <v>0</v>
      </c>
      <c r="AC95" s="14">
        <f ca="1">ALL!AG74</f>
        <v>0</v>
      </c>
      <c r="AD95" s="14">
        <f ca="1">ALL!AH74</f>
        <v>0</v>
      </c>
      <c r="AE95" s="14">
        <f ca="1">ALL!AI74</f>
        <v>0</v>
      </c>
      <c r="AF95" s="14">
        <f ca="1">ALL!AJ74</f>
        <v>0</v>
      </c>
      <c r="AG95" s="14">
        <f ca="1">ALL!AK74</f>
        <v>0</v>
      </c>
      <c r="AH95" s="14">
        <f ca="1">ALL!AL74</f>
        <v>0</v>
      </c>
      <c r="AI95" s="14">
        <f>ALL!AM74</f>
        <v>0</v>
      </c>
    </row>
    <row r="96" spans="1:35" ht="21.75" hidden="1" outlineLevel="1" thickBot="1" x14ac:dyDescent="0.4">
      <c r="A96" s="36">
        <f>ALL!E75</f>
        <v>1</v>
      </c>
      <c r="B96" s="16">
        <f>ALL!F75</f>
        <v>0</v>
      </c>
      <c r="C96" s="16">
        <f>ALL!G75</f>
        <v>0</v>
      </c>
      <c r="D96" s="16">
        <f>ALL!H75</f>
        <v>0</v>
      </c>
      <c r="E96" s="16">
        <f>ALL!I75</f>
        <v>0</v>
      </c>
      <c r="F96" s="14">
        <f>ALL!J75</f>
        <v>0</v>
      </c>
      <c r="G96" s="14">
        <f>ALL!K75</f>
        <v>0</v>
      </c>
      <c r="H96" s="14">
        <f>ALL!L75</f>
        <v>0</v>
      </c>
      <c r="I96" s="14">
        <f>ALL!M75</f>
        <v>0</v>
      </c>
      <c r="J96" s="14">
        <f>ALL!N75</f>
        <v>0</v>
      </c>
      <c r="K96" s="14">
        <f>ALL!O75</f>
        <v>0</v>
      </c>
      <c r="L96" s="14">
        <f>ALL!P75</f>
        <v>0</v>
      </c>
      <c r="M96" s="14">
        <f>ALL!Q75</f>
        <v>0</v>
      </c>
      <c r="N96" s="14">
        <f>ALL!R75</f>
        <v>0</v>
      </c>
      <c r="O96" s="14">
        <f>ALL!S75</f>
        <v>0</v>
      </c>
      <c r="P96" s="14">
        <f>ALL!T75</f>
        <v>0</v>
      </c>
      <c r="Q96" s="14">
        <f>ALL!U75</f>
        <v>0</v>
      </c>
      <c r="R96" s="14">
        <f>ALL!V75</f>
        <v>0</v>
      </c>
      <c r="S96" s="14">
        <f>ALL!W75</f>
        <v>0</v>
      </c>
      <c r="T96" s="14">
        <f>ALL!X75</f>
        <v>0</v>
      </c>
      <c r="U96" s="14">
        <f>ALL!Y75</f>
        <v>0</v>
      </c>
      <c r="V96" s="14">
        <f>ALL!Z75</f>
        <v>0</v>
      </c>
      <c r="W96" s="14">
        <f>ALL!AA75</f>
        <v>0</v>
      </c>
      <c r="X96" s="14">
        <f>ALL!AB75</f>
        <v>0</v>
      </c>
      <c r="Y96" s="14">
        <f>ALL!AC75</f>
        <v>0</v>
      </c>
      <c r="Z96" s="14">
        <f>ALL!AD75</f>
        <v>0</v>
      </c>
      <c r="AA96" s="14">
        <f>ALL!AE75</f>
        <v>0</v>
      </c>
      <c r="AB96" s="14">
        <f>ALL!AF75</f>
        <v>0</v>
      </c>
      <c r="AC96" s="14">
        <f>ALL!AG75</f>
        <v>0</v>
      </c>
      <c r="AD96" s="14">
        <f>ALL!AH75</f>
        <v>0</v>
      </c>
      <c r="AE96" s="14">
        <f>ALL!AI75</f>
        <v>0</v>
      </c>
      <c r="AF96" s="14">
        <f>ALL!AJ75</f>
        <v>0</v>
      </c>
      <c r="AG96" s="14">
        <f>ALL!AK75</f>
        <v>0</v>
      </c>
      <c r="AH96" s="14">
        <f>ALL!AL75</f>
        <v>0</v>
      </c>
      <c r="AI96" s="14">
        <f>ALL!AM75</f>
        <v>0</v>
      </c>
    </row>
    <row r="97" spans="1:94" ht="21.75" collapsed="1" thickTop="1" x14ac:dyDescent="0.35">
      <c r="A97" s="140" t="s">
        <v>10</v>
      </c>
      <c r="B97" s="141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</row>
    <row r="98" spans="1:94" x14ac:dyDescent="0.35">
      <c r="A98" s="21">
        <f>Values!B1</f>
        <v>700</v>
      </c>
      <c r="B98" s="53">
        <f>MIN(B100:CP154)</f>
        <v>-174.57772277227724</v>
      </c>
    </row>
    <row r="99" spans="1:94" ht="21.75" thickBot="1" x14ac:dyDescent="0.4">
      <c r="A99" s="22">
        <f>A98</f>
        <v>700</v>
      </c>
      <c r="B99" s="54">
        <v>0</v>
      </c>
    </row>
    <row r="100" spans="1:94" ht="22.5" thickTop="1" thickBot="1" x14ac:dyDescent="0.4">
      <c r="A100" s="4" t="s">
        <v>30</v>
      </c>
      <c r="B100" s="72">
        <v>290</v>
      </c>
      <c r="C100" s="72">
        <v>298</v>
      </c>
      <c r="D100" s="72">
        <v>306</v>
      </c>
      <c r="E100" s="72">
        <v>314</v>
      </c>
      <c r="F100" s="4">
        <v>322</v>
      </c>
      <c r="G100" s="4">
        <v>330</v>
      </c>
      <c r="H100" s="4">
        <v>338</v>
      </c>
      <c r="I100" s="4">
        <v>346</v>
      </c>
      <c r="J100" s="4">
        <v>354</v>
      </c>
      <c r="K100" s="4">
        <v>362</v>
      </c>
      <c r="L100" s="4">
        <v>370</v>
      </c>
      <c r="M100" s="4">
        <v>378</v>
      </c>
      <c r="N100" s="4">
        <v>386</v>
      </c>
      <c r="O100" s="4">
        <v>394</v>
      </c>
      <c r="P100" s="4">
        <v>402</v>
      </c>
      <c r="Q100" s="4">
        <v>410</v>
      </c>
      <c r="R100" s="4">
        <v>418</v>
      </c>
      <c r="S100" s="4">
        <v>426</v>
      </c>
      <c r="T100" s="4">
        <v>434</v>
      </c>
      <c r="U100" s="4">
        <v>442</v>
      </c>
      <c r="V100" s="4">
        <v>450</v>
      </c>
      <c r="W100" s="4">
        <v>458</v>
      </c>
      <c r="X100" s="4">
        <v>466</v>
      </c>
      <c r="Y100" s="4">
        <v>474</v>
      </c>
      <c r="Z100" s="4">
        <v>482</v>
      </c>
      <c r="AA100" s="4">
        <v>490</v>
      </c>
      <c r="AB100" s="4">
        <v>498</v>
      </c>
      <c r="AC100" s="4">
        <v>506</v>
      </c>
      <c r="AD100" s="4">
        <v>514</v>
      </c>
      <c r="AE100" s="4">
        <v>522</v>
      </c>
      <c r="AF100" s="4">
        <v>530</v>
      </c>
      <c r="AG100" s="4">
        <v>538</v>
      </c>
      <c r="AH100" s="4">
        <v>546</v>
      </c>
      <c r="AI100" s="4">
        <v>554</v>
      </c>
      <c r="AJ100" s="4">
        <v>562</v>
      </c>
      <c r="AK100" s="4">
        <v>570</v>
      </c>
      <c r="AL100" s="4">
        <v>578</v>
      </c>
      <c r="AM100" s="4">
        <v>586</v>
      </c>
      <c r="AN100" s="4">
        <v>594</v>
      </c>
      <c r="AO100" s="4">
        <v>602</v>
      </c>
      <c r="AP100" s="4">
        <v>610</v>
      </c>
      <c r="AQ100" s="4">
        <v>618</v>
      </c>
      <c r="AR100" s="4">
        <v>626</v>
      </c>
      <c r="AS100" s="4">
        <v>634</v>
      </c>
      <c r="AT100" s="4">
        <v>642</v>
      </c>
      <c r="AU100" s="4">
        <v>650</v>
      </c>
      <c r="AV100" s="4">
        <v>658</v>
      </c>
      <c r="AW100" s="4">
        <v>666</v>
      </c>
      <c r="AX100" s="4">
        <v>674</v>
      </c>
      <c r="AY100" s="4">
        <v>682</v>
      </c>
      <c r="AZ100" s="4">
        <v>690</v>
      </c>
      <c r="BA100" s="4">
        <v>698</v>
      </c>
      <c r="BB100" s="4">
        <v>706</v>
      </c>
      <c r="BC100" s="4">
        <v>714</v>
      </c>
      <c r="BD100" s="4">
        <v>722</v>
      </c>
      <c r="BE100" s="4">
        <v>730</v>
      </c>
      <c r="BF100" s="4">
        <v>738</v>
      </c>
      <c r="BG100" s="4">
        <v>746</v>
      </c>
      <c r="BH100" s="4">
        <v>754</v>
      </c>
      <c r="BI100" s="4">
        <v>762</v>
      </c>
      <c r="BJ100" s="4">
        <v>770</v>
      </c>
      <c r="BK100" s="4">
        <v>778</v>
      </c>
      <c r="BL100" s="4">
        <v>786</v>
      </c>
      <c r="BM100" s="4">
        <v>794</v>
      </c>
      <c r="BN100" s="4">
        <v>802</v>
      </c>
      <c r="BO100" s="4">
        <v>810</v>
      </c>
      <c r="BP100" s="4">
        <v>818</v>
      </c>
      <c r="BQ100" s="4">
        <v>826</v>
      </c>
      <c r="BR100" s="4">
        <v>834</v>
      </c>
      <c r="BS100" s="4">
        <v>842</v>
      </c>
      <c r="BT100" s="4">
        <v>850</v>
      </c>
      <c r="BU100" s="4">
        <v>858</v>
      </c>
      <c r="BV100" s="4">
        <v>866</v>
      </c>
      <c r="BW100" s="4">
        <v>874</v>
      </c>
      <c r="BX100" s="4">
        <v>882</v>
      </c>
      <c r="BY100" s="4">
        <v>890</v>
      </c>
      <c r="BZ100" s="4">
        <v>898</v>
      </c>
      <c r="CA100" s="4">
        <v>906</v>
      </c>
      <c r="CB100" s="4">
        <v>914</v>
      </c>
      <c r="CC100" s="4">
        <v>922</v>
      </c>
      <c r="CD100" s="4">
        <v>930</v>
      </c>
      <c r="CE100" s="4">
        <v>938</v>
      </c>
      <c r="CF100" s="4">
        <v>946</v>
      </c>
      <c r="CG100" s="4">
        <v>954</v>
      </c>
      <c r="CH100" s="4">
        <v>962</v>
      </c>
      <c r="CI100" s="4">
        <v>970</v>
      </c>
      <c r="CJ100" s="4">
        <v>978</v>
      </c>
      <c r="CK100" s="4">
        <v>986</v>
      </c>
      <c r="CL100" s="4">
        <v>994</v>
      </c>
      <c r="CM100" s="4"/>
      <c r="CN100" s="4"/>
      <c r="CO100" s="4"/>
      <c r="CP100" s="4"/>
    </row>
    <row r="101" spans="1:94" ht="22.5" thickTop="1" thickBot="1" x14ac:dyDescent="0.4">
      <c r="A101" s="18" t="s">
        <v>80</v>
      </c>
      <c r="B101" s="38">
        <v>-136.5330198019802</v>
      </c>
      <c r="C101" s="38">
        <v>-133.73970297029703</v>
      </c>
      <c r="D101" s="38">
        <v>-131.11792079207922</v>
      </c>
      <c r="E101" s="38">
        <v>-128.51841584158416</v>
      </c>
      <c r="F101">
        <v>-126.2530693069307</v>
      </c>
      <c r="G101">
        <v>-123.98772277227724</v>
      </c>
      <c r="H101">
        <v>-122.0140099009901</v>
      </c>
      <c r="I101">
        <v>-120.29123762376238</v>
      </c>
      <c r="J101">
        <v>-118.57642202970297</v>
      </c>
      <c r="K101">
        <v>-117.4901844059406</v>
      </c>
      <c r="L101">
        <v>-116.40394678217822</v>
      </c>
      <c r="M101">
        <v>-115.31770915841584</v>
      </c>
      <c r="N101">
        <v>-114.23147153465347</v>
      </c>
      <c r="O101">
        <v>-113.14523391089109</v>
      </c>
      <c r="P101">
        <v>-112.05899628712871</v>
      </c>
      <c r="Q101">
        <v>-110.97275866336633</v>
      </c>
      <c r="R101">
        <v>-109.88652103960396</v>
      </c>
      <c r="S101">
        <v>-108.80028341584158</v>
      </c>
      <c r="T101">
        <v>-107.7140457920792</v>
      </c>
      <c r="U101">
        <v>-106.90128712871287</v>
      </c>
      <c r="V101">
        <v>-106.11475247524751</v>
      </c>
      <c r="W101">
        <v>-105.37026732673267</v>
      </c>
      <c r="X101">
        <v>-104.69224752475247</v>
      </c>
      <c r="Y101">
        <v>-104.01422772277228</v>
      </c>
      <c r="Z101">
        <v>-103.38753731343283</v>
      </c>
      <c r="AA101">
        <v>-102.76902985074626</v>
      </c>
      <c r="AB101">
        <v>-102.17820792079208</v>
      </c>
      <c r="AC101">
        <v>-101.63880198019801</v>
      </c>
      <c r="AD101">
        <v>-101.09939603960396</v>
      </c>
      <c r="AE101">
        <v>-101.46405940594059</v>
      </c>
      <c r="AF101">
        <v>-102.02049504950494</v>
      </c>
      <c r="AG101">
        <v>-102.57039603960395</v>
      </c>
      <c r="AH101">
        <v>-103.10504950495049</v>
      </c>
      <c r="AI101">
        <v>-103.63970297029702</v>
      </c>
      <c r="AJ101">
        <v>-104.16115841584158</v>
      </c>
      <c r="AK101">
        <v>-104.67878217821782</v>
      </c>
      <c r="AL101">
        <v>-105.19670297029703</v>
      </c>
      <c r="AM101">
        <v>-105.71551485148515</v>
      </c>
      <c r="AN101">
        <v>-106.23432673267327</v>
      </c>
      <c r="AO101">
        <v>-106.74739603960397</v>
      </c>
      <c r="AP101">
        <v>-107.25828712871288</v>
      </c>
      <c r="AQ101">
        <v>-107.76917821782179</v>
      </c>
      <c r="AR101">
        <v>-108.2800693069307</v>
      </c>
      <c r="AS101">
        <v>-108.79096039603961</v>
      </c>
      <c r="AT101">
        <v>-109.30185148514852</v>
      </c>
      <c r="AU101">
        <v>-109.81274257425743</v>
      </c>
      <c r="AV101">
        <v>-110.32363366336634</v>
      </c>
      <c r="AW101">
        <v>-110.83452475247526</v>
      </c>
      <c r="AX101">
        <v>-111.34541584158417</v>
      </c>
      <c r="AY101">
        <v>-111.84375340768278</v>
      </c>
      <c r="AZ101">
        <v>-112.33455885997522</v>
      </c>
      <c r="BA101">
        <v>-112.82536431226767</v>
      </c>
      <c r="BB101">
        <v>-113.3161697645601</v>
      </c>
      <c r="BC101">
        <v>-113.80697521685254</v>
      </c>
      <c r="BD101">
        <v>-114.29778066914498</v>
      </c>
      <c r="BE101">
        <v>-114.78858612143742</v>
      </c>
      <c r="BF101">
        <v>-115.27939157372987</v>
      </c>
      <c r="BG101">
        <v>-115.7701970260223</v>
      </c>
      <c r="BH101">
        <v>-116.26100247831474</v>
      </c>
      <c r="BI101">
        <v>-116.74200866336633</v>
      </c>
      <c r="BJ101">
        <v>-117.21458292079208</v>
      </c>
      <c r="BK101">
        <v>-117.68715717821782</v>
      </c>
      <c r="BL101">
        <v>-118.15973143564356</v>
      </c>
      <c r="BM101">
        <v>-118.6323056930693</v>
      </c>
      <c r="BN101">
        <v>-119.10487995049505</v>
      </c>
      <c r="BO101">
        <v>-119.57745420792079</v>
      </c>
      <c r="BP101">
        <v>-120.05002846534653</v>
      </c>
      <c r="BQ101">
        <v>-120.52260272277228</v>
      </c>
      <c r="BR101">
        <v>-120.99517698019801</v>
      </c>
      <c r="BS101">
        <v>-121.45842255266419</v>
      </c>
      <c r="BT101">
        <v>-121.9096741016109</v>
      </c>
      <c r="BU101">
        <v>-122.36092565055762</v>
      </c>
      <c r="BV101">
        <v>-122.81217719950433</v>
      </c>
      <c r="BW101">
        <v>-123.26342874845105</v>
      </c>
      <c r="BX101">
        <v>-123.71468029739776</v>
      </c>
      <c r="BY101">
        <v>-124.16593184634448</v>
      </c>
      <c r="BZ101">
        <v>-124.61718339529119</v>
      </c>
      <c r="CA101">
        <v>-125.06843494423791</v>
      </c>
      <c r="CB101">
        <v>-125.51968649318462</v>
      </c>
      <c r="CC101">
        <v>-125.96596039603959</v>
      </c>
      <c r="CD101">
        <v>-126.40299009900988</v>
      </c>
      <c r="CE101">
        <v>-126.84001980198019</v>
      </c>
      <c r="CF101">
        <v>-127.27704950495048</v>
      </c>
      <c r="CG101">
        <v>-127.71407920792079</v>
      </c>
      <c r="CH101">
        <v>-128.15110891089108</v>
      </c>
      <c r="CI101">
        <v>-128.58813861386139</v>
      </c>
      <c r="CJ101">
        <v>-129.0251683168317</v>
      </c>
      <c r="CK101">
        <v>-129.46219801980197</v>
      </c>
      <c r="CL101">
        <v>-129.89922772277228</v>
      </c>
    </row>
    <row r="102" spans="1:94" ht="21.75" thickBot="1" x14ac:dyDescent="0.4">
      <c r="A102" s="18" t="s">
        <v>81</v>
      </c>
      <c r="B102" s="38">
        <v>-174.57772277227724</v>
      </c>
      <c r="C102" s="38">
        <v>-171.01623762376238</v>
      </c>
      <c r="D102" s="38">
        <v>-167.67366336633663</v>
      </c>
      <c r="E102" s="38">
        <v>-164.35955445544553</v>
      </c>
      <c r="F102">
        <v>-161.47242574257425</v>
      </c>
      <c r="G102">
        <v>-158.58529702970296</v>
      </c>
      <c r="H102">
        <v>-156.03237623762377</v>
      </c>
      <c r="I102">
        <v>-153.76702970297029</v>
      </c>
      <c r="J102">
        <v>-151.51140099009902</v>
      </c>
      <c r="K102">
        <v>-150.0234801980198</v>
      </c>
      <c r="L102">
        <v>-148.5355594059406</v>
      </c>
      <c r="M102">
        <v>-147.04763861386138</v>
      </c>
      <c r="N102">
        <v>-145.55971782178219</v>
      </c>
      <c r="O102">
        <v>-144.07179702970296</v>
      </c>
      <c r="P102">
        <v>-142.58387623762377</v>
      </c>
      <c r="Q102">
        <v>-141.09595544554455</v>
      </c>
      <c r="R102">
        <v>-139.60803465346535</v>
      </c>
      <c r="S102">
        <v>-138.12011386138616</v>
      </c>
      <c r="T102">
        <v>-136.63219306930694</v>
      </c>
      <c r="U102">
        <v>-135.5089108910891</v>
      </c>
      <c r="V102">
        <v>-134.42059405940594</v>
      </c>
      <c r="W102">
        <v>-133.38783168316832</v>
      </c>
      <c r="X102">
        <v>-132.4428811881188</v>
      </c>
      <c r="Y102">
        <v>-131.49793069306929</v>
      </c>
      <c r="Z102">
        <v>-130.62238805970148</v>
      </c>
      <c r="AA102">
        <v>-129.75791044776119</v>
      </c>
      <c r="AB102">
        <v>-128.93041584158416</v>
      </c>
      <c r="AC102">
        <v>-128.17160396039603</v>
      </c>
      <c r="AD102">
        <v>-127.41279207920792</v>
      </c>
      <c r="AE102">
        <v>-127.85831683168317</v>
      </c>
      <c r="AF102">
        <v>-128.55930693069305</v>
      </c>
      <c r="AG102">
        <v>-129.25198019801979</v>
      </c>
      <c r="AH102">
        <v>-129.92524752475248</v>
      </c>
      <c r="AI102">
        <v>-130.59851485148516</v>
      </c>
      <c r="AJ102">
        <v>-131.25520792079209</v>
      </c>
      <c r="AK102">
        <v>-131.9070891089109</v>
      </c>
      <c r="AL102">
        <v>-132.55936633663364</v>
      </c>
      <c r="AM102">
        <v>-133.21283168316833</v>
      </c>
      <c r="AN102">
        <v>-133.86629702970299</v>
      </c>
      <c r="AO102">
        <v>-134.51258415841585</v>
      </c>
      <c r="AP102">
        <v>-135.15614851485151</v>
      </c>
      <c r="AQ102">
        <v>-135.79971287128714</v>
      </c>
      <c r="AR102">
        <v>-136.4432772277228</v>
      </c>
      <c r="AS102">
        <v>-137.08684158415844</v>
      </c>
      <c r="AT102">
        <v>-137.73040594059407</v>
      </c>
      <c r="AU102">
        <v>-138.37397029702973</v>
      </c>
      <c r="AV102">
        <v>-139.01753465346536</v>
      </c>
      <c r="AW102">
        <v>-139.66109900990102</v>
      </c>
      <c r="AX102">
        <v>-140.30466336633665</v>
      </c>
      <c r="AY102">
        <v>-140.93249318463447</v>
      </c>
      <c r="AZ102">
        <v>-141.55088228004959</v>
      </c>
      <c r="BA102">
        <v>-142.16927137546469</v>
      </c>
      <c r="BB102">
        <v>-142.78766047087981</v>
      </c>
      <c r="BC102">
        <v>-143.40604956629494</v>
      </c>
      <c r="BD102">
        <v>-144.02443866171004</v>
      </c>
      <c r="BE102">
        <v>-144.64282775712516</v>
      </c>
      <c r="BF102">
        <v>-145.26121685254026</v>
      </c>
      <c r="BG102">
        <v>-145.87960594795538</v>
      </c>
      <c r="BH102">
        <v>-146.49799504337051</v>
      </c>
      <c r="BI102">
        <v>-147.10405198019802</v>
      </c>
      <c r="BJ102">
        <v>-147.69949752475247</v>
      </c>
      <c r="BK102">
        <v>-148.29494306930692</v>
      </c>
      <c r="BL102">
        <v>-148.89038861386138</v>
      </c>
      <c r="BM102">
        <v>-149.48583415841583</v>
      </c>
      <c r="BN102">
        <v>-150.08127970297031</v>
      </c>
      <c r="BO102">
        <v>-150.67672524752476</v>
      </c>
      <c r="BP102">
        <v>-151.27217079207921</v>
      </c>
      <c r="BQ102">
        <v>-151.86761633663366</v>
      </c>
      <c r="BR102">
        <v>-152.46306188118811</v>
      </c>
      <c r="BS102">
        <v>-153.04677323420074</v>
      </c>
      <c r="BT102">
        <v>-153.61539776951673</v>
      </c>
      <c r="BU102">
        <v>-154.18402230483272</v>
      </c>
      <c r="BV102">
        <v>-154.75264684014869</v>
      </c>
      <c r="BW102">
        <v>-155.32127137546468</v>
      </c>
      <c r="BX102">
        <v>-155.88989591078067</v>
      </c>
      <c r="BY102">
        <v>-156.45852044609666</v>
      </c>
      <c r="BZ102">
        <v>-157.02714498141262</v>
      </c>
      <c r="CA102">
        <v>-157.59576951672861</v>
      </c>
      <c r="CB102">
        <v>-158.1643940520446</v>
      </c>
      <c r="CC102">
        <v>-158.72674257425743</v>
      </c>
      <c r="CD102">
        <v>-159.27743564356436</v>
      </c>
      <c r="CE102">
        <v>-159.82812871287129</v>
      </c>
      <c r="CF102">
        <v>-160.37882178217822</v>
      </c>
      <c r="CG102">
        <v>-160.92951485148515</v>
      </c>
      <c r="CH102">
        <v>-161.48020792079208</v>
      </c>
      <c r="CI102">
        <v>-162.03090099009901</v>
      </c>
      <c r="CJ102">
        <v>-162.58159405940594</v>
      </c>
      <c r="CK102">
        <v>-163.13228712871287</v>
      </c>
      <c r="CL102">
        <v>-163.68298019801981</v>
      </c>
    </row>
    <row r="103" spans="1:94" ht="21.75" thickBot="1" x14ac:dyDescent="0.4">
      <c r="A103" s="18" t="s">
        <v>40</v>
      </c>
      <c r="B103" s="38">
        <v>-15.64579207920792</v>
      </c>
      <c r="C103" s="38">
        <v>-15.366435643564357</v>
      </c>
      <c r="D103" s="38">
        <v>-15.105049504950495</v>
      </c>
      <c r="E103" s="38">
        <v>-14.846138613861386</v>
      </c>
      <c r="F103">
        <v>-14.624356435643564</v>
      </c>
      <c r="G103">
        <v>-14.402574257425742</v>
      </c>
      <c r="H103">
        <v>-14.059455445544554</v>
      </c>
      <c r="I103">
        <v>-13.611930693069306</v>
      </c>
      <c r="J103">
        <v>-13.163493811881187</v>
      </c>
      <c r="K103">
        <v>-12.642998762376235</v>
      </c>
      <c r="L103">
        <v>-12.122503712871286</v>
      </c>
      <c r="M103">
        <v>-11.602008663366336</v>
      </c>
      <c r="N103">
        <v>-11.081513613861386</v>
      </c>
      <c r="O103">
        <v>-10.561018564356434</v>
      </c>
      <c r="P103">
        <v>-10.040523514851484</v>
      </c>
      <c r="Q103">
        <v>-9.5200284653465346</v>
      </c>
      <c r="R103">
        <v>-8.999533415841583</v>
      </c>
      <c r="S103">
        <v>-8.4790383663366331</v>
      </c>
      <c r="T103">
        <v>-7.9585433168316824</v>
      </c>
      <c r="U103">
        <v>-7.5292079207920786</v>
      </c>
      <c r="V103">
        <v>-7.1086138613861376</v>
      </c>
      <c r="W103">
        <v>-6.6999900990099004</v>
      </c>
      <c r="X103">
        <v>-6.3102871287128712</v>
      </c>
      <c r="Y103">
        <v>-5.9205841584158421</v>
      </c>
      <c r="Z103">
        <v>-5.5518656716417913</v>
      </c>
      <c r="AA103">
        <v>-5.1864925373134323</v>
      </c>
      <c r="AB103">
        <v>-4.8306237623762369</v>
      </c>
      <c r="AC103">
        <v>-4.4924059405940584</v>
      </c>
      <c r="AD103">
        <v>-4.1541881188118799</v>
      </c>
      <c r="AE103">
        <v>-4.1129702970297028</v>
      </c>
      <c r="AF103">
        <v>-4.1347524752475247</v>
      </c>
      <c r="AG103">
        <v>-4.1559405940594063</v>
      </c>
      <c r="AH103">
        <v>-4.1757425742574261</v>
      </c>
      <c r="AI103">
        <v>-4.1955445544554459</v>
      </c>
      <c r="AJ103">
        <v>-4.2150396039603963</v>
      </c>
      <c r="AK103">
        <v>-4.2344455445544549</v>
      </c>
      <c r="AL103">
        <v>-4.2539504950495051</v>
      </c>
      <c r="AM103">
        <v>-4.2737524752475249</v>
      </c>
      <c r="AN103">
        <v>-4.2935544554455447</v>
      </c>
      <c r="AO103">
        <v>-4.3133564356435645</v>
      </c>
      <c r="AP103">
        <v>-4.3331584158415843</v>
      </c>
      <c r="AQ103">
        <v>-4.3529603960396042</v>
      </c>
      <c r="AR103">
        <v>-4.372762376237624</v>
      </c>
      <c r="AS103">
        <v>-4.3925643564356438</v>
      </c>
      <c r="AT103">
        <v>-4.4123663366336636</v>
      </c>
      <c r="AU103">
        <v>-4.4321683168316834</v>
      </c>
      <c r="AV103">
        <v>-4.4519702970297024</v>
      </c>
      <c r="AW103">
        <v>-4.4717722772277222</v>
      </c>
      <c r="AX103">
        <v>-4.491574257425742</v>
      </c>
      <c r="AY103">
        <v>-4.5112057001239156</v>
      </c>
      <c r="AZ103">
        <v>-4.5307348203221807</v>
      </c>
      <c r="BA103">
        <v>-4.5502639405204457</v>
      </c>
      <c r="BB103">
        <v>-4.5697930607187107</v>
      </c>
      <c r="BC103">
        <v>-4.5893221809169757</v>
      </c>
      <c r="BD103">
        <v>-4.6088513011152417</v>
      </c>
      <c r="BE103">
        <v>-4.6283804213135067</v>
      </c>
      <c r="BF103">
        <v>-4.6479095415117717</v>
      </c>
      <c r="BG103">
        <v>-4.6674386617100367</v>
      </c>
      <c r="BH103">
        <v>-4.6869677819083018</v>
      </c>
      <c r="BI103">
        <v>-4.7061646039603957</v>
      </c>
      <c r="BJ103">
        <v>-4.7250754950495049</v>
      </c>
      <c r="BK103">
        <v>-4.7439863861386131</v>
      </c>
      <c r="BL103">
        <v>-4.7628972772277223</v>
      </c>
      <c r="BM103">
        <v>-4.7818081683168314</v>
      </c>
      <c r="BN103">
        <v>-4.8007190594059406</v>
      </c>
      <c r="BO103">
        <v>-4.8196299504950488</v>
      </c>
      <c r="BP103">
        <v>-4.838540841584158</v>
      </c>
      <c r="BQ103">
        <v>-4.8574517326732671</v>
      </c>
      <c r="BR103">
        <v>-4.8763626237623754</v>
      </c>
      <c r="BS103">
        <v>-4.8949801734820317</v>
      </c>
      <c r="BT103">
        <v>-4.913220570012391</v>
      </c>
      <c r="BU103">
        <v>-4.9314609665427502</v>
      </c>
      <c r="BV103">
        <v>-4.9497013630731095</v>
      </c>
      <c r="BW103">
        <v>-4.9679417596034696</v>
      </c>
      <c r="BX103">
        <v>-4.9861821561338289</v>
      </c>
      <c r="BY103">
        <v>-5.0044225526641881</v>
      </c>
      <c r="BZ103">
        <v>-5.0226629491945474</v>
      </c>
      <c r="CA103">
        <v>-5.0409033457249066</v>
      </c>
      <c r="CB103">
        <v>-5.0591437422552659</v>
      </c>
      <c r="CC103">
        <v>-5.077168316831683</v>
      </c>
      <c r="CD103">
        <v>-5.0947920792079202</v>
      </c>
      <c r="CE103">
        <v>-5.1124158415841583</v>
      </c>
      <c r="CF103">
        <v>-5.1300396039603955</v>
      </c>
      <c r="CG103">
        <v>-5.1476633663366336</v>
      </c>
      <c r="CH103">
        <v>-5.1652871287128708</v>
      </c>
      <c r="CI103">
        <v>-5.1829108910891089</v>
      </c>
      <c r="CJ103">
        <v>-5.200534653465346</v>
      </c>
      <c r="CK103">
        <v>-5.2181584158415841</v>
      </c>
      <c r="CL103">
        <v>-5.2357821782178213</v>
      </c>
    </row>
    <row r="104" spans="1:94" ht="21.75" thickBot="1" x14ac:dyDescent="0.4">
      <c r="A104" s="18" t="s">
        <v>37</v>
      </c>
      <c r="B104" s="38">
        <v>-22.398910891089109</v>
      </c>
      <c r="C104" s="38">
        <v>-21.910099009900989</v>
      </c>
      <c r="D104" s="38">
        <v>-21.450693069306929</v>
      </c>
      <c r="E104" s="38">
        <v>-20.995000000000001</v>
      </c>
      <c r="F104">
        <v>-20.594999999999999</v>
      </c>
      <c r="G104">
        <v>-20.195</v>
      </c>
      <c r="H104">
        <v>-19.958910891089111</v>
      </c>
      <c r="I104">
        <v>-19.863861386138613</v>
      </c>
      <c r="J104">
        <v>-19.771485148514852</v>
      </c>
      <c r="K104">
        <v>-19.890297029702971</v>
      </c>
      <c r="L104">
        <v>-20.00910891089109</v>
      </c>
      <c r="M104">
        <v>-20.127920792079209</v>
      </c>
      <c r="N104">
        <v>-20.246732673267328</v>
      </c>
      <c r="O104">
        <v>-20.365544554455447</v>
      </c>
      <c r="P104">
        <v>-20.484356435643562</v>
      </c>
      <c r="Q104">
        <v>-20.603168316831681</v>
      </c>
      <c r="R104">
        <v>-20.7219801980198</v>
      </c>
      <c r="S104">
        <v>-20.840792079207919</v>
      </c>
      <c r="T104">
        <v>-20.959603960396038</v>
      </c>
      <c r="U104">
        <v>-21.078415841584157</v>
      </c>
      <c r="V104">
        <v>-21.197227722772276</v>
      </c>
      <c r="W104">
        <v>-21.317574257425743</v>
      </c>
      <c r="X104">
        <v>-21.440346534653465</v>
      </c>
      <c r="Y104">
        <v>-21.563118811881186</v>
      </c>
      <c r="Z104">
        <v>-21.682985074626863</v>
      </c>
      <c r="AA104">
        <v>-21.802388059701492</v>
      </c>
      <c r="AB104">
        <v>-21.92158415841584</v>
      </c>
      <c r="AC104">
        <v>-22.040396039603959</v>
      </c>
      <c r="AD104">
        <v>-22.159207920792078</v>
      </c>
      <c r="AE104">
        <v>-22.281287128712872</v>
      </c>
      <c r="AF104">
        <v>-22.404059405940593</v>
      </c>
      <c r="AG104">
        <v>-22.525643564356432</v>
      </c>
      <c r="AH104">
        <v>-22.644455445544555</v>
      </c>
      <c r="AI104">
        <v>-22.763267326732674</v>
      </c>
      <c r="AJ104">
        <v>-22.879009900990098</v>
      </c>
      <c r="AK104">
        <v>-22.993861386138612</v>
      </c>
      <c r="AL104">
        <v>-23.108712871287128</v>
      </c>
      <c r="AM104">
        <v>-23.223564356435642</v>
      </c>
      <c r="AN104">
        <v>-23.338415841584158</v>
      </c>
      <c r="AO104">
        <v>-23.451831683168319</v>
      </c>
      <c r="AP104">
        <v>-23.564702970297031</v>
      </c>
      <c r="AQ104">
        <v>-23.677574257425743</v>
      </c>
      <c r="AR104">
        <v>-23.790445544554455</v>
      </c>
      <c r="AS104">
        <v>-23.903316831683171</v>
      </c>
      <c r="AT104">
        <v>-24.016188118811883</v>
      </c>
      <c r="AU104">
        <v>-24.129059405940595</v>
      </c>
      <c r="AV104">
        <v>-24.241930693069307</v>
      </c>
      <c r="AW104">
        <v>-24.354801980198022</v>
      </c>
      <c r="AX104">
        <v>-24.467673267326735</v>
      </c>
      <c r="AY104">
        <v>-24.57753407682776</v>
      </c>
      <c r="AZ104">
        <v>-24.685588599752169</v>
      </c>
      <c r="BA104">
        <v>-24.793643122676581</v>
      </c>
      <c r="BB104">
        <v>-24.901697645600994</v>
      </c>
      <c r="BC104">
        <v>-25.009752168525402</v>
      </c>
      <c r="BD104">
        <v>-25.117806691449815</v>
      </c>
      <c r="BE104">
        <v>-25.225861214374227</v>
      </c>
      <c r="BF104">
        <v>-25.333915737298639</v>
      </c>
      <c r="BG104">
        <v>-25.441970260223048</v>
      </c>
      <c r="BH104">
        <v>-25.55002478314746</v>
      </c>
      <c r="BI104">
        <v>-25.655878712871289</v>
      </c>
      <c r="BJ104">
        <v>-25.759839108910892</v>
      </c>
      <c r="BK104">
        <v>-25.863799504950496</v>
      </c>
      <c r="BL104">
        <v>-25.967759900990099</v>
      </c>
      <c r="BM104">
        <v>-26.071720297029703</v>
      </c>
      <c r="BN104">
        <v>-26.175680693069307</v>
      </c>
      <c r="BO104">
        <v>-26.27964108910891</v>
      </c>
      <c r="BP104">
        <v>-26.383601485148514</v>
      </c>
      <c r="BQ104">
        <v>-26.487561881188117</v>
      </c>
      <c r="BR104">
        <v>-26.591522277227721</v>
      </c>
      <c r="BS104">
        <v>-26.693370508054521</v>
      </c>
      <c r="BT104">
        <v>-26.79250309789343</v>
      </c>
      <c r="BU104">
        <v>-26.891635687732339</v>
      </c>
      <c r="BV104">
        <v>-26.990768277571249</v>
      </c>
      <c r="BW104">
        <v>-27.089900867410158</v>
      </c>
      <c r="BX104">
        <v>-27.189033457249067</v>
      </c>
      <c r="BY104">
        <v>-27.28816604708798</v>
      </c>
      <c r="BZ104">
        <v>-27.387298636926889</v>
      </c>
      <c r="CA104">
        <v>-27.486431226765799</v>
      </c>
      <c r="CB104">
        <v>-27.585563816604708</v>
      </c>
      <c r="CC104">
        <v>-27.683613861386135</v>
      </c>
      <c r="CD104">
        <v>-27.779653465346534</v>
      </c>
      <c r="CE104">
        <v>-27.87569306930693</v>
      </c>
      <c r="CF104">
        <v>-27.971732673267326</v>
      </c>
      <c r="CG104">
        <v>-28.067772277227721</v>
      </c>
      <c r="CH104">
        <v>-28.163811881188117</v>
      </c>
      <c r="CI104">
        <v>-28.259851485148516</v>
      </c>
      <c r="CJ104">
        <v>-28.355891089108912</v>
      </c>
      <c r="CK104">
        <v>-28.451930693069308</v>
      </c>
      <c r="CL104">
        <v>-28.547970297029703</v>
      </c>
    </row>
    <row r="105" spans="1:94" ht="21.75" thickBot="1" x14ac:dyDescent="0.4">
      <c r="A105" s="18" t="s">
        <v>46</v>
      </c>
      <c r="B105" s="38">
        <v>-60.44361386138614</v>
      </c>
      <c r="C105" s="38">
        <v>-59.186633663366337</v>
      </c>
      <c r="D105" s="38">
        <v>-58.006435643564352</v>
      </c>
      <c r="E105" s="38">
        <v>-56.836138613861387</v>
      </c>
      <c r="F105">
        <v>-55.814356435643568</v>
      </c>
      <c r="G105">
        <v>-54.792574257425748</v>
      </c>
      <c r="H105">
        <v>-53.97727722772278</v>
      </c>
      <c r="I105">
        <v>-53.339653465346537</v>
      </c>
      <c r="J105">
        <v>-52.706464108910893</v>
      </c>
      <c r="K105">
        <v>-52.423592821782179</v>
      </c>
      <c r="L105">
        <v>-52.140721534653466</v>
      </c>
      <c r="M105">
        <v>-51.857850247524752</v>
      </c>
      <c r="N105">
        <v>-51.574978960396038</v>
      </c>
      <c r="O105">
        <v>-51.292107673267324</v>
      </c>
      <c r="P105">
        <v>-51.00923638613861</v>
      </c>
      <c r="Q105">
        <v>-50.726365099009897</v>
      </c>
      <c r="R105">
        <v>-50.443493811881183</v>
      </c>
      <c r="S105">
        <v>-50.160622524752469</v>
      </c>
      <c r="T105">
        <v>-49.877751237623755</v>
      </c>
      <c r="U105">
        <v>-49.686039603960388</v>
      </c>
      <c r="V105">
        <v>-49.503069306930691</v>
      </c>
      <c r="W105">
        <v>-49.335138613861382</v>
      </c>
      <c r="X105">
        <v>-49.190980198019801</v>
      </c>
      <c r="Y105">
        <v>-49.046821782178213</v>
      </c>
      <c r="Z105">
        <v>-48.917835820895519</v>
      </c>
      <c r="AA105">
        <v>-48.791268656716412</v>
      </c>
      <c r="AB105">
        <v>-48.673792079207914</v>
      </c>
      <c r="AC105">
        <v>-48.573198019801978</v>
      </c>
      <c r="AD105">
        <v>-48.472603960396036</v>
      </c>
      <c r="AE105">
        <v>-48.675544554455442</v>
      </c>
      <c r="AF105">
        <v>-48.94287128712871</v>
      </c>
      <c r="AG105">
        <v>-49.207227722772274</v>
      </c>
      <c r="AH105">
        <v>-49.464653465346537</v>
      </c>
      <c r="AI105">
        <v>-49.722079207920792</v>
      </c>
      <c r="AJ105">
        <v>-49.973059405940596</v>
      </c>
      <c r="AK105">
        <v>-50.222168316831684</v>
      </c>
      <c r="AL105">
        <v>-50.471376237623758</v>
      </c>
      <c r="AM105">
        <v>-50.72088118811881</v>
      </c>
      <c r="AN105">
        <v>-50.970386138613861</v>
      </c>
      <c r="AO105">
        <v>-51.2170198019802</v>
      </c>
      <c r="AP105">
        <v>-51.462564356435642</v>
      </c>
      <c r="AQ105">
        <v>-51.708108910891092</v>
      </c>
      <c r="AR105">
        <v>-51.953653465346534</v>
      </c>
      <c r="AS105">
        <v>-52.199198019801983</v>
      </c>
      <c r="AT105">
        <v>-52.444742574257432</v>
      </c>
      <c r="AU105">
        <v>-52.690287128712875</v>
      </c>
      <c r="AV105">
        <v>-52.935831683168324</v>
      </c>
      <c r="AW105">
        <v>-53.181376237623766</v>
      </c>
      <c r="AX105">
        <v>-53.426920792079216</v>
      </c>
      <c r="AY105">
        <v>-53.666273853779437</v>
      </c>
      <c r="AZ105">
        <v>-53.901912019826526</v>
      </c>
      <c r="BA105">
        <v>-54.137550185873607</v>
      </c>
      <c r="BB105">
        <v>-54.373188351920696</v>
      </c>
      <c r="BC105">
        <v>-54.608826517967785</v>
      </c>
      <c r="BD105">
        <v>-54.844464684014874</v>
      </c>
      <c r="BE105">
        <v>-55.080102850061962</v>
      </c>
      <c r="BF105">
        <v>-55.315741016109044</v>
      </c>
      <c r="BG105">
        <v>-55.551379182156133</v>
      </c>
      <c r="BH105">
        <v>-55.787017348203221</v>
      </c>
      <c r="BI105">
        <v>-56.017922029702973</v>
      </c>
      <c r="BJ105">
        <v>-56.244753712871287</v>
      </c>
      <c r="BK105">
        <v>-56.4715853960396</v>
      </c>
      <c r="BL105">
        <v>-56.698417079207921</v>
      </c>
      <c r="BM105">
        <v>-56.925248762376235</v>
      </c>
      <c r="BN105">
        <v>-57.152080445544556</v>
      </c>
      <c r="BO105">
        <v>-57.378912128712869</v>
      </c>
      <c r="BP105">
        <v>-57.605743811881183</v>
      </c>
      <c r="BQ105">
        <v>-57.832575495049504</v>
      </c>
      <c r="BR105">
        <v>-58.059407178217818</v>
      </c>
      <c r="BS105">
        <v>-58.281721189591075</v>
      </c>
      <c r="BT105">
        <v>-58.498226765799252</v>
      </c>
      <c r="BU105">
        <v>-58.71473234200743</v>
      </c>
      <c r="BV105">
        <v>-58.931237918215608</v>
      </c>
      <c r="BW105">
        <v>-59.147743494423786</v>
      </c>
      <c r="BX105">
        <v>-59.364249070631963</v>
      </c>
      <c r="BY105">
        <v>-59.580754646840141</v>
      </c>
      <c r="BZ105">
        <v>-59.797260223048319</v>
      </c>
      <c r="CA105">
        <v>-60.013765799256497</v>
      </c>
      <c r="CB105">
        <v>-60.230271375464682</v>
      </c>
      <c r="CC105">
        <v>-60.444396039603951</v>
      </c>
      <c r="CD105">
        <v>-60.654099009900989</v>
      </c>
      <c r="CE105">
        <v>-60.863801980198019</v>
      </c>
      <c r="CF105">
        <v>-61.07350495049505</v>
      </c>
      <c r="CG105">
        <v>-61.28320792079208</v>
      </c>
      <c r="CH105">
        <v>-61.49291089108911</v>
      </c>
      <c r="CI105">
        <v>-61.702613861386141</v>
      </c>
      <c r="CJ105">
        <v>-61.912316831683171</v>
      </c>
      <c r="CK105">
        <v>-62.122019801980201</v>
      </c>
      <c r="CL105">
        <v>-62.331722772277232</v>
      </c>
    </row>
    <row r="106" spans="1:94" ht="21.75" thickBot="1" x14ac:dyDescent="0.4">
      <c r="A106" s="18" t="s">
        <v>38</v>
      </c>
      <c r="B106" s="38">
        <v>-15.64579207920792</v>
      </c>
      <c r="C106" s="38">
        <v>-15.366435643564357</v>
      </c>
      <c r="D106" s="38">
        <v>-15.105049504950495</v>
      </c>
      <c r="E106" s="38">
        <v>-14.846138613861386</v>
      </c>
      <c r="F106">
        <v>-14.624356435643564</v>
      </c>
      <c r="G106">
        <v>-14.402574257425742</v>
      </c>
      <c r="H106">
        <v>-14.059455445544554</v>
      </c>
      <c r="I106">
        <v>-13.611930693069306</v>
      </c>
      <c r="J106">
        <v>-13.163493811881187</v>
      </c>
      <c r="K106">
        <v>-12.642998762376235</v>
      </c>
      <c r="L106">
        <v>-12.122503712871286</v>
      </c>
      <c r="M106">
        <v>-11.602008663366336</v>
      </c>
      <c r="N106">
        <v>-11.081513613861386</v>
      </c>
      <c r="O106">
        <v>-10.561018564356434</v>
      </c>
      <c r="P106">
        <v>-10.040523514851484</v>
      </c>
      <c r="Q106">
        <v>-9.5200284653465346</v>
      </c>
      <c r="R106">
        <v>-8.999533415841583</v>
      </c>
      <c r="S106">
        <v>-8.4790383663366331</v>
      </c>
      <c r="T106">
        <v>-7.9585433168316824</v>
      </c>
      <c r="U106">
        <v>-7.5292079207920786</v>
      </c>
      <c r="V106">
        <v>-7.1086138613861376</v>
      </c>
      <c r="W106">
        <v>-6.6999900990099004</v>
      </c>
      <c r="X106">
        <v>-6.3102871287128712</v>
      </c>
      <c r="Y106">
        <v>-5.9205841584158421</v>
      </c>
      <c r="Z106">
        <v>-5.5518656716417913</v>
      </c>
      <c r="AA106">
        <v>-5.1864925373134323</v>
      </c>
      <c r="AB106">
        <v>-4.8306237623762369</v>
      </c>
      <c r="AC106">
        <v>-4.4924059405940584</v>
      </c>
      <c r="AD106">
        <v>-4.1541881188118799</v>
      </c>
      <c r="AE106">
        <v>-4.1129702970297028</v>
      </c>
      <c r="AF106">
        <v>-4.1347524752475247</v>
      </c>
      <c r="AG106">
        <v>-4.1559405940594063</v>
      </c>
      <c r="AH106">
        <v>-4.1757425742574261</v>
      </c>
      <c r="AI106">
        <v>-4.1955445544554459</v>
      </c>
      <c r="AJ106">
        <v>-4.2150396039603963</v>
      </c>
      <c r="AK106">
        <v>-4.2344455445544549</v>
      </c>
      <c r="AL106">
        <v>-4.2539504950495051</v>
      </c>
      <c r="AM106">
        <v>-4.2737524752475249</v>
      </c>
      <c r="AN106">
        <v>-4.2935544554455447</v>
      </c>
      <c r="AO106">
        <v>-4.3133564356435645</v>
      </c>
      <c r="AP106">
        <v>-4.3331584158415843</v>
      </c>
      <c r="AQ106">
        <v>-4.3529603960396042</v>
      </c>
      <c r="AR106">
        <v>-4.372762376237624</v>
      </c>
      <c r="AS106">
        <v>-4.3925643564356438</v>
      </c>
      <c r="AT106">
        <v>-4.4123663366336636</v>
      </c>
      <c r="AU106">
        <v>-4.4321683168316834</v>
      </c>
      <c r="AV106">
        <v>-4.4519702970297024</v>
      </c>
      <c r="AW106">
        <v>-4.4717722772277222</v>
      </c>
      <c r="AX106">
        <v>-4.491574257425742</v>
      </c>
      <c r="AY106">
        <v>-4.5112057001239156</v>
      </c>
      <c r="AZ106">
        <v>-4.5307348203221807</v>
      </c>
      <c r="BA106">
        <v>-4.5502639405204457</v>
      </c>
      <c r="BB106">
        <v>-4.5697930607187107</v>
      </c>
      <c r="BC106">
        <v>-4.5893221809169757</v>
      </c>
      <c r="BD106">
        <v>-4.6088513011152417</v>
      </c>
      <c r="BE106">
        <v>-4.6283804213135067</v>
      </c>
      <c r="BF106">
        <v>-4.6479095415117717</v>
      </c>
      <c r="BG106">
        <v>-4.6674386617100367</v>
      </c>
      <c r="BH106">
        <v>-4.6869677819083018</v>
      </c>
      <c r="BI106">
        <v>-4.7061646039603957</v>
      </c>
      <c r="BJ106">
        <v>-4.7250754950495049</v>
      </c>
      <c r="BK106">
        <v>-4.7439863861386131</v>
      </c>
      <c r="BL106">
        <v>-4.7628972772277223</v>
      </c>
      <c r="BM106">
        <v>-4.7818081683168314</v>
      </c>
      <c r="BN106">
        <v>-4.8007190594059406</v>
      </c>
      <c r="BO106">
        <v>-4.8196299504950488</v>
      </c>
      <c r="BP106">
        <v>-4.838540841584158</v>
      </c>
      <c r="BQ106">
        <v>-4.8574517326732671</v>
      </c>
      <c r="BR106">
        <v>-4.8763626237623754</v>
      </c>
      <c r="BS106">
        <v>-4.8949801734820317</v>
      </c>
      <c r="BT106">
        <v>-4.913220570012391</v>
      </c>
      <c r="BU106">
        <v>-4.9314609665427502</v>
      </c>
      <c r="BV106">
        <v>-4.9497013630731095</v>
      </c>
      <c r="BW106">
        <v>-4.9679417596034696</v>
      </c>
      <c r="BX106">
        <v>-4.9861821561338289</v>
      </c>
      <c r="BY106">
        <v>-5.0044225526641881</v>
      </c>
      <c r="BZ106">
        <v>-5.0226629491945474</v>
      </c>
      <c r="CA106">
        <v>-5.0409033457249066</v>
      </c>
      <c r="CB106">
        <v>-5.0591437422552659</v>
      </c>
      <c r="CC106">
        <v>-5.077168316831683</v>
      </c>
      <c r="CD106">
        <v>-5.0947920792079202</v>
      </c>
      <c r="CE106">
        <v>-5.1124158415841583</v>
      </c>
      <c r="CF106">
        <v>-5.1300396039603955</v>
      </c>
      <c r="CG106">
        <v>-5.1476633663366336</v>
      </c>
      <c r="CH106">
        <v>-5.1652871287128708</v>
      </c>
      <c r="CI106">
        <v>-5.1829108910891089</v>
      </c>
      <c r="CJ106">
        <v>-5.200534653465346</v>
      </c>
      <c r="CK106">
        <v>-5.2181584158415841</v>
      </c>
      <c r="CL106">
        <v>-5.2357821782178213</v>
      </c>
    </row>
    <row r="107" spans="1:94" ht="21.75" thickBot="1" x14ac:dyDescent="0.4">
      <c r="A107" s="18" t="s">
        <v>56</v>
      </c>
      <c r="B107" s="38">
        <v>-15.64579207920792</v>
      </c>
      <c r="C107" s="38">
        <v>-15.366435643564357</v>
      </c>
      <c r="D107" s="38">
        <v>-15.105049504950495</v>
      </c>
      <c r="E107" s="38">
        <v>-14.846138613861386</v>
      </c>
      <c r="F107">
        <v>-14.624356435643564</v>
      </c>
      <c r="G107">
        <v>-14.402574257425742</v>
      </c>
      <c r="H107">
        <v>-14.059455445544554</v>
      </c>
      <c r="I107">
        <v>-13.611930693069306</v>
      </c>
      <c r="J107">
        <v>-13.163493811881187</v>
      </c>
      <c r="K107">
        <v>-12.642998762376235</v>
      </c>
      <c r="L107">
        <v>-12.122503712871286</v>
      </c>
      <c r="M107">
        <v>-11.602008663366336</v>
      </c>
      <c r="N107">
        <v>-11.081513613861386</v>
      </c>
      <c r="O107">
        <v>-10.561018564356434</v>
      </c>
      <c r="P107">
        <v>-10.040523514851484</v>
      </c>
      <c r="Q107">
        <v>-9.5200284653465346</v>
      </c>
      <c r="R107">
        <v>-8.999533415841583</v>
      </c>
      <c r="S107">
        <v>-8.4790383663366331</v>
      </c>
      <c r="T107">
        <v>-7.9585433168316824</v>
      </c>
      <c r="U107">
        <v>-7.5292079207920786</v>
      </c>
      <c r="V107">
        <v>-7.1086138613861376</v>
      </c>
      <c r="W107">
        <v>-6.6999900990099004</v>
      </c>
      <c r="X107">
        <v>-6.3102871287128712</v>
      </c>
      <c r="Y107">
        <v>-5.9205841584158421</v>
      </c>
      <c r="Z107">
        <v>-5.5518656716417913</v>
      </c>
      <c r="AA107">
        <v>-5.1864925373134323</v>
      </c>
      <c r="AB107">
        <v>-4.8306237623762369</v>
      </c>
      <c r="AC107">
        <v>-4.4924059405940584</v>
      </c>
      <c r="AD107">
        <v>-4.1541881188118799</v>
      </c>
      <c r="AE107">
        <v>-4.1129702970297028</v>
      </c>
      <c r="AF107">
        <v>-4.1347524752475247</v>
      </c>
      <c r="AG107">
        <v>-4.1559405940594063</v>
      </c>
      <c r="AH107">
        <v>-4.1757425742574261</v>
      </c>
      <c r="AI107">
        <v>-4.1955445544554459</v>
      </c>
      <c r="AJ107">
        <v>-4.2150396039603963</v>
      </c>
      <c r="AK107">
        <v>-4.2344455445544549</v>
      </c>
      <c r="AL107">
        <v>-4.2539504950495051</v>
      </c>
      <c r="AM107">
        <v>-4.2737524752475249</v>
      </c>
      <c r="AN107">
        <v>-4.2935544554455447</v>
      </c>
      <c r="AO107">
        <v>-4.3133564356435645</v>
      </c>
      <c r="AP107">
        <v>-4.3331584158415843</v>
      </c>
      <c r="AQ107">
        <v>-4.3529603960396042</v>
      </c>
      <c r="AR107">
        <v>-4.372762376237624</v>
      </c>
      <c r="AS107">
        <v>-4.3925643564356438</v>
      </c>
      <c r="AT107">
        <v>-4.4123663366336636</v>
      </c>
      <c r="AU107">
        <v>-4.4321683168316834</v>
      </c>
      <c r="AV107">
        <v>-4.4519702970297024</v>
      </c>
      <c r="AW107">
        <v>-4.4717722772277222</v>
      </c>
      <c r="AX107">
        <v>-4.491574257425742</v>
      </c>
      <c r="AY107">
        <v>-4.5112057001239156</v>
      </c>
      <c r="AZ107">
        <v>-4.5307348203221807</v>
      </c>
      <c r="BA107">
        <v>-4.5502639405204457</v>
      </c>
      <c r="BB107">
        <v>-4.5697930607187107</v>
      </c>
      <c r="BC107">
        <v>-4.5893221809169757</v>
      </c>
      <c r="BD107">
        <v>-4.6088513011152417</v>
      </c>
      <c r="BE107">
        <v>-4.6283804213135067</v>
      </c>
      <c r="BF107">
        <v>-4.6479095415117717</v>
      </c>
      <c r="BG107">
        <v>-4.6674386617100367</v>
      </c>
      <c r="BH107">
        <v>-4.6869677819083018</v>
      </c>
      <c r="BI107">
        <v>-4.7061646039603957</v>
      </c>
      <c r="BJ107">
        <v>-4.7250754950495049</v>
      </c>
      <c r="BK107">
        <v>-4.7439863861386131</v>
      </c>
      <c r="BL107">
        <v>-4.7628972772277223</v>
      </c>
      <c r="BM107">
        <v>-4.7818081683168314</v>
      </c>
      <c r="BN107">
        <v>-4.8007190594059406</v>
      </c>
      <c r="BO107">
        <v>-4.8196299504950488</v>
      </c>
      <c r="BP107">
        <v>-4.838540841584158</v>
      </c>
      <c r="BQ107">
        <v>-4.8574517326732671</v>
      </c>
      <c r="BR107">
        <v>-4.8763626237623754</v>
      </c>
      <c r="BS107">
        <v>-4.8949801734820317</v>
      </c>
      <c r="BT107">
        <v>-4.913220570012391</v>
      </c>
      <c r="BU107">
        <v>-4.9314609665427502</v>
      </c>
      <c r="BV107">
        <v>-4.9497013630731095</v>
      </c>
      <c r="BW107">
        <v>-4.9679417596034696</v>
      </c>
      <c r="BX107">
        <v>-4.9861821561338289</v>
      </c>
      <c r="BY107">
        <v>-5.0044225526641881</v>
      </c>
      <c r="BZ107">
        <v>-5.0226629491945474</v>
      </c>
      <c r="CA107">
        <v>-5.0409033457249066</v>
      </c>
      <c r="CB107">
        <v>-5.0591437422552659</v>
      </c>
      <c r="CC107">
        <v>-5.077168316831683</v>
      </c>
      <c r="CD107">
        <v>-5.0947920792079202</v>
      </c>
      <c r="CE107">
        <v>-5.1124158415841583</v>
      </c>
      <c r="CF107">
        <v>-5.1300396039603955</v>
      </c>
      <c r="CG107">
        <v>-5.1476633663366336</v>
      </c>
      <c r="CH107">
        <v>-5.1652871287128708</v>
      </c>
      <c r="CI107">
        <v>-5.1829108910891089</v>
      </c>
      <c r="CJ107">
        <v>-5.200534653465346</v>
      </c>
      <c r="CK107">
        <v>-5.2181584158415841</v>
      </c>
      <c r="CL107">
        <v>-5.2357821782178213</v>
      </c>
    </row>
    <row r="108" spans="1:94" ht="21.75" thickBot="1" x14ac:dyDescent="0.4">
      <c r="A108" s="18" t="s">
        <v>39</v>
      </c>
      <c r="B108" s="38">
        <v>-38.044702970297031</v>
      </c>
      <c r="C108" s="38">
        <v>-37.276534653465347</v>
      </c>
      <c r="D108" s="38">
        <v>-36.555742574257422</v>
      </c>
      <c r="E108" s="38">
        <v>-35.841138613861382</v>
      </c>
      <c r="F108">
        <v>-35.219356435643562</v>
      </c>
      <c r="G108">
        <v>-34.597574257425741</v>
      </c>
      <c r="H108">
        <v>-34.018366336633662</v>
      </c>
      <c r="I108">
        <v>-33.47579207920792</v>
      </c>
      <c r="J108">
        <v>-32.934978960396037</v>
      </c>
      <c r="K108">
        <v>-32.533295792079201</v>
      </c>
      <c r="L108">
        <v>-32.131612623762372</v>
      </c>
      <c r="M108">
        <v>-31.729929455445543</v>
      </c>
      <c r="N108">
        <v>-31.32824628712871</v>
      </c>
      <c r="O108">
        <v>-30.926563118811877</v>
      </c>
      <c r="P108">
        <v>-30.524879950495048</v>
      </c>
      <c r="Q108">
        <v>-30.123196782178216</v>
      </c>
      <c r="R108">
        <v>-29.721513613861383</v>
      </c>
      <c r="S108">
        <v>-29.319830445544554</v>
      </c>
      <c r="T108">
        <v>-28.918147277227721</v>
      </c>
      <c r="U108">
        <v>-28.607623762376235</v>
      </c>
      <c r="V108">
        <v>-28.305841584158415</v>
      </c>
      <c r="W108">
        <v>-28.017564356435642</v>
      </c>
      <c r="X108">
        <v>-27.750633663366337</v>
      </c>
      <c r="Y108">
        <v>-27.483702970297031</v>
      </c>
      <c r="Z108">
        <v>-27.234850746268656</v>
      </c>
      <c r="AA108">
        <v>-26.988880597014926</v>
      </c>
      <c r="AB108">
        <v>-26.752207920792078</v>
      </c>
      <c r="AC108">
        <v>-26.53280198019802</v>
      </c>
      <c r="AD108">
        <v>-26.313396039603958</v>
      </c>
      <c r="AE108">
        <v>-26.394257425742573</v>
      </c>
      <c r="AF108">
        <v>-26.538811881188117</v>
      </c>
      <c r="AG108">
        <v>-26.681584158415841</v>
      </c>
      <c r="AH108">
        <v>-26.820198019801978</v>
      </c>
      <c r="AI108">
        <v>-26.958811881188119</v>
      </c>
      <c r="AJ108">
        <v>-27.094049504950494</v>
      </c>
      <c r="AK108">
        <v>-27.228306930693066</v>
      </c>
      <c r="AL108">
        <v>-27.36266336633663</v>
      </c>
      <c r="AM108">
        <v>-27.497316831683168</v>
      </c>
      <c r="AN108">
        <v>-27.631970297029703</v>
      </c>
      <c r="AO108">
        <v>-27.765188118811881</v>
      </c>
      <c r="AP108">
        <v>-27.897861386138615</v>
      </c>
      <c r="AQ108">
        <v>-28.030534653465345</v>
      </c>
      <c r="AR108">
        <v>-28.163207920792079</v>
      </c>
      <c r="AS108">
        <v>-28.295881188118813</v>
      </c>
      <c r="AT108">
        <v>-28.428554455445546</v>
      </c>
      <c r="AU108">
        <v>-28.561227722772276</v>
      </c>
      <c r="AV108">
        <v>-28.69390099009901</v>
      </c>
      <c r="AW108">
        <v>-28.826574257425744</v>
      </c>
      <c r="AX108">
        <v>-28.959247524752477</v>
      </c>
      <c r="AY108">
        <v>-29.088739776951673</v>
      </c>
      <c r="AZ108">
        <v>-29.21632342007435</v>
      </c>
      <c r="BA108">
        <v>-29.343907063197026</v>
      </c>
      <c r="BB108">
        <v>-29.471490706319702</v>
      </c>
      <c r="BC108">
        <v>-29.599074349442379</v>
      </c>
      <c r="BD108">
        <v>-29.726657992565055</v>
      </c>
      <c r="BE108">
        <v>-29.854241635687732</v>
      </c>
      <c r="BF108">
        <v>-29.981825278810408</v>
      </c>
      <c r="BG108">
        <v>-30.109408921933085</v>
      </c>
      <c r="BH108">
        <v>-30.236992565055761</v>
      </c>
      <c r="BI108">
        <v>-30.362043316831681</v>
      </c>
      <c r="BJ108">
        <v>-30.484914603960394</v>
      </c>
      <c r="BK108">
        <v>-30.607785891089108</v>
      </c>
      <c r="BL108">
        <v>-30.730657178217822</v>
      </c>
      <c r="BM108">
        <v>-30.853528465346532</v>
      </c>
      <c r="BN108">
        <v>-30.976399752475245</v>
      </c>
      <c r="BO108">
        <v>-31.099271039603959</v>
      </c>
      <c r="BP108">
        <v>-31.222142326732673</v>
      </c>
      <c r="BQ108">
        <v>-31.345013613861386</v>
      </c>
      <c r="BR108">
        <v>-31.467884900990096</v>
      </c>
      <c r="BS108">
        <v>-31.588350681536554</v>
      </c>
      <c r="BT108">
        <v>-31.705723667905822</v>
      </c>
      <c r="BU108">
        <v>-31.823096654275091</v>
      </c>
      <c r="BV108">
        <v>-31.940469640644359</v>
      </c>
      <c r="BW108">
        <v>-32.057842627013628</v>
      </c>
      <c r="BX108">
        <v>-32.175215613382896</v>
      </c>
      <c r="BY108">
        <v>-32.292588599752165</v>
      </c>
      <c r="BZ108">
        <v>-32.409961586121433</v>
      </c>
      <c r="CA108">
        <v>-32.527334572490702</v>
      </c>
      <c r="CB108">
        <v>-32.64470755885997</v>
      </c>
      <c r="CC108">
        <v>-32.760782178217816</v>
      </c>
      <c r="CD108">
        <v>-32.874445544554455</v>
      </c>
      <c r="CE108">
        <v>-32.988108910891086</v>
      </c>
      <c r="CF108">
        <v>-33.101772277227717</v>
      </c>
      <c r="CG108">
        <v>-33.215435643564355</v>
      </c>
      <c r="CH108">
        <v>-33.329099009900986</v>
      </c>
      <c r="CI108">
        <v>-33.442762376237624</v>
      </c>
      <c r="CJ108">
        <v>-33.556425742574255</v>
      </c>
      <c r="CK108">
        <v>-33.670089108910894</v>
      </c>
      <c r="CL108">
        <v>-33.783752475247525</v>
      </c>
    </row>
    <row r="109" spans="1:94" ht="21.75" thickBot="1" x14ac:dyDescent="0.4">
      <c r="A109" s="18" t="s">
        <v>57</v>
      </c>
      <c r="B109" s="38">
        <v>-31.291584158415841</v>
      </c>
      <c r="C109" s="38">
        <v>-30.732871287128713</v>
      </c>
      <c r="D109" s="38">
        <v>-30.21009900990099</v>
      </c>
      <c r="E109" s="38">
        <v>-29.692277227722773</v>
      </c>
      <c r="F109">
        <v>-29.248712871287129</v>
      </c>
      <c r="G109">
        <v>-28.805148514851485</v>
      </c>
      <c r="H109">
        <v>-28.118910891089108</v>
      </c>
      <c r="I109">
        <v>-27.223861386138612</v>
      </c>
      <c r="J109">
        <v>-26.326987623762374</v>
      </c>
      <c r="K109">
        <v>-25.285997524752471</v>
      </c>
      <c r="L109">
        <v>-24.245007425742571</v>
      </c>
      <c r="M109">
        <v>-23.204017326732671</v>
      </c>
      <c r="N109">
        <v>-22.163027227722772</v>
      </c>
      <c r="O109">
        <v>-21.122037128712869</v>
      </c>
      <c r="P109">
        <v>-20.081047029702969</v>
      </c>
      <c r="Q109">
        <v>-19.040056930693069</v>
      </c>
      <c r="R109">
        <v>-17.999066831683166</v>
      </c>
      <c r="S109">
        <v>-16.958076732673266</v>
      </c>
      <c r="T109">
        <v>-15.917086633663365</v>
      </c>
      <c r="U109">
        <v>-15.058415841584157</v>
      </c>
      <c r="V109">
        <v>-14.217227722772275</v>
      </c>
      <c r="W109">
        <v>-13.399980198019801</v>
      </c>
      <c r="X109">
        <v>-12.620574257425742</v>
      </c>
      <c r="Y109">
        <v>-11.841168316831684</v>
      </c>
      <c r="Z109">
        <v>-11.103731343283583</v>
      </c>
      <c r="AA109">
        <v>-10.372985074626865</v>
      </c>
      <c r="AB109">
        <v>-9.6612475247524738</v>
      </c>
      <c r="AC109">
        <v>-8.9848118811881168</v>
      </c>
      <c r="AD109">
        <v>-8.3083762376237598</v>
      </c>
      <c r="AE109">
        <v>-8.2259405940594057</v>
      </c>
      <c r="AF109">
        <v>-8.2695049504950493</v>
      </c>
      <c r="AG109">
        <v>-8.3118811881188126</v>
      </c>
      <c r="AH109">
        <v>-8.3514851485148522</v>
      </c>
      <c r="AI109">
        <v>-8.3910891089108919</v>
      </c>
      <c r="AJ109">
        <v>-8.4300792079207927</v>
      </c>
      <c r="AK109">
        <v>-8.4688910891089098</v>
      </c>
      <c r="AL109">
        <v>-8.5079009900990101</v>
      </c>
      <c r="AM109">
        <v>-8.5475049504950498</v>
      </c>
      <c r="AN109">
        <v>-8.5871089108910894</v>
      </c>
      <c r="AO109">
        <v>-8.626712871287129</v>
      </c>
      <c r="AP109">
        <v>-8.6663168316831687</v>
      </c>
      <c r="AQ109">
        <v>-8.7059207920792083</v>
      </c>
      <c r="AR109">
        <v>-8.745524752475248</v>
      </c>
      <c r="AS109">
        <v>-8.7851287128712876</v>
      </c>
      <c r="AT109">
        <v>-8.8247326732673272</v>
      </c>
      <c r="AU109">
        <v>-8.8643366336633669</v>
      </c>
      <c r="AV109">
        <v>-8.9039405940594047</v>
      </c>
      <c r="AW109">
        <v>-8.9435445544554444</v>
      </c>
      <c r="AX109">
        <v>-8.983148514851484</v>
      </c>
      <c r="AY109">
        <v>-9.0224114002478313</v>
      </c>
      <c r="AZ109">
        <v>-9.0614696406443613</v>
      </c>
      <c r="BA109">
        <v>-9.1005278810408914</v>
      </c>
      <c r="BB109">
        <v>-9.1395861214374214</v>
      </c>
      <c r="BC109">
        <v>-9.1786443618339515</v>
      </c>
      <c r="BD109">
        <v>-9.2177026022304833</v>
      </c>
      <c r="BE109">
        <v>-9.2567608426270134</v>
      </c>
      <c r="BF109">
        <v>-9.2958190830235434</v>
      </c>
      <c r="BG109">
        <v>-9.3348773234200735</v>
      </c>
      <c r="BH109">
        <v>-9.3739355638166035</v>
      </c>
      <c r="BI109">
        <v>-9.4123292079207914</v>
      </c>
      <c r="BJ109">
        <v>-9.4501509900990097</v>
      </c>
      <c r="BK109">
        <v>-9.4879727722772262</v>
      </c>
      <c r="BL109">
        <v>-9.5257945544554445</v>
      </c>
      <c r="BM109">
        <v>-9.5636163366336628</v>
      </c>
      <c r="BN109">
        <v>-9.6014381188118811</v>
      </c>
      <c r="BO109">
        <v>-9.6392599009900977</v>
      </c>
      <c r="BP109">
        <v>-9.677081683168316</v>
      </c>
      <c r="BQ109">
        <v>-9.7149034653465343</v>
      </c>
      <c r="BR109">
        <v>-9.7527252475247508</v>
      </c>
      <c r="BS109">
        <v>-9.7899603469640635</v>
      </c>
      <c r="BT109">
        <v>-9.826441140024782</v>
      </c>
      <c r="BU109">
        <v>-9.8629219330855005</v>
      </c>
      <c r="BV109">
        <v>-9.899402726146219</v>
      </c>
      <c r="BW109">
        <v>-9.9358835192069392</v>
      </c>
      <c r="BX109">
        <v>-9.9723643122676577</v>
      </c>
      <c r="BY109">
        <v>-10.008845105328376</v>
      </c>
      <c r="BZ109">
        <v>-10.045325898389095</v>
      </c>
      <c r="CA109">
        <v>-10.081806691449813</v>
      </c>
      <c r="CB109">
        <v>-10.118287484510532</v>
      </c>
      <c r="CC109">
        <v>-10.154336633663366</v>
      </c>
      <c r="CD109">
        <v>-10.18958415841584</v>
      </c>
      <c r="CE109">
        <v>-10.224831683168317</v>
      </c>
      <c r="CF109">
        <v>-10.260079207920791</v>
      </c>
      <c r="CG109">
        <v>-10.295326732673267</v>
      </c>
      <c r="CH109">
        <v>-10.330574257425742</v>
      </c>
      <c r="CI109">
        <v>-10.365821782178218</v>
      </c>
      <c r="CJ109">
        <v>-10.401069306930692</v>
      </c>
      <c r="CK109">
        <v>-10.436316831683168</v>
      </c>
      <c r="CL109">
        <v>-10.471564356435643</v>
      </c>
    </row>
    <row r="110" spans="1:94" ht="21.75" thickBot="1" x14ac:dyDescent="0.4">
      <c r="A110" s="18" t="s">
        <v>3</v>
      </c>
      <c r="B110" s="38">
        <v>-15.64579207920792</v>
      </c>
      <c r="C110" s="38">
        <v>-15.366435643564357</v>
      </c>
      <c r="D110" s="38">
        <v>-15.105049504950495</v>
      </c>
      <c r="E110" s="38">
        <v>-14.846138613861386</v>
      </c>
      <c r="F110">
        <v>-14.624356435643564</v>
      </c>
      <c r="G110">
        <v>-14.402574257425742</v>
      </c>
      <c r="H110">
        <v>-14.059455445544554</v>
      </c>
      <c r="I110">
        <v>-13.611930693069306</v>
      </c>
      <c r="J110">
        <v>-13.163493811881187</v>
      </c>
      <c r="K110">
        <v>-12.642998762376235</v>
      </c>
      <c r="L110">
        <v>-12.122503712871286</v>
      </c>
      <c r="M110">
        <v>-11.602008663366336</v>
      </c>
      <c r="N110">
        <v>-11.081513613861386</v>
      </c>
      <c r="O110">
        <v>-10.561018564356434</v>
      </c>
      <c r="P110">
        <v>-10.040523514851484</v>
      </c>
      <c r="Q110">
        <v>-9.5200284653465346</v>
      </c>
      <c r="R110">
        <v>-8.999533415841583</v>
      </c>
      <c r="S110">
        <v>-8.4790383663366331</v>
      </c>
      <c r="T110">
        <v>-7.9585433168316824</v>
      </c>
      <c r="U110">
        <v>-7.5292079207920786</v>
      </c>
      <c r="V110">
        <v>-7.1086138613861376</v>
      </c>
      <c r="W110">
        <v>-6.6999900990099004</v>
      </c>
      <c r="X110">
        <v>-6.3102871287128712</v>
      </c>
      <c r="Y110">
        <v>-5.9205841584158421</v>
      </c>
      <c r="Z110">
        <v>-5.5518656716417913</v>
      </c>
      <c r="AA110">
        <v>-5.1864925373134323</v>
      </c>
      <c r="AB110">
        <v>-4.8306237623762369</v>
      </c>
      <c r="AC110">
        <v>-4.4924059405940584</v>
      </c>
      <c r="AD110">
        <v>-4.1541881188118799</v>
      </c>
      <c r="AE110">
        <v>-4.1129702970297028</v>
      </c>
      <c r="AF110">
        <v>-4.1347524752475247</v>
      </c>
      <c r="AG110">
        <v>-4.1559405940594063</v>
      </c>
      <c r="AH110">
        <v>-4.1757425742574261</v>
      </c>
      <c r="AI110">
        <v>-4.1955445544554459</v>
      </c>
      <c r="AJ110">
        <v>-4.2150396039603963</v>
      </c>
      <c r="AK110">
        <v>-4.2344455445544549</v>
      </c>
      <c r="AL110">
        <v>-4.2539504950495051</v>
      </c>
      <c r="AM110">
        <v>-4.2737524752475249</v>
      </c>
      <c r="AN110">
        <v>-4.2935544554455447</v>
      </c>
      <c r="AO110">
        <v>-4.3133564356435645</v>
      </c>
      <c r="AP110">
        <v>-4.3331584158415843</v>
      </c>
      <c r="AQ110">
        <v>-4.3529603960396042</v>
      </c>
      <c r="AR110">
        <v>-4.372762376237624</v>
      </c>
      <c r="AS110">
        <v>-4.3925643564356438</v>
      </c>
      <c r="AT110">
        <v>-4.4123663366336636</v>
      </c>
      <c r="AU110">
        <v>-4.4321683168316834</v>
      </c>
      <c r="AV110">
        <v>-4.4519702970297024</v>
      </c>
      <c r="AW110">
        <v>-4.4717722772277222</v>
      </c>
      <c r="AX110">
        <v>-4.491574257425742</v>
      </c>
      <c r="AY110">
        <v>-4.5112057001239156</v>
      </c>
      <c r="AZ110">
        <v>-4.5307348203221807</v>
      </c>
      <c r="BA110">
        <v>-4.5502639405204457</v>
      </c>
      <c r="BB110">
        <v>-4.5697930607187107</v>
      </c>
      <c r="BC110">
        <v>-4.5893221809169757</v>
      </c>
      <c r="BD110">
        <v>-4.6088513011152417</v>
      </c>
      <c r="BE110">
        <v>-4.6283804213135067</v>
      </c>
      <c r="BF110">
        <v>-4.6479095415117717</v>
      </c>
      <c r="BG110">
        <v>-4.6674386617100367</v>
      </c>
      <c r="BH110">
        <v>-4.6869677819083018</v>
      </c>
      <c r="BI110">
        <v>-4.7061646039603957</v>
      </c>
      <c r="BJ110">
        <v>-4.7250754950495049</v>
      </c>
      <c r="BK110">
        <v>-4.7439863861386131</v>
      </c>
      <c r="BL110">
        <v>-4.7628972772277223</v>
      </c>
      <c r="BM110">
        <v>-4.7818081683168314</v>
      </c>
      <c r="BN110">
        <v>-4.8007190594059406</v>
      </c>
      <c r="BO110">
        <v>-4.8196299504950488</v>
      </c>
      <c r="BP110">
        <v>-4.838540841584158</v>
      </c>
      <c r="BQ110">
        <v>-4.8574517326732671</v>
      </c>
      <c r="BR110">
        <v>-4.8763626237623754</v>
      </c>
      <c r="BS110">
        <v>-4.8949801734820317</v>
      </c>
      <c r="BT110">
        <v>-4.913220570012391</v>
      </c>
      <c r="BU110">
        <v>-4.9314609665427502</v>
      </c>
      <c r="BV110">
        <v>-4.9497013630731095</v>
      </c>
      <c r="BW110">
        <v>-4.9679417596034696</v>
      </c>
      <c r="BX110">
        <v>-4.9861821561338289</v>
      </c>
      <c r="BY110">
        <v>-5.0044225526641881</v>
      </c>
      <c r="BZ110">
        <v>-5.0226629491945474</v>
      </c>
      <c r="CA110">
        <v>-5.0409033457249066</v>
      </c>
      <c r="CB110">
        <v>-5.0591437422552659</v>
      </c>
      <c r="CC110">
        <v>-5.077168316831683</v>
      </c>
      <c r="CD110">
        <v>-5.0947920792079202</v>
      </c>
      <c r="CE110">
        <v>-5.1124158415841583</v>
      </c>
      <c r="CF110">
        <v>-5.1300396039603955</v>
      </c>
      <c r="CG110">
        <v>-5.1476633663366336</v>
      </c>
      <c r="CH110">
        <v>-5.1652871287128708</v>
      </c>
      <c r="CI110">
        <v>-5.1829108910891089</v>
      </c>
      <c r="CJ110">
        <v>-5.200534653465346</v>
      </c>
      <c r="CK110">
        <v>-5.2181584158415841</v>
      </c>
      <c r="CL110">
        <v>-5.2357821782178213</v>
      </c>
    </row>
    <row r="111" spans="1:94" ht="21.75" thickBot="1" x14ac:dyDescent="0.4">
      <c r="A111" s="18" t="s">
        <v>82</v>
      </c>
      <c r="B111" s="38">
        <v>-38.044702970297031</v>
      </c>
      <c r="C111" s="38">
        <v>-37.276534653465347</v>
      </c>
      <c r="D111" s="38">
        <v>-36.555742574257422</v>
      </c>
      <c r="E111" s="38">
        <v>-35.841138613861382</v>
      </c>
      <c r="F111">
        <v>-35.219356435643562</v>
      </c>
      <c r="G111">
        <v>-34.597574257425741</v>
      </c>
      <c r="H111">
        <v>-34.018366336633662</v>
      </c>
      <c r="I111">
        <v>-33.47579207920792</v>
      </c>
      <c r="J111">
        <v>-32.934978960396037</v>
      </c>
      <c r="K111">
        <v>-32.533295792079201</v>
      </c>
      <c r="L111">
        <v>-32.131612623762372</v>
      </c>
      <c r="M111">
        <v>-31.729929455445543</v>
      </c>
      <c r="N111">
        <v>-31.32824628712871</v>
      </c>
      <c r="O111">
        <v>-30.926563118811877</v>
      </c>
      <c r="P111">
        <v>-30.524879950495048</v>
      </c>
      <c r="Q111">
        <v>-30.123196782178216</v>
      </c>
      <c r="R111">
        <v>-29.721513613861383</v>
      </c>
      <c r="S111">
        <v>-29.319830445544554</v>
      </c>
      <c r="T111">
        <v>-28.918147277227721</v>
      </c>
      <c r="U111">
        <v>-28.607623762376235</v>
      </c>
      <c r="V111">
        <v>-28.305841584158415</v>
      </c>
      <c r="W111">
        <v>-28.017564356435642</v>
      </c>
      <c r="X111">
        <v>-27.750633663366337</v>
      </c>
      <c r="Y111">
        <v>-27.483702970297031</v>
      </c>
      <c r="Z111">
        <v>-27.234850746268656</v>
      </c>
      <c r="AA111">
        <v>-26.988880597014926</v>
      </c>
      <c r="AB111">
        <v>-26.752207920792078</v>
      </c>
      <c r="AC111">
        <v>-26.53280198019802</v>
      </c>
      <c r="AD111">
        <v>-26.313396039603958</v>
      </c>
      <c r="AE111">
        <v>-26.394257425742573</v>
      </c>
      <c r="AF111">
        <v>-26.538811881188117</v>
      </c>
      <c r="AG111">
        <v>-26.681584158415841</v>
      </c>
      <c r="AH111">
        <v>-26.820198019801978</v>
      </c>
      <c r="AI111">
        <v>-26.958811881188119</v>
      </c>
      <c r="AJ111">
        <v>-27.094049504950494</v>
      </c>
      <c r="AK111">
        <v>-27.228306930693066</v>
      </c>
      <c r="AL111">
        <v>-27.36266336633663</v>
      </c>
      <c r="AM111">
        <v>-27.497316831683168</v>
      </c>
      <c r="AN111">
        <v>-27.631970297029703</v>
      </c>
      <c r="AO111">
        <v>-27.765188118811881</v>
      </c>
      <c r="AP111">
        <v>-27.897861386138615</v>
      </c>
      <c r="AQ111">
        <v>-28.030534653465345</v>
      </c>
      <c r="AR111">
        <v>-28.163207920792079</v>
      </c>
      <c r="AS111">
        <v>-28.295881188118813</v>
      </c>
      <c r="AT111">
        <v>-28.428554455445546</v>
      </c>
      <c r="AU111">
        <v>-28.561227722772276</v>
      </c>
      <c r="AV111">
        <v>-28.69390099009901</v>
      </c>
      <c r="AW111">
        <v>-28.826574257425744</v>
      </c>
      <c r="AX111">
        <v>-28.959247524752477</v>
      </c>
      <c r="AY111">
        <v>-29.088739776951673</v>
      </c>
      <c r="AZ111">
        <v>-29.21632342007435</v>
      </c>
      <c r="BA111">
        <v>-29.343907063197026</v>
      </c>
      <c r="BB111">
        <v>-29.471490706319702</v>
      </c>
      <c r="BC111">
        <v>-29.599074349442379</v>
      </c>
      <c r="BD111">
        <v>-29.726657992565055</v>
      </c>
      <c r="BE111">
        <v>-29.854241635687732</v>
      </c>
      <c r="BF111">
        <v>-29.981825278810408</v>
      </c>
      <c r="BG111">
        <v>-30.109408921933085</v>
      </c>
      <c r="BH111">
        <v>-30.236992565055761</v>
      </c>
      <c r="BI111">
        <v>-30.362043316831681</v>
      </c>
      <c r="BJ111">
        <v>-30.484914603960394</v>
      </c>
      <c r="BK111">
        <v>-30.607785891089108</v>
      </c>
      <c r="BL111">
        <v>-30.730657178217822</v>
      </c>
      <c r="BM111">
        <v>-30.853528465346532</v>
      </c>
      <c r="BN111">
        <v>-30.976399752475245</v>
      </c>
      <c r="BO111">
        <v>-31.099271039603959</v>
      </c>
      <c r="BP111">
        <v>-31.222142326732673</v>
      </c>
      <c r="BQ111">
        <v>-31.345013613861386</v>
      </c>
      <c r="BR111">
        <v>-31.467884900990096</v>
      </c>
      <c r="BS111">
        <v>-31.588350681536554</v>
      </c>
      <c r="BT111">
        <v>-31.705723667905822</v>
      </c>
      <c r="BU111">
        <v>-31.823096654275091</v>
      </c>
      <c r="BV111">
        <v>-31.940469640644359</v>
      </c>
      <c r="BW111">
        <v>-32.057842627013628</v>
      </c>
      <c r="BX111">
        <v>-32.175215613382896</v>
      </c>
      <c r="BY111">
        <v>-32.292588599752165</v>
      </c>
      <c r="BZ111">
        <v>-32.409961586121433</v>
      </c>
      <c r="CA111">
        <v>-32.527334572490702</v>
      </c>
      <c r="CB111">
        <v>-32.64470755885997</v>
      </c>
      <c r="CC111">
        <v>-32.760782178217816</v>
      </c>
      <c r="CD111">
        <v>-32.874445544554455</v>
      </c>
      <c r="CE111">
        <v>-32.988108910891086</v>
      </c>
      <c r="CF111">
        <v>-33.101772277227717</v>
      </c>
      <c r="CG111">
        <v>-33.215435643564355</v>
      </c>
      <c r="CH111">
        <v>-33.329099009900986</v>
      </c>
      <c r="CI111">
        <v>-33.442762376237624</v>
      </c>
      <c r="CJ111">
        <v>-33.556425742574255</v>
      </c>
      <c r="CK111">
        <v>-33.670089108910894</v>
      </c>
      <c r="CL111">
        <v>-33.783752475247525</v>
      </c>
    </row>
    <row r="112" spans="1:94" ht="21.75" thickBot="1" x14ac:dyDescent="0.4">
      <c r="A112" s="18" t="s">
        <v>52</v>
      </c>
      <c r="B112" s="38">
        <v>-44.797821782178218</v>
      </c>
      <c r="C112" s="38">
        <v>-43.820198019801978</v>
      </c>
      <c r="D112" s="38">
        <v>-42.901386138613859</v>
      </c>
      <c r="E112" s="38">
        <v>-41.99</v>
      </c>
      <c r="F112">
        <v>-41.19</v>
      </c>
      <c r="G112">
        <v>-40.39</v>
      </c>
      <c r="H112">
        <v>-39.917821782178223</v>
      </c>
      <c r="I112">
        <v>-39.727722772277225</v>
      </c>
      <c r="J112">
        <v>-39.542970297029704</v>
      </c>
      <c r="K112">
        <v>-39.780594059405942</v>
      </c>
      <c r="L112">
        <v>-40.01821782178218</v>
      </c>
      <c r="M112">
        <v>-40.255841584158418</v>
      </c>
      <c r="N112">
        <v>-40.493465346534656</v>
      </c>
      <c r="O112">
        <v>-40.731089108910894</v>
      </c>
      <c r="P112">
        <v>-40.968712871287124</v>
      </c>
      <c r="Q112">
        <v>-41.206336633663362</v>
      </c>
      <c r="R112">
        <v>-41.4439603960396</v>
      </c>
      <c r="S112">
        <v>-41.681584158415838</v>
      </c>
      <c r="T112">
        <v>-41.919207920792076</v>
      </c>
      <c r="U112">
        <v>-42.156831683168313</v>
      </c>
      <c r="V112">
        <v>-42.394455445544551</v>
      </c>
      <c r="W112">
        <v>-42.635148514851487</v>
      </c>
      <c r="X112">
        <v>-42.880693069306929</v>
      </c>
      <c r="Y112">
        <v>-43.126237623762371</v>
      </c>
      <c r="Z112">
        <v>-43.365970149253727</v>
      </c>
      <c r="AA112">
        <v>-43.604776119402985</v>
      </c>
      <c r="AB112">
        <v>-43.843168316831679</v>
      </c>
      <c r="AC112">
        <v>-44.080792079207917</v>
      </c>
      <c r="AD112">
        <v>-44.318415841584155</v>
      </c>
      <c r="AE112">
        <v>-44.562574257425744</v>
      </c>
      <c r="AF112">
        <v>-44.808118811881187</v>
      </c>
      <c r="AG112">
        <v>-45.051287128712865</v>
      </c>
      <c r="AH112">
        <v>-45.28891089108911</v>
      </c>
      <c r="AI112">
        <v>-45.526534653465347</v>
      </c>
      <c r="AJ112">
        <v>-45.758019801980197</v>
      </c>
      <c r="AK112">
        <v>-45.987722772277223</v>
      </c>
      <c r="AL112">
        <v>-46.217425742574257</v>
      </c>
      <c r="AM112">
        <v>-46.447128712871283</v>
      </c>
      <c r="AN112">
        <v>-46.676831683168317</v>
      </c>
      <c r="AO112">
        <v>-46.903663366336637</v>
      </c>
      <c r="AP112">
        <v>-47.129405940594062</v>
      </c>
      <c r="AQ112">
        <v>-47.355148514851486</v>
      </c>
      <c r="AR112">
        <v>-47.58089108910891</v>
      </c>
      <c r="AS112">
        <v>-47.806633663366341</v>
      </c>
      <c r="AT112">
        <v>-48.032376237623765</v>
      </c>
      <c r="AU112">
        <v>-48.258118811881189</v>
      </c>
      <c r="AV112">
        <v>-48.483861386138614</v>
      </c>
      <c r="AW112">
        <v>-48.709603960396045</v>
      </c>
      <c r="AX112">
        <v>-48.935346534653469</v>
      </c>
      <c r="AY112">
        <v>-49.15506815365552</v>
      </c>
      <c r="AZ112">
        <v>-49.371177199504338</v>
      </c>
      <c r="BA112">
        <v>-49.587286245353162</v>
      </c>
      <c r="BB112">
        <v>-49.803395291201987</v>
      </c>
      <c r="BC112">
        <v>-50.019504337050805</v>
      </c>
      <c r="BD112">
        <v>-50.235613382899629</v>
      </c>
      <c r="BE112">
        <v>-50.451722428748454</v>
      </c>
      <c r="BF112">
        <v>-50.667831474597278</v>
      </c>
      <c r="BG112">
        <v>-50.883940520446096</v>
      </c>
      <c r="BH112">
        <v>-51.100049566294921</v>
      </c>
      <c r="BI112">
        <v>-51.311757425742577</v>
      </c>
      <c r="BJ112">
        <v>-51.519678217821784</v>
      </c>
      <c r="BK112">
        <v>-51.727599009900992</v>
      </c>
      <c r="BL112">
        <v>-51.935519801980199</v>
      </c>
      <c r="BM112">
        <v>-52.143440594059406</v>
      </c>
      <c r="BN112">
        <v>-52.351361386138613</v>
      </c>
      <c r="BO112">
        <v>-52.559282178217821</v>
      </c>
      <c r="BP112">
        <v>-52.767202970297028</v>
      </c>
      <c r="BQ112">
        <v>-52.975123762376235</v>
      </c>
      <c r="BR112">
        <v>-53.183044554455442</v>
      </c>
      <c r="BS112">
        <v>-53.386741016109042</v>
      </c>
      <c r="BT112">
        <v>-53.58500619578686</v>
      </c>
      <c r="BU112">
        <v>-53.783271375464679</v>
      </c>
      <c r="BV112">
        <v>-53.981536555142497</v>
      </c>
      <c r="BW112">
        <v>-54.179801734820316</v>
      </c>
      <c r="BX112">
        <v>-54.378066914498135</v>
      </c>
      <c r="BY112">
        <v>-54.57633209417596</v>
      </c>
      <c r="BZ112">
        <v>-54.774597273853779</v>
      </c>
      <c r="CA112">
        <v>-54.972862453531597</v>
      </c>
      <c r="CB112">
        <v>-55.171127633209416</v>
      </c>
      <c r="CC112">
        <v>-55.36722772277227</v>
      </c>
      <c r="CD112">
        <v>-55.559306930693069</v>
      </c>
      <c r="CE112">
        <v>-55.75138613861386</v>
      </c>
      <c r="CF112">
        <v>-55.943465346534651</v>
      </c>
      <c r="CG112">
        <v>-56.135544554455443</v>
      </c>
      <c r="CH112">
        <v>-56.327623762376234</v>
      </c>
      <c r="CI112">
        <v>-56.519702970297033</v>
      </c>
      <c r="CJ112">
        <v>-56.711782178217824</v>
      </c>
      <c r="CK112">
        <v>-56.903861386138615</v>
      </c>
      <c r="CL112">
        <v>-57.095940594059407</v>
      </c>
    </row>
    <row r="113" spans="1:90" ht="21.75" thickBot="1" x14ac:dyDescent="0.4">
      <c r="A113" s="18" t="s">
        <v>2</v>
      </c>
      <c r="B113" s="38">
        <v>-22.398910891089109</v>
      </c>
      <c r="C113" s="38">
        <v>-21.910099009900989</v>
      </c>
      <c r="D113" s="38">
        <v>-21.450693069306929</v>
      </c>
      <c r="E113" s="38">
        <v>-20.995000000000001</v>
      </c>
      <c r="F113">
        <v>-20.594999999999999</v>
      </c>
      <c r="G113">
        <v>-20.195</v>
      </c>
      <c r="H113">
        <v>-19.958910891089111</v>
      </c>
      <c r="I113">
        <v>-19.863861386138613</v>
      </c>
      <c r="J113">
        <v>-19.771485148514852</v>
      </c>
      <c r="K113">
        <v>-19.890297029702971</v>
      </c>
      <c r="L113">
        <v>-20.00910891089109</v>
      </c>
      <c r="M113">
        <v>-20.127920792079209</v>
      </c>
      <c r="N113">
        <v>-20.246732673267328</v>
      </c>
      <c r="O113">
        <v>-20.365544554455447</v>
      </c>
      <c r="P113">
        <v>-20.484356435643562</v>
      </c>
      <c r="Q113">
        <v>-20.603168316831681</v>
      </c>
      <c r="R113">
        <v>-20.7219801980198</v>
      </c>
      <c r="S113">
        <v>-20.840792079207919</v>
      </c>
      <c r="T113">
        <v>-20.959603960396038</v>
      </c>
      <c r="U113">
        <v>-21.078415841584157</v>
      </c>
      <c r="V113">
        <v>-21.197227722772276</v>
      </c>
      <c r="W113">
        <v>-21.317574257425743</v>
      </c>
      <c r="X113">
        <v>-21.440346534653465</v>
      </c>
      <c r="Y113">
        <v>-21.563118811881186</v>
      </c>
      <c r="Z113">
        <v>-21.682985074626863</v>
      </c>
      <c r="AA113">
        <v>-21.802388059701492</v>
      </c>
      <c r="AB113">
        <v>-21.92158415841584</v>
      </c>
      <c r="AC113">
        <v>-22.040396039603959</v>
      </c>
      <c r="AD113">
        <v>-22.159207920792078</v>
      </c>
      <c r="AE113">
        <v>-22.281287128712872</v>
      </c>
      <c r="AF113">
        <v>-22.404059405940593</v>
      </c>
      <c r="AG113">
        <v>-22.525643564356432</v>
      </c>
      <c r="AH113">
        <v>-22.644455445544555</v>
      </c>
      <c r="AI113">
        <v>-22.763267326732674</v>
      </c>
      <c r="AJ113">
        <v>-22.879009900990098</v>
      </c>
      <c r="AK113">
        <v>-22.993861386138612</v>
      </c>
      <c r="AL113">
        <v>-23.108712871287128</v>
      </c>
      <c r="AM113">
        <v>-23.223564356435642</v>
      </c>
      <c r="AN113">
        <v>-23.338415841584158</v>
      </c>
      <c r="AO113">
        <v>-23.451831683168319</v>
      </c>
      <c r="AP113">
        <v>-23.564702970297031</v>
      </c>
      <c r="AQ113">
        <v>-23.677574257425743</v>
      </c>
      <c r="AR113">
        <v>-23.790445544554455</v>
      </c>
      <c r="AS113">
        <v>-23.903316831683171</v>
      </c>
      <c r="AT113">
        <v>-24.016188118811883</v>
      </c>
      <c r="AU113">
        <v>-24.129059405940595</v>
      </c>
      <c r="AV113">
        <v>-24.241930693069307</v>
      </c>
      <c r="AW113">
        <v>-24.354801980198022</v>
      </c>
      <c r="AX113">
        <v>-24.467673267326735</v>
      </c>
      <c r="AY113">
        <v>-24.57753407682776</v>
      </c>
      <c r="AZ113">
        <v>-24.685588599752169</v>
      </c>
      <c r="BA113">
        <v>-24.793643122676581</v>
      </c>
      <c r="BB113">
        <v>-24.901697645600994</v>
      </c>
      <c r="BC113">
        <v>-25.009752168525402</v>
      </c>
      <c r="BD113">
        <v>-25.117806691449815</v>
      </c>
      <c r="BE113">
        <v>-25.225861214374227</v>
      </c>
      <c r="BF113">
        <v>-25.333915737298639</v>
      </c>
      <c r="BG113">
        <v>-25.441970260223048</v>
      </c>
      <c r="BH113">
        <v>-25.55002478314746</v>
      </c>
      <c r="BI113">
        <v>-25.655878712871289</v>
      </c>
      <c r="BJ113">
        <v>-25.759839108910892</v>
      </c>
      <c r="BK113">
        <v>-25.863799504950496</v>
      </c>
      <c r="BL113">
        <v>-25.967759900990099</v>
      </c>
      <c r="BM113">
        <v>-26.071720297029703</v>
      </c>
      <c r="BN113">
        <v>-26.175680693069307</v>
      </c>
      <c r="BO113">
        <v>-26.27964108910891</v>
      </c>
      <c r="BP113">
        <v>-26.383601485148514</v>
      </c>
      <c r="BQ113">
        <v>-26.487561881188117</v>
      </c>
      <c r="BR113">
        <v>-26.591522277227721</v>
      </c>
      <c r="BS113">
        <v>-26.693370508054521</v>
      </c>
      <c r="BT113">
        <v>-26.79250309789343</v>
      </c>
      <c r="BU113">
        <v>-26.891635687732339</v>
      </c>
      <c r="BV113">
        <v>-26.990768277571249</v>
      </c>
      <c r="BW113">
        <v>-27.089900867410158</v>
      </c>
      <c r="BX113">
        <v>-27.189033457249067</v>
      </c>
      <c r="BY113">
        <v>-27.28816604708798</v>
      </c>
      <c r="BZ113">
        <v>-27.387298636926889</v>
      </c>
      <c r="CA113">
        <v>-27.486431226765799</v>
      </c>
      <c r="CB113">
        <v>-27.585563816604708</v>
      </c>
      <c r="CC113">
        <v>-27.683613861386135</v>
      </c>
      <c r="CD113">
        <v>-27.779653465346534</v>
      </c>
      <c r="CE113">
        <v>-27.87569306930693</v>
      </c>
      <c r="CF113">
        <v>-27.971732673267326</v>
      </c>
      <c r="CG113">
        <v>-28.067772277227721</v>
      </c>
      <c r="CH113">
        <v>-28.163811881188117</v>
      </c>
      <c r="CI113">
        <v>-28.259851485148516</v>
      </c>
      <c r="CJ113">
        <v>-28.355891089108912</v>
      </c>
      <c r="CK113">
        <v>-28.451930693069308</v>
      </c>
      <c r="CL113">
        <v>-28.547970297029703</v>
      </c>
    </row>
    <row r="114" spans="1:90" ht="21.75" thickBot="1" x14ac:dyDescent="0.4">
      <c r="A114" s="18" t="s">
        <v>1</v>
      </c>
      <c r="B114" s="38">
        <v>-18.611633663366337</v>
      </c>
      <c r="C114" s="38">
        <v>-18.61</v>
      </c>
      <c r="D114" s="38">
        <v>-18.61</v>
      </c>
      <c r="E114" s="38">
        <v>-18.610495049504951</v>
      </c>
      <c r="F114">
        <v>-18.618415841584159</v>
      </c>
      <c r="G114">
        <v>-18.626336633663364</v>
      </c>
      <c r="H114">
        <v>-18.634257425742572</v>
      </c>
      <c r="I114">
        <v>-18.64217821782178</v>
      </c>
      <c r="J114">
        <v>-18.650148514851484</v>
      </c>
      <c r="K114">
        <v>-18.662029702970298</v>
      </c>
      <c r="L114">
        <v>-18.673910891089108</v>
      </c>
      <c r="M114">
        <v>-18.685792079207921</v>
      </c>
      <c r="N114">
        <v>-18.697673267326731</v>
      </c>
      <c r="O114">
        <v>-18.709554455445545</v>
      </c>
      <c r="P114">
        <v>-18.721435643564355</v>
      </c>
      <c r="Q114">
        <v>-18.733316831683169</v>
      </c>
      <c r="R114">
        <v>-18.745198019801979</v>
      </c>
      <c r="S114">
        <v>-18.757079207920793</v>
      </c>
      <c r="T114">
        <v>-18.768960396039603</v>
      </c>
      <c r="U114">
        <v>-18.784455445544555</v>
      </c>
      <c r="V114">
        <v>-18.800297029702968</v>
      </c>
      <c r="W114">
        <v>-18.814603960396038</v>
      </c>
      <c r="X114">
        <v>-18.826485148514852</v>
      </c>
      <c r="Y114">
        <v>-18.838366336633662</v>
      </c>
      <c r="Z114">
        <v>-18.853731343283581</v>
      </c>
      <c r="AA114">
        <v>-18.869651741293531</v>
      </c>
      <c r="AB114">
        <v>-18.886930693069306</v>
      </c>
      <c r="AC114">
        <v>-18.906732673267324</v>
      </c>
      <c r="AD114">
        <v>-18.926534653465346</v>
      </c>
      <c r="AE114">
        <v>-18.943069306930692</v>
      </c>
      <c r="AF114">
        <v>-18.958910891089108</v>
      </c>
      <c r="AG114">
        <v>-18.974752475247524</v>
      </c>
      <c r="AH114">
        <v>-18.990594059405939</v>
      </c>
      <c r="AI114">
        <v>-19.006435643564359</v>
      </c>
      <c r="AJ114">
        <v>-19.022277227722775</v>
      </c>
      <c r="AK114">
        <v>-19.038118811881191</v>
      </c>
      <c r="AL114">
        <v>-19.053960396039603</v>
      </c>
      <c r="AM114">
        <v>-19.069801980198019</v>
      </c>
      <c r="AN114">
        <v>-19.085643564356435</v>
      </c>
      <c r="AO114">
        <v>-19.102202970297029</v>
      </c>
      <c r="AP114">
        <v>-19.119034653465345</v>
      </c>
      <c r="AQ114">
        <v>-19.135866336633665</v>
      </c>
      <c r="AR114">
        <v>-19.152698019801981</v>
      </c>
      <c r="AS114">
        <v>-19.169529702970298</v>
      </c>
      <c r="AT114">
        <v>-19.186361386138614</v>
      </c>
      <c r="AU114">
        <v>-19.203193069306931</v>
      </c>
      <c r="AV114">
        <v>-19.220024752475247</v>
      </c>
      <c r="AW114">
        <v>-19.236856435643567</v>
      </c>
      <c r="AX114">
        <v>-19.253688118811883</v>
      </c>
      <c r="AY114">
        <v>-19.270532837670384</v>
      </c>
      <c r="AZ114">
        <v>-19.287385377943</v>
      </c>
      <c r="BA114">
        <v>-19.304237918215616</v>
      </c>
      <c r="BB114">
        <v>-19.321090458488229</v>
      </c>
      <c r="BC114">
        <v>-19.337942998760845</v>
      </c>
      <c r="BD114">
        <v>-19.354795539033457</v>
      </c>
      <c r="BE114">
        <v>-19.371648079306073</v>
      </c>
      <c r="BF114">
        <v>-19.388500619578686</v>
      </c>
      <c r="BG114">
        <v>-19.405353159851302</v>
      </c>
      <c r="BH114">
        <v>-19.422205700123914</v>
      </c>
      <c r="BI114">
        <v>-19.438514851485149</v>
      </c>
      <c r="BJ114">
        <v>-19.454356435643565</v>
      </c>
      <c r="BK114">
        <v>-19.47019801980198</v>
      </c>
      <c r="BL114">
        <v>-19.486039603960396</v>
      </c>
      <c r="BM114">
        <v>-19.501881188118812</v>
      </c>
      <c r="BN114">
        <v>-19.517722772277228</v>
      </c>
      <c r="BO114">
        <v>-19.533564356435644</v>
      </c>
      <c r="BP114">
        <v>-19.54940594059406</v>
      </c>
      <c r="BQ114">
        <v>-19.565247524752476</v>
      </c>
      <c r="BR114">
        <v>-19.581089108910891</v>
      </c>
      <c r="BS114">
        <v>-19.596505576208177</v>
      </c>
      <c r="BT114">
        <v>-19.611375464684013</v>
      </c>
      <c r="BU114">
        <v>-19.626245353159852</v>
      </c>
      <c r="BV114">
        <v>-19.641115241635688</v>
      </c>
      <c r="BW114">
        <v>-19.655985130111524</v>
      </c>
      <c r="BX114">
        <v>-19.670855018587361</v>
      </c>
      <c r="BY114">
        <v>-19.685724907063197</v>
      </c>
      <c r="BZ114">
        <v>-19.700594795539033</v>
      </c>
      <c r="CA114">
        <v>-19.715464684014869</v>
      </c>
      <c r="CB114">
        <v>-19.730334572490705</v>
      </c>
      <c r="CC114">
        <v>-19.744851485148512</v>
      </c>
      <c r="CD114">
        <v>-19.758712871287127</v>
      </c>
      <c r="CE114">
        <v>-19.772574257425742</v>
      </c>
      <c r="CF114">
        <v>-19.786435643564356</v>
      </c>
      <c r="CG114">
        <v>-19.800297029702968</v>
      </c>
      <c r="CH114">
        <v>-19.814158415841582</v>
      </c>
      <c r="CI114">
        <v>-19.828019801980197</v>
      </c>
      <c r="CJ114">
        <v>-19.841881188118812</v>
      </c>
      <c r="CK114">
        <v>-19.855742574257423</v>
      </c>
      <c r="CL114">
        <v>-19.869603960396038</v>
      </c>
    </row>
    <row r="115" spans="1:90" ht="21.75" thickBot="1" x14ac:dyDescent="0.4">
      <c r="A115" s="18" t="s">
        <v>87</v>
      </c>
      <c r="B115" s="38">
        <v>-15.64579207920792</v>
      </c>
      <c r="C115" s="38">
        <v>-15.366435643564357</v>
      </c>
      <c r="D115" s="38">
        <v>-15.105049504950495</v>
      </c>
      <c r="E115" s="38">
        <v>-14.846138613861386</v>
      </c>
      <c r="F115">
        <v>-14.624356435643564</v>
      </c>
      <c r="G115">
        <v>-14.402574257425742</v>
      </c>
      <c r="H115">
        <v>-14.059455445544554</v>
      </c>
      <c r="I115">
        <v>-13.611930693069306</v>
      </c>
      <c r="J115">
        <v>-13.163493811881187</v>
      </c>
      <c r="K115">
        <v>-12.642998762376235</v>
      </c>
      <c r="L115">
        <v>-12.122503712871286</v>
      </c>
      <c r="M115">
        <v>-11.602008663366336</v>
      </c>
      <c r="N115">
        <v>-11.081513613861386</v>
      </c>
      <c r="O115">
        <v>-10.561018564356434</v>
      </c>
      <c r="P115">
        <v>-10.040523514851484</v>
      </c>
      <c r="Q115">
        <v>-9.5200284653465346</v>
      </c>
      <c r="R115">
        <v>-8.999533415841583</v>
      </c>
      <c r="S115">
        <v>-8.4790383663366331</v>
      </c>
      <c r="T115">
        <v>-7.9585433168316824</v>
      </c>
      <c r="U115">
        <v>-7.5292079207920786</v>
      </c>
      <c r="V115">
        <v>-7.1086138613861376</v>
      </c>
      <c r="W115">
        <v>-6.6999900990099004</v>
      </c>
      <c r="X115">
        <v>-6.3102871287128712</v>
      </c>
      <c r="Y115">
        <v>-5.9205841584158421</v>
      </c>
      <c r="Z115">
        <v>-5.5518656716417913</v>
      </c>
      <c r="AA115">
        <v>-5.1864925373134323</v>
      </c>
      <c r="AB115">
        <v>-4.8306237623762369</v>
      </c>
      <c r="AC115">
        <v>-4.4924059405940584</v>
      </c>
      <c r="AD115">
        <v>-4.1541881188118799</v>
      </c>
      <c r="AE115">
        <v>-4.1129702970297028</v>
      </c>
      <c r="AF115">
        <v>-4.1347524752475247</v>
      </c>
      <c r="AG115">
        <v>-4.1559405940594063</v>
      </c>
      <c r="AH115">
        <v>-4.1757425742574261</v>
      </c>
      <c r="AI115">
        <v>-4.1955445544554459</v>
      </c>
      <c r="AJ115">
        <v>-4.2150396039603963</v>
      </c>
      <c r="AK115">
        <v>-4.2344455445544549</v>
      </c>
      <c r="AL115">
        <v>-4.2539504950495051</v>
      </c>
      <c r="AM115">
        <v>-4.2737524752475249</v>
      </c>
      <c r="AN115">
        <v>-4.2935544554455447</v>
      </c>
      <c r="AO115">
        <v>-4.3133564356435645</v>
      </c>
      <c r="AP115">
        <v>-4.3331584158415843</v>
      </c>
      <c r="AQ115">
        <v>-4.3529603960396042</v>
      </c>
      <c r="AR115">
        <v>-4.372762376237624</v>
      </c>
      <c r="AS115">
        <v>-4.3925643564356438</v>
      </c>
      <c r="AT115">
        <v>-4.4123663366336636</v>
      </c>
      <c r="AU115">
        <v>-4.4321683168316834</v>
      </c>
      <c r="AV115">
        <v>-4.4519702970297024</v>
      </c>
      <c r="AW115">
        <v>-4.4717722772277222</v>
      </c>
      <c r="AX115">
        <v>-4.491574257425742</v>
      </c>
      <c r="AY115">
        <v>-4.5112057001239156</v>
      </c>
      <c r="AZ115">
        <v>-4.5307348203221807</v>
      </c>
      <c r="BA115">
        <v>-4.5502639405204457</v>
      </c>
      <c r="BB115">
        <v>-4.5697930607187107</v>
      </c>
      <c r="BC115">
        <v>-4.5893221809169757</v>
      </c>
      <c r="BD115">
        <v>-4.6088513011152417</v>
      </c>
      <c r="BE115">
        <v>-4.6283804213135067</v>
      </c>
      <c r="BF115">
        <v>-4.6479095415117717</v>
      </c>
      <c r="BG115">
        <v>-4.6674386617100367</v>
      </c>
      <c r="BH115">
        <v>-4.6869677819083018</v>
      </c>
      <c r="BI115">
        <v>-4.7061646039603957</v>
      </c>
      <c r="BJ115">
        <v>-4.7250754950495049</v>
      </c>
      <c r="BK115">
        <v>-4.7439863861386131</v>
      </c>
      <c r="BL115">
        <v>-4.7628972772277223</v>
      </c>
      <c r="BM115">
        <v>-4.7818081683168314</v>
      </c>
      <c r="BN115">
        <v>-4.8007190594059406</v>
      </c>
      <c r="BO115">
        <v>-4.8196299504950488</v>
      </c>
      <c r="BP115">
        <v>-4.838540841584158</v>
      </c>
      <c r="BQ115">
        <v>-4.8574517326732671</v>
      </c>
      <c r="BR115">
        <v>-4.8763626237623754</v>
      </c>
      <c r="BS115">
        <v>-4.8949801734820317</v>
      </c>
      <c r="BT115">
        <v>-4.913220570012391</v>
      </c>
      <c r="BU115">
        <v>-4.9314609665427502</v>
      </c>
      <c r="BV115">
        <v>-4.9497013630731095</v>
      </c>
      <c r="BW115">
        <v>-4.9679417596034696</v>
      </c>
      <c r="BX115">
        <v>-4.9861821561338289</v>
      </c>
      <c r="BY115">
        <v>-5.0044225526641881</v>
      </c>
      <c r="BZ115">
        <v>-5.0226629491945474</v>
      </c>
      <c r="CA115">
        <v>-5.0409033457249066</v>
      </c>
      <c r="CB115">
        <v>-5.0591437422552659</v>
      </c>
      <c r="CC115">
        <v>-5.077168316831683</v>
      </c>
      <c r="CD115">
        <v>-5.0947920792079202</v>
      </c>
      <c r="CE115">
        <v>-5.1124158415841583</v>
      </c>
      <c r="CF115">
        <v>-5.1300396039603955</v>
      </c>
      <c r="CG115">
        <v>-5.1476633663366336</v>
      </c>
      <c r="CH115">
        <v>-5.1652871287128708</v>
      </c>
      <c r="CI115">
        <v>-5.1829108910891089</v>
      </c>
      <c r="CJ115">
        <v>-5.200534653465346</v>
      </c>
      <c r="CK115">
        <v>-5.2181584158415841</v>
      </c>
      <c r="CL115">
        <v>-5.2357821782178213</v>
      </c>
    </row>
    <row r="116" spans="1:90" ht="21.75" thickBot="1" x14ac:dyDescent="0.4">
      <c r="A116" s="18" t="s">
        <v>88</v>
      </c>
      <c r="B116" s="38">
        <v>-22.398910891089109</v>
      </c>
      <c r="C116" s="38">
        <v>-21.910099009900989</v>
      </c>
      <c r="D116" s="38">
        <v>-21.450693069306929</v>
      </c>
      <c r="E116" s="38">
        <v>-20.995000000000001</v>
      </c>
      <c r="F116">
        <v>-20.594999999999999</v>
      </c>
      <c r="G116">
        <v>-20.195</v>
      </c>
      <c r="H116">
        <v>-19.958910891089111</v>
      </c>
      <c r="I116">
        <v>-19.863861386138613</v>
      </c>
      <c r="J116">
        <v>-19.771485148514852</v>
      </c>
      <c r="K116">
        <v>-19.890297029702971</v>
      </c>
      <c r="L116">
        <v>-20.00910891089109</v>
      </c>
      <c r="M116">
        <v>-20.127920792079209</v>
      </c>
      <c r="N116">
        <v>-20.246732673267328</v>
      </c>
      <c r="O116">
        <v>-20.365544554455447</v>
      </c>
      <c r="P116">
        <v>-20.484356435643562</v>
      </c>
      <c r="Q116">
        <v>-20.603168316831681</v>
      </c>
      <c r="R116">
        <v>-20.7219801980198</v>
      </c>
      <c r="S116">
        <v>-20.840792079207919</v>
      </c>
      <c r="T116">
        <v>-20.959603960396038</v>
      </c>
      <c r="U116">
        <v>-21.078415841584157</v>
      </c>
      <c r="V116">
        <v>-21.197227722772276</v>
      </c>
      <c r="W116">
        <v>-21.317574257425743</v>
      </c>
      <c r="X116">
        <v>-21.440346534653465</v>
      </c>
      <c r="Y116">
        <v>-21.563118811881186</v>
      </c>
      <c r="Z116">
        <v>-21.682985074626863</v>
      </c>
      <c r="AA116">
        <v>-21.802388059701492</v>
      </c>
      <c r="AB116">
        <v>-21.92158415841584</v>
      </c>
      <c r="AC116">
        <v>-22.040396039603959</v>
      </c>
      <c r="AD116">
        <v>-22.159207920792078</v>
      </c>
      <c r="AE116">
        <v>-22.281287128712872</v>
      </c>
      <c r="AF116">
        <v>-22.404059405940593</v>
      </c>
      <c r="AG116">
        <v>-22.525643564356432</v>
      </c>
      <c r="AH116">
        <v>-22.644455445544555</v>
      </c>
      <c r="AI116">
        <v>-22.763267326732674</v>
      </c>
      <c r="AJ116">
        <v>-22.879009900990098</v>
      </c>
      <c r="AK116">
        <v>-22.993861386138612</v>
      </c>
      <c r="AL116">
        <v>-23.108712871287128</v>
      </c>
      <c r="AM116">
        <v>-23.223564356435642</v>
      </c>
      <c r="AN116">
        <v>-23.338415841584158</v>
      </c>
      <c r="AO116">
        <v>-23.451831683168319</v>
      </c>
      <c r="AP116">
        <v>-23.564702970297031</v>
      </c>
      <c r="AQ116">
        <v>-23.677574257425743</v>
      </c>
      <c r="AR116">
        <v>-23.790445544554455</v>
      </c>
      <c r="AS116">
        <v>-23.903316831683171</v>
      </c>
      <c r="AT116">
        <v>-24.016188118811883</v>
      </c>
      <c r="AU116">
        <v>-24.129059405940595</v>
      </c>
      <c r="AV116">
        <v>-24.241930693069307</v>
      </c>
      <c r="AW116">
        <v>-24.354801980198022</v>
      </c>
      <c r="AX116">
        <v>-24.467673267326735</v>
      </c>
      <c r="AY116">
        <v>-24.57753407682776</v>
      </c>
      <c r="AZ116">
        <v>-24.685588599752169</v>
      </c>
      <c r="BA116">
        <v>-24.793643122676581</v>
      </c>
      <c r="BB116">
        <v>-24.901697645600994</v>
      </c>
      <c r="BC116">
        <v>-25.009752168525402</v>
      </c>
      <c r="BD116">
        <v>-25.117806691449815</v>
      </c>
      <c r="BE116">
        <v>-25.225861214374227</v>
      </c>
      <c r="BF116">
        <v>-25.333915737298639</v>
      </c>
      <c r="BG116">
        <v>-25.441970260223048</v>
      </c>
      <c r="BH116">
        <v>-25.55002478314746</v>
      </c>
      <c r="BI116">
        <v>-25.655878712871289</v>
      </c>
      <c r="BJ116">
        <v>-25.759839108910892</v>
      </c>
      <c r="BK116">
        <v>-25.863799504950496</v>
      </c>
      <c r="BL116">
        <v>-25.967759900990099</v>
      </c>
      <c r="BM116">
        <v>-26.071720297029703</v>
      </c>
      <c r="BN116">
        <v>-26.175680693069307</v>
      </c>
      <c r="BO116">
        <v>-26.27964108910891</v>
      </c>
      <c r="BP116">
        <v>-26.383601485148514</v>
      </c>
      <c r="BQ116">
        <v>-26.487561881188117</v>
      </c>
      <c r="BR116">
        <v>-26.591522277227721</v>
      </c>
      <c r="BS116">
        <v>-26.693370508054521</v>
      </c>
      <c r="BT116">
        <v>-26.79250309789343</v>
      </c>
      <c r="BU116">
        <v>-26.891635687732339</v>
      </c>
      <c r="BV116">
        <v>-26.990768277571249</v>
      </c>
      <c r="BW116">
        <v>-27.089900867410158</v>
      </c>
      <c r="BX116">
        <v>-27.189033457249067</v>
      </c>
      <c r="BY116">
        <v>-27.28816604708798</v>
      </c>
      <c r="BZ116">
        <v>-27.387298636926889</v>
      </c>
      <c r="CA116">
        <v>-27.486431226765799</v>
      </c>
      <c r="CB116">
        <v>-27.585563816604708</v>
      </c>
      <c r="CC116">
        <v>-27.683613861386135</v>
      </c>
      <c r="CD116">
        <v>-27.779653465346534</v>
      </c>
      <c r="CE116">
        <v>-27.87569306930693</v>
      </c>
      <c r="CF116">
        <v>-27.971732673267326</v>
      </c>
      <c r="CG116">
        <v>-28.067772277227721</v>
      </c>
      <c r="CH116">
        <v>-28.163811881188117</v>
      </c>
      <c r="CI116">
        <v>-28.259851485148516</v>
      </c>
      <c r="CJ116">
        <v>-28.355891089108912</v>
      </c>
      <c r="CK116">
        <v>-28.451930693069308</v>
      </c>
      <c r="CL116">
        <v>-28.547970297029703</v>
      </c>
    </row>
    <row r="117" spans="1:90" ht="21.75" hidden="1" thickBot="1" x14ac:dyDescent="0.4">
      <c r="A117" s="18" t="s">
        <v>28</v>
      </c>
      <c r="B117" s="38">
        <v>-18.611633663366337</v>
      </c>
      <c r="C117" s="38">
        <v>-18.61</v>
      </c>
      <c r="D117" s="38">
        <v>-18.61</v>
      </c>
      <c r="E117" s="38">
        <v>-18.610495049504951</v>
      </c>
      <c r="F117">
        <v>-18.618415841584159</v>
      </c>
      <c r="G117">
        <v>-18.626336633663364</v>
      </c>
      <c r="H117">
        <v>-18.634257425742572</v>
      </c>
      <c r="I117">
        <v>-18.64217821782178</v>
      </c>
      <c r="J117">
        <v>-18.650148514851484</v>
      </c>
      <c r="K117">
        <v>-18.662029702970298</v>
      </c>
      <c r="L117">
        <v>-18.673910891089108</v>
      </c>
      <c r="M117">
        <v>-18.685792079207921</v>
      </c>
      <c r="N117">
        <v>-18.697673267326731</v>
      </c>
      <c r="O117">
        <v>-18.709554455445545</v>
      </c>
      <c r="P117">
        <v>-18.721435643564355</v>
      </c>
      <c r="Q117">
        <v>-18.733316831683169</v>
      </c>
      <c r="R117">
        <v>-18.745198019801979</v>
      </c>
      <c r="S117">
        <v>-18.757079207920793</v>
      </c>
      <c r="T117">
        <v>-18.768960396039603</v>
      </c>
      <c r="U117">
        <v>-18.784455445544555</v>
      </c>
      <c r="V117">
        <v>-18.800297029702968</v>
      </c>
      <c r="W117">
        <v>-18.814603960396038</v>
      </c>
      <c r="X117">
        <v>-18.826485148514852</v>
      </c>
      <c r="Y117">
        <v>-18.838366336633662</v>
      </c>
      <c r="Z117">
        <v>-18.853731343283581</v>
      </c>
      <c r="AA117">
        <v>-18.869651741293531</v>
      </c>
      <c r="AB117">
        <v>-18.886930693069306</v>
      </c>
      <c r="AC117">
        <v>-18.906732673267324</v>
      </c>
      <c r="AD117">
        <v>-18.926534653465346</v>
      </c>
      <c r="AE117">
        <v>-18.943069306930692</v>
      </c>
      <c r="AF117">
        <v>-18.958910891089108</v>
      </c>
      <c r="AG117">
        <v>-18.974752475247524</v>
      </c>
      <c r="AH117">
        <v>-18.990594059405939</v>
      </c>
      <c r="AI117">
        <v>-19.006435643564359</v>
      </c>
      <c r="AJ117">
        <v>-19.022277227722775</v>
      </c>
      <c r="AK117">
        <v>-19.038118811881191</v>
      </c>
      <c r="AL117">
        <v>-19.053960396039603</v>
      </c>
      <c r="AM117">
        <v>-19.069801980198019</v>
      </c>
      <c r="AN117">
        <v>-19.085643564356435</v>
      </c>
      <c r="AO117">
        <v>-19.102202970297029</v>
      </c>
      <c r="AP117">
        <v>-19.119034653465345</v>
      </c>
      <c r="AQ117">
        <v>-19.135866336633665</v>
      </c>
      <c r="AR117">
        <v>-19.152698019801981</v>
      </c>
      <c r="AS117">
        <v>-19.169529702970298</v>
      </c>
      <c r="AT117">
        <v>-19.186361386138614</v>
      </c>
      <c r="AU117">
        <v>-19.203193069306931</v>
      </c>
      <c r="AV117">
        <v>-19.220024752475247</v>
      </c>
      <c r="AW117">
        <v>-19.236856435643567</v>
      </c>
      <c r="AX117">
        <v>-19.253688118811883</v>
      </c>
      <c r="AY117">
        <v>-19.270532837670384</v>
      </c>
      <c r="AZ117">
        <v>-19.287385377943</v>
      </c>
      <c r="BA117">
        <v>-19.304237918215616</v>
      </c>
      <c r="BB117">
        <v>-19.321090458488229</v>
      </c>
      <c r="BC117">
        <v>-19.337942998760845</v>
      </c>
      <c r="BD117">
        <v>-19.354795539033457</v>
      </c>
      <c r="BE117">
        <v>-19.371648079306073</v>
      </c>
      <c r="BF117">
        <v>-19.388500619578686</v>
      </c>
      <c r="BG117">
        <v>-19.405353159851302</v>
      </c>
      <c r="BH117">
        <v>-19.422205700123914</v>
      </c>
      <c r="BI117">
        <v>-19.438514851485149</v>
      </c>
      <c r="BJ117">
        <v>-19.454356435643565</v>
      </c>
      <c r="BK117">
        <v>-19.47019801980198</v>
      </c>
      <c r="BL117">
        <v>-19.486039603960396</v>
      </c>
      <c r="BM117">
        <v>-19.501881188118812</v>
      </c>
      <c r="BN117">
        <v>-19.517722772277228</v>
      </c>
      <c r="BO117">
        <v>-19.533564356435644</v>
      </c>
      <c r="BP117">
        <v>-19.54940594059406</v>
      </c>
      <c r="BQ117">
        <v>-19.565247524752476</v>
      </c>
      <c r="BR117">
        <v>-19.581089108910891</v>
      </c>
      <c r="BS117">
        <v>-19.596505576208177</v>
      </c>
      <c r="BT117">
        <v>-19.611375464684013</v>
      </c>
      <c r="BU117">
        <v>-19.626245353159852</v>
      </c>
      <c r="BV117">
        <v>-19.641115241635688</v>
      </c>
      <c r="BW117">
        <v>-19.655985130111524</v>
      </c>
      <c r="BX117">
        <v>-19.670855018587361</v>
      </c>
      <c r="BY117">
        <v>-19.685724907063197</v>
      </c>
      <c r="BZ117">
        <v>-19.700594795539033</v>
      </c>
      <c r="CA117">
        <v>-19.715464684014869</v>
      </c>
      <c r="CB117">
        <v>-19.730334572490705</v>
      </c>
      <c r="CC117">
        <v>-19.744851485148512</v>
      </c>
      <c r="CD117">
        <v>-19.758712871287127</v>
      </c>
      <c r="CE117">
        <v>-19.772574257425742</v>
      </c>
      <c r="CF117">
        <v>-19.786435643564356</v>
      </c>
      <c r="CG117">
        <v>-19.800297029702968</v>
      </c>
      <c r="CH117">
        <v>-19.814158415841582</v>
      </c>
      <c r="CI117">
        <v>-19.828019801980197</v>
      </c>
      <c r="CJ117">
        <v>-19.841881188118812</v>
      </c>
      <c r="CK117">
        <v>-19.855742574257423</v>
      </c>
      <c r="CL117">
        <v>-19.869603960396038</v>
      </c>
    </row>
    <row r="118" spans="1:90" ht="21.75" hidden="1" thickBot="1" x14ac:dyDescent="0.4">
      <c r="A118" s="18" t="s">
        <v>6</v>
      </c>
      <c r="B118" s="38">
        <v>-15.64579207920792</v>
      </c>
      <c r="C118" s="38">
        <v>-15.366435643564357</v>
      </c>
      <c r="D118" s="38">
        <v>-15.105049504950495</v>
      </c>
      <c r="E118" s="38">
        <v>-14.846138613861386</v>
      </c>
      <c r="F118">
        <v>-14.624356435643564</v>
      </c>
      <c r="G118">
        <v>-14.402574257425742</v>
      </c>
      <c r="H118">
        <v>-14.059455445544554</v>
      </c>
      <c r="I118">
        <v>-13.611930693069306</v>
      </c>
      <c r="J118">
        <v>-13.163493811881187</v>
      </c>
      <c r="K118">
        <v>-12.642998762376235</v>
      </c>
      <c r="L118">
        <v>-12.122503712871286</v>
      </c>
      <c r="M118">
        <v>-11.602008663366336</v>
      </c>
      <c r="N118">
        <v>-11.081513613861386</v>
      </c>
      <c r="O118">
        <v>-10.561018564356434</v>
      </c>
      <c r="P118">
        <v>-10.040523514851484</v>
      </c>
      <c r="Q118">
        <v>-9.5200284653465346</v>
      </c>
      <c r="R118">
        <v>-8.999533415841583</v>
      </c>
      <c r="S118">
        <v>-8.4790383663366331</v>
      </c>
      <c r="T118">
        <v>-7.9585433168316824</v>
      </c>
      <c r="U118">
        <v>-7.5292079207920786</v>
      </c>
      <c r="V118">
        <v>-7.1086138613861376</v>
      </c>
      <c r="W118">
        <v>-6.6999900990099004</v>
      </c>
      <c r="X118">
        <v>-6.3102871287128712</v>
      </c>
      <c r="Y118">
        <v>-5.9205841584158421</v>
      </c>
      <c r="Z118">
        <v>-5.5518656716417913</v>
      </c>
      <c r="AA118">
        <v>-5.1864925373134323</v>
      </c>
      <c r="AB118">
        <v>-4.8306237623762369</v>
      </c>
      <c r="AC118">
        <v>-4.4924059405940584</v>
      </c>
      <c r="AD118">
        <v>-4.1541881188118799</v>
      </c>
      <c r="AE118">
        <v>-4.1129702970297028</v>
      </c>
      <c r="AF118">
        <v>-4.1347524752475247</v>
      </c>
      <c r="AG118">
        <v>-4.1559405940594063</v>
      </c>
      <c r="AH118">
        <v>-4.1757425742574261</v>
      </c>
      <c r="AI118">
        <v>-4.1955445544554459</v>
      </c>
      <c r="AJ118">
        <v>-4.2150396039603963</v>
      </c>
      <c r="AK118">
        <v>-4.2344455445544549</v>
      </c>
      <c r="AL118">
        <v>-4.2539504950495051</v>
      </c>
      <c r="AM118">
        <v>-4.2737524752475249</v>
      </c>
      <c r="AN118">
        <v>-4.2935544554455447</v>
      </c>
      <c r="AO118">
        <v>-4.3133564356435645</v>
      </c>
      <c r="AP118">
        <v>-4.3331584158415843</v>
      </c>
      <c r="AQ118">
        <v>-4.3529603960396042</v>
      </c>
      <c r="AR118">
        <v>-4.372762376237624</v>
      </c>
      <c r="AS118">
        <v>-4.3925643564356438</v>
      </c>
      <c r="AT118">
        <v>-4.4123663366336636</v>
      </c>
      <c r="AU118">
        <v>-4.4321683168316834</v>
      </c>
      <c r="AV118">
        <v>-4.4519702970297024</v>
      </c>
      <c r="AW118">
        <v>-4.4717722772277222</v>
      </c>
      <c r="AX118">
        <v>-4.491574257425742</v>
      </c>
      <c r="AY118">
        <v>-4.5112057001239156</v>
      </c>
      <c r="AZ118">
        <v>-4.5307348203221807</v>
      </c>
      <c r="BA118">
        <v>-4.5502639405204457</v>
      </c>
      <c r="BB118">
        <v>-4.5697930607187107</v>
      </c>
      <c r="BC118">
        <v>-4.5893221809169757</v>
      </c>
      <c r="BD118">
        <v>-4.6088513011152417</v>
      </c>
      <c r="BE118">
        <v>-4.6283804213135067</v>
      </c>
      <c r="BF118">
        <v>-4.6479095415117717</v>
      </c>
      <c r="BG118">
        <v>-4.6674386617100367</v>
      </c>
      <c r="BH118">
        <v>-4.6869677819083018</v>
      </c>
      <c r="BI118">
        <v>-4.7061646039603957</v>
      </c>
      <c r="BJ118">
        <v>-4.7250754950495049</v>
      </c>
      <c r="BK118">
        <v>-4.7439863861386131</v>
      </c>
      <c r="BL118">
        <v>-4.7628972772277223</v>
      </c>
      <c r="BM118">
        <v>-4.7818081683168314</v>
      </c>
      <c r="BN118">
        <v>-4.8007190594059406</v>
      </c>
      <c r="BO118">
        <v>-4.8196299504950488</v>
      </c>
      <c r="BP118">
        <v>-4.838540841584158</v>
      </c>
      <c r="BQ118">
        <v>-4.8574517326732671</v>
      </c>
      <c r="BR118">
        <v>-4.8763626237623754</v>
      </c>
      <c r="BS118">
        <v>-4.8949801734820317</v>
      </c>
      <c r="BT118">
        <v>-4.913220570012391</v>
      </c>
      <c r="BU118">
        <v>-4.9314609665427502</v>
      </c>
      <c r="BV118">
        <v>-4.9497013630731095</v>
      </c>
      <c r="BW118">
        <v>-4.9679417596034696</v>
      </c>
      <c r="BX118">
        <v>-4.9861821561338289</v>
      </c>
      <c r="BY118">
        <v>-5.0044225526641881</v>
      </c>
      <c r="BZ118">
        <v>-5.0226629491945474</v>
      </c>
      <c r="CA118">
        <v>-5.0409033457249066</v>
      </c>
      <c r="CB118">
        <v>-5.0591437422552659</v>
      </c>
      <c r="CC118">
        <v>-5.077168316831683</v>
      </c>
      <c r="CD118">
        <v>-5.0947920792079202</v>
      </c>
      <c r="CE118">
        <v>-5.1124158415841583</v>
      </c>
      <c r="CF118">
        <v>-5.1300396039603955</v>
      </c>
      <c r="CG118">
        <v>-5.1476633663366336</v>
      </c>
      <c r="CH118">
        <v>-5.1652871287128708</v>
      </c>
      <c r="CI118">
        <v>-5.1829108910891089</v>
      </c>
      <c r="CJ118">
        <v>-5.200534653465346</v>
      </c>
      <c r="CK118">
        <v>-5.2181584158415841</v>
      </c>
      <c r="CL118">
        <v>-5.2357821782178213</v>
      </c>
    </row>
    <row r="119" spans="1:90" ht="21.75" hidden="1" thickBot="1" x14ac:dyDescent="0.4">
      <c r="A119" s="18" t="s">
        <v>7</v>
      </c>
      <c r="B119" s="38">
        <v>-22.398910891089109</v>
      </c>
      <c r="C119" s="38">
        <v>-21.910099009900989</v>
      </c>
      <c r="D119" s="38">
        <v>-21.450693069306929</v>
      </c>
      <c r="E119" s="38">
        <v>-20.995000000000001</v>
      </c>
      <c r="F119">
        <v>-20.594999999999999</v>
      </c>
      <c r="G119">
        <v>-20.195</v>
      </c>
      <c r="H119">
        <v>-19.958910891089111</v>
      </c>
      <c r="I119">
        <v>-19.863861386138613</v>
      </c>
      <c r="J119">
        <v>-19.771485148514852</v>
      </c>
      <c r="K119">
        <v>-19.890297029702971</v>
      </c>
      <c r="L119">
        <v>-20.00910891089109</v>
      </c>
      <c r="M119">
        <v>-20.127920792079209</v>
      </c>
      <c r="N119">
        <v>-20.246732673267328</v>
      </c>
      <c r="O119">
        <v>-20.365544554455447</v>
      </c>
      <c r="P119">
        <v>-20.484356435643562</v>
      </c>
      <c r="Q119">
        <v>-20.603168316831681</v>
      </c>
      <c r="R119">
        <v>-20.7219801980198</v>
      </c>
      <c r="S119">
        <v>-20.840792079207919</v>
      </c>
      <c r="T119">
        <v>-20.959603960396038</v>
      </c>
      <c r="U119">
        <v>-21.078415841584157</v>
      </c>
      <c r="V119">
        <v>-21.197227722772276</v>
      </c>
      <c r="W119">
        <v>-21.317574257425743</v>
      </c>
      <c r="X119">
        <v>-21.440346534653465</v>
      </c>
      <c r="Y119">
        <v>-21.563118811881186</v>
      </c>
      <c r="Z119">
        <v>-21.682985074626863</v>
      </c>
      <c r="AA119">
        <v>-21.802388059701492</v>
      </c>
      <c r="AB119">
        <v>-21.92158415841584</v>
      </c>
      <c r="AC119">
        <v>-22.040396039603959</v>
      </c>
      <c r="AD119">
        <v>-22.159207920792078</v>
      </c>
      <c r="AE119">
        <v>-22.281287128712872</v>
      </c>
      <c r="AF119">
        <v>-22.404059405940593</v>
      </c>
      <c r="AG119">
        <v>-22.525643564356432</v>
      </c>
      <c r="AH119">
        <v>-22.644455445544555</v>
      </c>
      <c r="AI119">
        <v>-22.763267326732674</v>
      </c>
      <c r="AJ119">
        <v>-22.879009900990098</v>
      </c>
      <c r="AK119">
        <v>-22.993861386138612</v>
      </c>
      <c r="AL119">
        <v>-23.108712871287128</v>
      </c>
      <c r="AM119">
        <v>-23.223564356435642</v>
      </c>
      <c r="AN119">
        <v>-23.338415841584158</v>
      </c>
      <c r="AO119">
        <v>-23.451831683168319</v>
      </c>
      <c r="AP119">
        <v>-23.564702970297031</v>
      </c>
      <c r="AQ119">
        <v>-23.677574257425743</v>
      </c>
      <c r="AR119">
        <v>-23.790445544554455</v>
      </c>
      <c r="AS119">
        <v>-23.903316831683171</v>
      </c>
      <c r="AT119">
        <v>-24.016188118811883</v>
      </c>
      <c r="AU119">
        <v>-24.129059405940595</v>
      </c>
      <c r="AV119">
        <v>-24.241930693069307</v>
      </c>
      <c r="AW119">
        <v>-24.354801980198022</v>
      </c>
      <c r="AX119">
        <v>-24.467673267326735</v>
      </c>
      <c r="AY119">
        <v>-24.57753407682776</v>
      </c>
      <c r="AZ119">
        <v>-24.685588599752169</v>
      </c>
      <c r="BA119">
        <v>-24.793643122676581</v>
      </c>
      <c r="BB119">
        <v>-24.901697645600994</v>
      </c>
      <c r="BC119">
        <v>-25.009752168525402</v>
      </c>
      <c r="BD119">
        <v>-25.117806691449815</v>
      </c>
      <c r="BE119">
        <v>-25.225861214374227</v>
      </c>
      <c r="BF119">
        <v>-25.333915737298639</v>
      </c>
      <c r="BG119">
        <v>-25.441970260223048</v>
      </c>
      <c r="BH119">
        <v>-25.55002478314746</v>
      </c>
      <c r="BI119">
        <v>-25.655878712871289</v>
      </c>
      <c r="BJ119">
        <v>-25.759839108910892</v>
      </c>
      <c r="BK119">
        <v>-25.863799504950496</v>
      </c>
      <c r="BL119">
        <v>-25.967759900990099</v>
      </c>
      <c r="BM119">
        <v>-26.071720297029703</v>
      </c>
      <c r="BN119">
        <v>-26.175680693069307</v>
      </c>
      <c r="BO119">
        <v>-26.27964108910891</v>
      </c>
      <c r="BP119">
        <v>-26.383601485148514</v>
      </c>
      <c r="BQ119">
        <v>-26.487561881188117</v>
      </c>
      <c r="BR119">
        <v>-26.591522277227721</v>
      </c>
      <c r="BS119">
        <v>-26.693370508054521</v>
      </c>
      <c r="BT119">
        <v>-26.79250309789343</v>
      </c>
      <c r="BU119">
        <v>-26.891635687732339</v>
      </c>
      <c r="BV119">
        <v>-26.990768277571249</v>
      </c>
      <c r="BW119">
        <v>-27.089900867410158</v>
      </c>
      <c r="BX119">
        <v>-27.189033457249067</v>
      </c>
      <c r="BY119">
        <v>-27.28816604708798</v>
      </c>
      <c r="BZ119">
        <v>-27.387298636926889</v>
      </c>
      <c r="CA119">
        <v>-27.486431226765799</v>
      </c>
      <c r="CB119">
        <v>-27.585563816604708</v>
      </c>
      <c r="CC119">
        <v>-27.683613861386135</v>
      </c>
      <c r="CD119">
        <v>-27.779653465346534</v>
      </c>
      <c r="CE119">
        <v>-27.87569306930693</v>
      </c>
      <c r="CF119">
        <v>-27.971732673267326</v>
      </c>
      <c r="CG119">
        <v>-28.067772277227721</v>
      </c>
      <c r="CH119">
        <v>-28.163811881188117</v>
      </c>
      <c r="CI119">
        <v>-28.259851485148516</v>
      </c>
      <c r="CJ119">
        <v>-28.355891089108912</v>
      </c>
      <c r="CK119">
        <v>-28.451930693069308</v>
      </c>
      <c r="CL119">
        <v>-28.547970297029703</v>
      </c>
    </row>
    <row r="120" spans="1:90" ht="21.75" hidden="1" thickBot="1" x14ac:dyDescent="0.4">
      <c r="A120" s="18"/>
    </row>
    <row r="121" spans="1:90" ht="21.75" hidden="1" thickBot="1" x14ac:dyDescent="0.4">
      <c r="A121" s="18"/>
    </row>
    <row r="122" spans="1:90" ht="21.75" hidden="1" thickBot="1" x14ac:dyDescent="0.4">
      <c r="A122" s="18"/>
    </row>
    <row r="123" spans="1:90" ht="21.75" hidden="1" thickBot="1" x14ac:dyDescent="0.4">
      <c r="A123" s="18"/>
    </row>
    <row r="124" spans="1:90" ht="21.75" hidden="1" thickBot="1" x14ac:dyDescent="0.4">
      <c r="A124" s="18"/>
    </row>
    <row r="125" spans="1:90" ht="21.75" hidden="1" thickBot="1" x14ac:dyDescent="0.4">
      <c r="A125" s="18"/>
    </row>
    <row r="126" spans="1:90" ht="21.75" hidden="1" thickBot="1" x14ac:dyDescent="0.4">
      <c r="A126" s="18"/>
    </row>
    <row r="127" spans="1:90" ht="21.75" hidden="1" thickBot="1" x14ac:dyDescent="0.4">
      <c r="A127" s="18"/>
    </row>
    <row r="128" spans="1:90" ht="21.75" hidden="1" thickBot="1" x14ac:dyDescent="0.4">
      <c r="A128" s="18"/>
    </row>
    <row r="129" spans="1:90" ht="21.75" hidden="1" thickBot="1" x14ac:dyDescent="0.4">
      <c r="A129" s="18"/>
    </row>
    <row r="130" spans="1:90" ht="21.75" hidden="1" thickBot="1" x14ac:dyDescent="0.4">
      <c r="A130" s="18"/>
    </row>
    <row r="131" spans="1:90" ht="21.75" thickBot="1" x14ac:dyDescent="0.4"/>
    <row r="132" spans="1:90" ht="21.75" thickBot="1" x14ac:dyDescent="0.4">
      <c r="A132" s="18" t="s">
        <v>37</v>
      </c>
      <c r="B132" s="38">
        <v>-22.522574257425745</v>
      </c>
      <c r="C132" s="38">
        <v>-22.126881188118812</v>
      </c>
      <c r="D132" s="38">
        <v>-21.798168316831681</v>
      </c>
      <c r="E132" s="38">
        <v>-21.480346534653464</v>
      </c>
      <c r="F132">
        <v>-21.325891089108911</v>
      </c>
      <c r="G132">
        <v>-21.171435643564358</v>
      </c>
      <c r="H132">
        <v>-21.093613861386139</v>
      </c>
      <c r="I132">
        <v>-21.081732673267329</v>
      </c>
      <c r="J132">
        <v>-21.071101485148514</v>
      </c>
      <c r="K132">
        <v>-21.159220297029705</v>
      </c>
      <c r="L132">
        <v>-21.247339108910893</v>
      </c>
      <c r="M132">
        <v>-21.335457920792081</v>
      </c>
      <c r="N132">
        <v>-21.423576732673268</v>
      </c>
      <c r="O132">
        <v>-21.511695544554456</v>
      </c>
      <c r="P132">
        <v>-21.599814356435644</v>
      </c>
      <c r="Q132">
        <v>-21.687933168316832</v>
      </c>
      <c r="R132">
        <v>-21.776051980198019</v>
      </c>
      <c r="S132">
        <v>-21.864170792079207</v>
      </c>
      <c r="T132">
        <v>-21.952289603960399</v>
      </c>
      <c r="U132">
        <v>-22.028663366336634</v>
      </c>
      <c r="V132">
        <v>-22.103910891089107</v>
      </c>
      <c r="W132">
        <v>-22.177623762376236</v>
      </c>
      <c r="X132">
        <v>-22.248910891089107</v>
      </c>
      <c r="Y132">
        <v>-22.320198019801978</v>
      </c>
      <c r="Z132">
        <v>-22.398656716417911</v>
      </c>
      <c r="AA132">
        <v>-22.478258706467663</v>
      </c>
      <c r="AB132">
        <v>-22.561881188118814</v>
      </c>
      <c r="AC132">
        <v>-22.652970297029704</v>
      </c>
      <c r="AD132">
        <v>-22.744059405940597</v>
      </c>
      <c r="AE132">
        <v>-22.848217821782178</v>
      </c>
      <c r="AF132">
        <v>-22.955148514851487</v>
      </c>
      <c r="AG132">
        <v>-23.063267326732674</v>
      </c>
      <c r="AH132">
        <v>-23.174158415841585</v>
      </c>
      <c r="AI132">
        <v>-23.285049504950493</v>
      </c>
      <c r="AJ132">
        <v>-23.399009900990098</v>
      </c>
      <c r="AK132">
        <v>-23.513861386138615</v>
      </c>
      <c r="AL132">
        <v>-23.628712871287131</v>
      </c>
      <c r="AM132">
        <v>-23.743564356435645</v>
      </c>
      <c r="AN132">
        <v>-23.858415841584158</v>
      </c>
      <c r="AO132">
        <v>-23.970396039603962</v>
      </c>
      <c r="AP132">
        <v>-24.081287128712873</v>
      </c>
      <c r="AQ132">
        <v>-24.192970297029706</v>
      </c>
      <c r="AR132">
        <v>-24.30782178217822</v>
      </c>
      <c r="AS132">
        <v>-24.422673267326733</v>
      </c>
      <c r="AT132">
        <v>-24.534851485148515</v>
      </c>
      <c r="AU132">
        <v>-24.645742574257426</v>
      </c>
      <c r="AV132">
        <v>-24.756633663366337</v>
      </c>
      <c r="AW132">
        <v>-24.867524752475248</v>
      </c>
      <c r="AX132">
        <v>-24.978415841584159</v>
      </c>
      <c r="AY132">
        <v>-25.087534076827758</v>
      </c>
      <c r="AZ132">
        <v>-25.195588599752167</v>
      </c>
      <c r="BA132">
        <v>-25.303643122676579</v>
      </c>
      <c r="BB132">
        <v>-25.411697645600992</v>
      </c>
      <c r="BC132">
        <v>-25.5197521685254</v>
      </c>
      <c r="BD132">
        <v>-25.627806691449813</v>
      </c>
      <c r="BE132">
        <v>-25.735861214374225</v>
      </c>
      <c r="BF132">
        <v>-25.843915737298637</v>
      </c>
      <c r="BG132">
        <v>-25.951970260223046</v>
      </c>
      <c r="BH132">
        <v>-26.060024783147458</v>
      </c>
      <c r="BI132">
        <v>-26.165878712871287</v>
      </c>
      <c r="BJ132">
        <v>-26.26983910891089</v>
      </c>
      <c r="BK132">
        <v>-26.373799504950494</v>
      </c>
      <c r="BL132">
        <v>-26.477759900990097</v>
      </c>
      <c r="BM132">
        <v>-26.581720297029701</v>
      </c>
      <c r="BN132">
        <v>-26.685680693069308</v>
      </c>
      <c r="BO132">
        <v>-26.789641089108912</v>
      </c>
      <c r="BP132">
        <v>-26.893601485148515</v>
      </c>
      <c r="BQ132">
        <v>-26.997561881188119</v>
      </c>
      <c r="BR132">
        <v>-27.101522277227723</v>
      </c>
      <c r="BS132">
        <v>-27.203370508054523</v>
      </c>
      <c r="BT132">
        <v>-27.302503097893432</v>
      </c>
      <c r="BU132">
        <v>-27.401635687732341</v>
      </c>
      <c r="BV132">
        <v>-27.50076827757125</v>
      </c>
      <c r="BW132">
        <v>-27.59990086741016</v>
      </c>
      <c r="BX132">
        <v>-27.699033457249069</v>
      </c>
      <c r="BY132">
        <v>-27.798166047087982</v>
      </c>
      <c r="BZ132">
        <v>-27.897298636926891</v>
      </c>
      <c r="CA132">
        <v>-27.9964312267658</v>
      </c>
      <c r="CB132">
        <v>-28.095563816604709</v>
      </c>
      <c r="CC132">
        <v>-28.193613861386137</v>
      </c>
      <c r="CD132">
        <v>-28.289653465346536</v>
      </c>
      <c r="CE132">
        <v>-28.385693069306932</v>
      </c>
      <c r="CF132">
        <v>-28.481732673267327</v>
      </c>
      <c r="CG132">
        <v>-28.577772277227723</v>
      </c>
      <c r="CH132">
        <v>-28.673811881188119</v>
      </c>
      <c r="CI132">
        <v>-28.769851485148514</v>
      </c>
      <c r="CJ132">
        <v>-28.86589108910891</v>
      </c>
      <c r="CK132">
        <v>-28.961930693069306</v>
      </c>
      <c r="CL132">
        <v>-29.057970297029701</v>
      </c>
    </row>
    <row r="133" spans="1:90" ht="21.75" thickBot="1" x14ac:dyDescent="0.4">
      <c r="A133" s="18" t="s">
        <v>46</v>
      </c>
      <c r="B133" s="38">
        <v>-61.223811881188126</v>
      </c>
      <c r="C133" s="38">
        <v>-60.041782178217822</v>
      </c>
      <c r="D133" s="38">
        <v>-58.972475247524756</v>
      </c>
      <c r="E133" s="38">
        <v>-57.919257425742572</v>
      </c>
      <c r="F133">
        <v>-57.107376237623761</v>
      </c>
      <c r="G133">
        <v>-56.29549504950495</v>
      </c>
      <c r="H133">
        <v>-55.60920792079208</v>
      </c>
      <c r="I133">
        <v>-55.030990099009898</v>
      </c>
      <c r="J133">
        <v>-54.456210396039602</v>
      </c>
      <c r="K133">
        <v>-54.153042079207921</v>
      </c>
      <c r="L133">
        <v>-53.849873762376241</v>
      </c>
      <c r="M133">
        <v>-53.546705445544553</v>
      </c>
      <c r="N133">
        <v>-53.243537128712873</v>
      </c>
      <c r="O133">
        <v>-52.940368811881193</v>
      </c>
      <c r="P133">
        <v>-52.637200495049505</v>
      </c>
      <c r="Q133">
        <v>-52.334032178217825</v>
      </c>
      <c r="R133">
        <v>-52.030863861386138</v>
      </c>
      <c r="S133">
        <v>-51.727695544554457</v>
      </c>
      <c r="T133">
        <v>-51.424527227722777</v>
      </c>
      <c r="U133">
        <v>-51.271153465346536</v>
      </c>
      <c r="V133">
        <v>-51.132143564356433</v>
      </c>
      <c r="W133">
        <v>-51.028123762376232</v>
      </c>
      <c r="X133">
        <v>-50.97941089108911</v>
      </c>
      <c r="Y133">
        <v>-50.93069801980198</v>
      </c>
      <c r="Z133">
        <v>-50.967253731343284</v>
      </c>
      <c r="AA133">
        <v>-51.017402985074632</v>
      </c>
      <c r="AB133">
        <v>-51.096574257425743</v>
      </c>
      <c r="AC133">
        <v>-51.229643564356437</v>
      </c>
      <c r="AD133">
        <v>-51.36271287128713</v>
      </c>
      <c r="AE133">
        <v>-51.551000000000002</v>
      </c>
      <c r="AF133">
        <v>-51.751000000000005</v>
      </c>
      <c r="AG133">
        <v>-51.958841584158421</v>
      </c>
      <c r="AH133">
        <v>-52.184980198019801</v>
      </c>
      <c r="AI133">
        <v>-52.411118811881188</v>
      </c>
      <c r="AJ133">
        <v>-52.649841584158416</v>
      </c>
      <c r="AK133">
        <v>-52.892217821782182</v>
      </c>
      <c r="AL133">
        <v>-53.135584158415845</v>
      </c>
      <c r="AM133">
        <v>-53.381920792079207</v>
      </c>
      <c r="AN133">
        <v>-53.628257425742575</v>
      </c>
      <c r="AO133">
        <v>-53.870287128712867</v>
      </c>
      <c r="AP133">
        <v>-54.110683168316832</v>
      </c>
      <c r="AQ133">
        <v>-54.352742574257434</v>
      </c>
      <c r="AR133">
        <v>-54.601455445544559</v>
      </c>
      <c r="AS133">
        <v>-54.850168316831684</v>
      </c>
      <c r="AT133">
        <v>-55.093801980198023</v>
      </c>
      <c r="AU133">
        <v>-55.3349900990099</v>
      </c>
      <c r="AV133">
        <v>-55.576178217821784</v>
      </c>
      <c r="AW133">
        <v>-55.817366336633661</v>
      </c>
      <c r="AX133">
        <v>-56.058554455445545</v>
      </c>
      <c r="AY133">
        <v>-56.29621189591078</v>
      </c>
      <c r="AZ133">
        <v>-56.53175092936803</v>
      </c>
      <c r="BA133">
        <v>-56.767289962825281</v>
      </c>
      <c r="BB133">
        <v>-57.002828996282524</v>
      </c>
      <c r="BC133">
        <v>-57.238368029739775</v>
      </c>
      <c r="BD133">
        <v>-57.473907063197025</v>
      </c>
      <c r="BE133">
        <v>-57.709446096654275</v>
      </c>
      <c r="BF133">
        <v>-57.944985130111519</v>
      </c>
      <c r="BG133">
        <v>-58.180524163568769</v>
      </c>
      <c r="BH133">
        <v>-58.41606319702602</v>
      </c>
      <c r="BI133">
        <v>-58.646922029702971</v>
      </c>
      <c r="BJ133">
        <v>-58.873753712871284</v>
      </c>
      <c r="BK133">
        <v>-59.100585396039605</v>
      </c>
      <c r="BL133">
        <v>-59.327417079207919</v>
      </c>
      <c r="BM133">
        <v>-59.55424876237624</v>
      </c>
      <c r="BN133">
        <v>-59.781080445544553</v>
      </c>
      <c r="BO133">
        <v>-60.007912128712874</v>
      </c>
      <c r="BP133">
        <v>-60.234743811881188</v>
      </c>
      <c r="BQ133">
        <v>-60.461575495049509</v>
      </c>
      <c r="BR133">
        <v>-60.688407178217822</v>
      </c>
      <c r="BS133">
        <v>-60.910764560099132</v>
      </c>
      <c r="BT133">
        <v>-61.127369268897155</v>
      </c>
      <c r="BU133">
        <v>-61.343973977695171</v>
      </c>
      <c r="BV133">
        <v>-61.560578686493187</v>
      </c>
      <c r="BW133">
        <v>-61.777183395291203</v>
      </c>
      <c r="BX133">
        <v>-61.993788104089219</v>
      </c>
      <c r="BY133">
        <v>-62.210392812887235</v>
      </c>
      <c r="BZ133">
        <v>-62.426997521685252</v>
      </c>
      <c r="CA133">
        <v>-62.643602230483268</v>
      </c>
      <c r="CB133">
        <v>-62.860206939281284</v>
      </c>
      <c r="CC133">
        <v>-63.074361386138612</v>
      </c>
      <c r="CD133">
        <v>-63.28396534653465</v>
      </c>
      <c r="CE133">
        <v>-63.493569306930688</v>
      </c>
      <c r="CF133">
        <v>-63.703173267326726</v>
      </c>
      <c r="CG133">
        <v>-63.912777227722771</v>
      </c>
      <c r="CH133">
        <v>-64.122381188118808</v>
      </c>
      <c r="CI133">
        <v>-64.331985148514846</v>
      </c>
      <c r="CJ133">
        <v>-64.541589108910884</v>
      </c>
      <c r="CK133">
        <v>-64.751193069306922</v>
      </c>
      <c r="CL133">
        <v>-64.96079702970296</v>
      </c>
    </row>
    <row r="134" spans="1:90" ht="21.75" thickBot="1" x14ac:dyDescent="0.4">
      <c r="A134" s="18" t="s">
        <v>39</v>
      </c>
      <c r="B134" s="38">
        <v>-38.701237623762381</v>
      </c>
      <c r="C134" s="38">
        <v>-37.914900990099014</v>
      </c>
      <c r="D134" s="38">
        <v>-37.174306930693071</v>
      </c>
      <c r="E134" s="38">
        <v>-36.438910891089108</v>
      </c>
      <c r="F134">
        <v>-35.781485148514847</v>
      </c>
      <c r="G134">
        <v>-35.124059405940592</v>
      </c>
      <c r="H134">
        <v>-34.515594059405942</v>
      </c>
      <c r="I134">
        <v>-33.949257425742573</v>
      </c>
      <c r="J134">
        <v>-33.385108910891091</v>
      </c>
      <c r="K134">
        <v>-32.993821782178216</v>
      </c>
      <c r="L134">
        <v>-32.602534653465348</v>
      </c>
      <c r="M134">
        <v>-32.211247524752473</v>
      </c>
      <c r="N134">
        <v>-31.819960396039605</v>
      </c>
      <c r="O134">
        <v>-31.428673267326733</v>
      </c>
      <c r="P134">
        <v>-31.037386138613861</v>
      </c>
      <c r="Q134">
        <v>-30.64609900990099</v>
      </c>
      <c r="R134">
        <v>-30.254811881188118</v>
      </c>
      <c r="S134">
        <v>-29.86352475247525</v>
      </c>
      <c r="T134">
        <v>-29.472237623762378</v>
      </c>
      <c r="U134">
        <v>-29.242490099009903</v>
      </c>
      <c r="V134">
        <v>-29.028232673267325</v>
      </c>
      <c r="W134">
        <v>-28.850499999999997</v>
      </c>
      <c r="X134">
        <v>-28.730499999999999</v>
      </c>
      <c r="Y134">
        <v>-28.610499999999998</v>
      </c>
      <c r="Z134">
        <v>-28.568597014925373</v>
      </c>
      <c r="AA134">
        <v>-28.539144278606965</v>
      </c>
      <c r="AB134">
        <v>-28.534693069306933</v>
      </c>
      <c r="AC134">
        <v>-28.576673267326736</v>
      </c>
      <c r="AD134">
        <v>-28.618653465346537</v>
      </c>
      <c r="AE134">
        <v>-28.702782178217824</v>
      </c>
      <c r="AF134">
        <v>-28.795851485148514</v>
      </c>
      <c r="AG134">
        <v>-28.895574257425743</v>
      </c>
      <c r="AH134">
        <v>-29.010821782178215</v>
      </c>
      <c r="AI134">
        <v>-29.126069306930692</v>
      </c>
      <c r="AJ134">
        <v>-29.250831683168315</v>
      </c>
      <c r="AK134">
        <v>-29.378356435643564</v>
      </c>
      <c r="AL134">
        <v>-29.506871287128714</v>
      </c>
      <c r="AM134">
        <v>-29.638356435643566</v>
      </c>
      <c r="AN134">
        <v>-29.769841584158417</v>
      </c>
      <c r="AO134">
        <v>-29.899891089108912</v>
      </c>
      <c r="AP134">
        <v>-30.029396039603963</v>
      </c>
      <c r="AQ134">
        <v>-30.159772277227727</v>
      </c>
      <c r="AR134">
        <v>-30.293633663366339</v>
      </c>
      <c r="AS134">
        <v>-30.427495049504952</v>
      </c>
      <c r="AT134">
        <v>-30.558950495049505</v>
      </c>
      <c r="AU134">
        <v>-30.689247524752474</v>
      </c>
      <c r="AV134">
        <v>-30.819544554455444</v>
      </c>
      <c r="AW134">
        <v>-30.949841584158413</v>
      </c>
      <c r="AX134">
        <v>-31.080138613861383</v>
      </c>
      <c r="AY134">
        <v>-31.208677819083022</v>
      </c>
      <c r="AZ134">
        <v>-31.33616232961586</v>
      </c>
      <c r="BA134">
        <v>-31.463646840148698</v>
      </c>
      <c r="BB134">
        <v>-31.591131350681536</v>
      </c>
      <c r="BC134">
        <v>-31.718615861214371</v>
      </c>
      <c r="BD134">
        <v>-31.846100371747209</v>
      </c>
      <c r="BE134">
        <v>-31.973584882280047</v>
      </c>
      <c r="BF134">
        <v>-32.101069392812889</v>
      </c>
      <c r="BG134">
        <v>-32.228553903345727</v>
      </c>
      <c r="BH134">
        <v>-32.356038413878558</v>
      </c>
      <c r="BI134">
        <v>-32.481043316831681</v>
      </c>
      <c r="BJ134">
        <v>-32.603914603960398</v>
      </c>
      <c r="BK134">
        <v>-32.726785891089108</v>
      </c>
      <c r="BL134">
        <v>-32.849657178217818</v>
      </c>
      <c r="BM134">
        <v>-32.972528465346535</v>
      </c>
      <c r="BN134">
        <v>-33.095399752475245</v>
      </c>
      <c r="BO134">
        <v>-33.218271039603962</v>
      </c>
      <c r="BP134">
        <v>-33.341142326732673</v>
      </c>
      <c r="BQ134">
        <v>-33.464013613861383</v>
      </c>
      <c r="BR134">
        <v>-33.5868849009901</v>
      </c>
      <c r="BS134">
        <v>-33.707394052044606</v>
      </c>
      <c r="BT134">
        <v>-33.82486617100372</v>
      </c>
      <c r="BU134">
        <v>-33.942338289962827</v>
      </c>
      <c r="BV134">
        <v>-34.059810408921933</v>
      </c>
      <c r="BW134">
        <v>-34.17728252788104</v>
      </c>
      <c r="BX134">
        <v>-34.294754646840147</v>
      </c>
      <c r="BY134">
        <v>-34.412226765799254</v>
      </c>
      <c r="BZ134">
        <v>-34.529698884758368</v>
      </c>
      <c r="CA134">
        <v>-34.647171003717474</v>
      </c>
      <c r="CB134">
        <v>-34.764643122676581</v>
      </c>
      <c r="CC134">
        <v>-34.880747524752479</v>
      </c>
      <c r="CD134">
        <v>-34.994311881188118</v>
      </c>
      <c r="CE134">
        <v>-35.107876237623763</v>
      </c>
      <c r="CF134">
        <v>-35.221440594059409</v>
      </c>
      <c r="CG134">
        <v>-35.335004950495048</v>
      </c>
      <c r="CH134">
        <v>-35.448569306930693</v>
      </c>
      <c r="CI134">
        <v>-35.562133663366339</v>
      </c>
      <c r="CJ134">
        <v>-35.675698019801978</v>
      </c>
      <c r="CK134">
        <v>-35.789262376237623</v>
      </c>
      <c r="CL134">
        <v>-35.902826732673269</v>
      </c>
    </row>
    <row r="135" spans="1:90" ht="21.75" thickBot="1" x14ac:dyDescent="0.4">
      <c r="A135" s="18" t="s">
        <v>1</v>
      </c>
      <c r="B135" s="38">
        <v>-18.611633663366337</v>
      </c>
      <c r="C135" s="38">
        <v>-18.61</v>
      </c>
      <c r="D135" s="38">
        <v>-18.61</v>
      </c>
      <c r="E135" s="38">
        <v>-18.610495049504951</v>
      </c>
      <c r="F135">
        <v>-18.618415841584159</v>
      </c>
      <c r="G135">
        <v>-18.626336633663364</v>
      </c>
      <c r="H135">
        <v>-18.634257425742572</v>
      </c>
      <c r="I135">
        <v>-18.64217821782178</v>
      </c>
      <c r="J135">
        <v>-18.650148514851484</v>
      </c>
      <c r="K135">
        <v>-18.662029702970298</v>
      </c>
      <c r="L135">
        <v>-18.673910891089108</v>
      </c>
      <c r="M135">
        <v>-18.685792079207921</v>
      </c>
      <c r="N135">
        <v>-18.697673267326731</v>
      </c>
      <c r="O135">
        <v>-18.709554455445545</v>
      </c>
      <c r="P135">
        <v>-18.721435643564355</v>
      </c>
      <c r="Q135">
        <v>-18.733316831683169</v>
      </c>
      <c r="R135">
        <v>-18.745198019801979</v>
      </c>
      <c r="S135">
        <v>-18.757079207920793</v>
      </c>
      <c r="T135">
        <v>-18.768960396039603</v>
      </c>
      <c r="U135">
        <v>-18.784455445544555</v>
      </c>
      <c r="V135">
        <v>-18.800297029702968</v>
      </c>
      <c r="W135">
        <v>-18.814603960396038</v>
      </c>
      <c r="X135">
        <v>-18.826485148514852</v>
      </c>
      <c r="Y135">
        <v>-18.838366336633662</v>
      </c>
      <c r="Z135">
        <v>-18.853731343283581</v>
      </c>
      <c r="AA135">
        <v>-18.869651741293531</v>
      </c>
      <c r="AB135">
        <v>-18.886930693069306</v>
      </c>
      <c r="AC135">
        <v>-18.906732673267324</v>
      </c>
      <c r="AD135">
        <v>-18.926534653465346</v>
      </c>
      <c r="AE135">
        <v>-18.943069306930692</v>
      </c>
      <c r="AF135">
        <v>-18.958910891089108</v>
      </c>
      <c r="AG135">
        <v>-18.974752475247524</v>
      </c>
      <c r="AH135">
        <v>-18.990594059405939</v>
      </c>
      <c r="AI135">
        <v>-19.006435643564359</v>
      </c>
      <c r="AJ135">
        <v>-19.022277227722775</v>
      </c>
      <c r="AK135">
        <v>-19.038118811881191</v>
      </c>
      <c r="AL135">
        <v>-19.053960396039603</v>
      </c>
      <c r="AM135">
        <v>-19.069801980198019</v>
      </c>
      <c r="AN135">
        <v>-19.085643564356435</v>
      </c>
      <c r="AO135">
        <v>-19.104356435643563</v>
      </c>
      <c r="AP135">
        <v>-19.124158415841585</v>
      </c>
      <c r="AQ135">
        <v>-19.143168316831684</v>
      </c>
      <c r="AR135">
        <v>-19.1590099009901</v>
      </c>
      <c r="AS135">
        <v>-19.174851485148515</v>
      </c>
      <c r="AT135">
        <v>-19.190693069306931</v>
      </c>
      <c r="AU135">
        <v>-19.206534653465347</v>
      </c>
      <c r="AV135">
        <v>-19.222376237623763</v>
      </c>
      <c r="AW135">
        <v>-19.238217821782179</v>
      </c>
      <c r="AX135">
        <v>-19.254059405940595</v>
      </c>
      <c r="AY135">
        <v>-19.270532837670384</v>
      </c>
      <c r="AZ135">
        <v>-19.287385377943</v>
      </c>
      <c r="BA135">
        <v>-19.304237918215616</v>
      </c>
      <c r="BB135">
        <v>-19.321090458488229</v>
      </c>
      <c r="BC135">
        <v>-19.337942998760845</v>
      </c>
      <c r="BD135">
        <v>-19.354795539033457</v>
      </c>
      <c r="BE135">
        <v>-19.371648079306073</v>
      </c>
      <c r="BF135">
        <v>-19.388500619578686</v>
      </c>
      <c r="BG135">
        <v>-19.405353159851302</v>
      </c>
      <c r="BH135">
        <v>-19.422205700123914</v>
      </c>
      <c r="BI135">
        <v>-19.438514851485149</v>
      </c>
      <c r="BJ135">
        <v>-19.454356435643565</v>
      </c>
      <c r="BK135">
        <v>-19.47019801980198</v>
      </c>
      <c r="BL135">
        <v>-19.486039603960396</v>
      </c>
      <c r="BM135">
        <v>-19.501881188118812</v>
      </c>
      <c r="BN135">
        <v>-19.517722772277228</v>
      </c>
      <c r="BO135">
        <v>-19.533564356435644</v>
      </c>
      <c r="BP135">
        <v>-19.54940594059406</v>
      </c>
      <c r="BQ135">
        <v>-19.565247524752476</v>
      </c>
      <c r="BR135">
        <v>-19.581089108910891</v>
      </c>
      <c r="BS135">
        <v>-19.596505576208177</v>
      </c>
      <c r="BT135">
        <v>-19.611375464684013</v>
      </c>
      <c r="BU135">
        <v>-19.626245353159852</v>
      </c>
      <c r="BV135">
        <v>-19.641115241635688</v>
      </c>
      <c r="BW135">
        <v>-19.655985130111524</v>
      </c>
      <c r="BX135">
        <v>-19.670855018587361</v>
      </c>
      <c r="BY135">
        <v>-19.685724907063197</v>
      </c>
      <c r="BZ135">
        <v>-19.700594795539033</v>
      </c>
      <c r="CA135">
        <v>-19.715464684014869</v>
      </c>
      <c r="CB135">
        <v>-19.730334572490705</v>
      </c>
      <c r="CC135">
        <v>-19.744851485148512</v>
      </c>
      <c r="CD135">
        <v>-19.758712871287127</v>
      </c>
      <c r="CE135">
        <v>-19.772574257425742</v>
      </c>
      <c r="CF135">
        <v>-19.786435643564356</v>
      </c>
      <c r="CG135">
        <v>-19.800297029702968</v>
      </c>
      <c r="CH135">
        <v>-19.814158415841582</v>
      </c>
      <c r="CI135">
        <v>-19.828019801980197</v>
      </c>
      <c r="CJ135">
        <v>-19.841881188118812</v>
      </c>
      <c r="CK135">
        <v>-19.855742574257423</v>
      </c>
      <c r="CL135">
        <v>-19.869603960396038</v>
      </c>
    </row>
    <row r="136" spans="1:90" ht="21.75" thickBot="1" x14ac:dyDescent="0.4">
      <c r="A136" s="18" t="s">
        <v>55</v>
      </c>
      <c r="B136" s="38">
        <v>-61.223811881188126</v>
      </c>
      <c r="C136" s="38">
        <v>-60.041782178217822</v>
      </c>
      <c r="D136" s="38">
        <v>-58.972475247524756</v>
      </c>
      <c r="E136" s="38">
        <v>-57.919257425742572</v>
      </c>
      <c r="F136">
        <v>-57.107376237623761</v>
      </c>
      <c r="G136">
        <v>-56.29549504950495</v>
      </c>
      <c r="H136">
        <v>-55.60920792079208</v>
      </c>
      <c r="I136">
        <v>-55.030990099009898</v>
      </c>
      <c r="J136">
        <v>-54.456210396039602</v>
      </c>
      <c r="K136">
        <v>-54.153042079207921</v>
      </c>
      <c r="L136">
        <v>-53.849873762376241</v>
      </c>
      <c r="M136">
        <v>-53.546705445544553</v>
      </c>
      <c r="N136">
        <v>-53.243537128712873</v>
      </c>
      <c r="O136">
        <v>-52.940368811881193</v>
      </c>
      <c r="P136">
        <v>-52.637200495049505</v>
      </c>
      <c r="Q136">
        <v>-52.334032178217825</v>
      </c>
      <c r="R136">
        <v>-52.030863861386138</v>
      </c>
      <c r="S136">
        <v>-51.727695544554457</v>
      </c>
      <c r="T136">
        <v>-51.424527227722777</v>
      </c>
      <c r="U136">
        <v>-51.271153465346536</v>
      </c>
      <c r="V136">
        <v>-51.132143564356433</v>
      </c>
      <c r="W136">
        <v>-51.028123762376232</v>
      </c>
      <c r="X136">
        <v>-50.97941089108911</v>
      </c>
      <c r="Y136">
        <v>-50.93069801980198</v>
      </c>
      <c r="Z136">
        <v>-50.967253731343284</v>
      </c>
      <c r="AA136">
        <v>-51.017402985074632</v>
      </c>
      <c r="AB136">
        <v>-51.096574257425743</v>
      </c>
      <c r="AC136">
        <v>-51.229643564356437</v>
      </c>
      <c r="AD136">
        <v>-51.36271287128713</v>
      </c>
      <c r="AE136">
        <v>-51.551000000000002</v>
      </c>
      <c r="AF136">
        <v>-51.751000000000005</v>
      </c>
      <c r="AG136">
        <v>-51.958841584158421</v>
      </c>
      <c r="AH136">
        <v>-52.184980198019801</v>
      </c>
      <c r="AI136">
        <v>-52.411118811881188</v>
      </c>
      <c r="AJ136">
        <v>-52.649841584158416</v>
      </c>
      <c r="AK136">
        <v>-52.892217821782182</v>
      </c>
      <c r="AL136">
        <v>-53.135584158415845</v>
      </c>
      <c r="AM136">
        <v>-53.381920792079207</v>
      </c>
      <c r="AN136">
        <v>-53.628257425742575</v>
      </c>
      <c r="AO136">
        <v>-53.870287128712867</v>
      </c>
      <c r="AP136">
        <v>-54.110683168316832</v>
      </c>
      <c r="AQ136">
        <v>-54.352742574257434</v>
      </c>
      <c r="AR136">
        <v>-54.601455445544559</v>
      </c>
      <c r="AS136">
        <v>-54.850168316831684</v>
      </c>
      <c r="AT136">
        <v>-55.093801980198023</v>
      </c>
      <c r="AU136">
        <v>-55.3349900990099</v>
      </c>
      <c r="AV136">
        <v>-55.576178217821784</v>
      </c>
      <c r="AW136">
        <v>-55.817366336633661</v>
      </c>
      <c r="AX136">
        <v>-56.058554455445545</v>
      </c>
      <c r="AY136">
        <v>-56.29621189591078</v>
      </c>
      <c r="AZ136">
        <v>-56.53175092936803</v>
      </c>
      <c r="BA136">
        <v>-56.767289962825281</v>
      </c>
      <c r="BB136">
        <v>-57.002828996282524</v>
      </c>
      <c r="BC136">
        <v>-57.238368029739775</v>
      </c>
      <c r="BD136">
        <v>-57.473907063197025</v>
      </c>
      <c r="BE136">
        <v>-57.709446096654275</v>
      </c>
      <c r="BF136">
        <v>-57.944985130111519</v>
      </c>
      <c r="BG136">
        <v>-58.180524163568769</v>
      </c>
      <c r="BH136">
        <v>-58.41606319702602</v>
      </c>
      <c r="BI136">
        <v>-58.646922029702971</v>
      </c>
      <c r="BJ136">
        <v>-58.873753712871284</v>
      </c>
      <c r="BK136">
        <v>-59.100585396039605</v>
      </c>
      <c r="BL136">
        <v>-59.327417079207919</v>
      </c>
      <c r="BM136">
        <v>-59.55424876237624</v>
      </c>
      <c r="BN136">
        <v>-59.781080445544553</v>
      </c>
      <c r="BO136">
        <v>-60.007912128712874</v>
      </c>
      <c r="BP136">
        <v>-60.234743811881188</v>
      </c>
      <c r="BQ136">
        <v>-60.461575495049509</v>
      </c>
      <c r="BR136">
        <v>-60.688407178217822</v>
      </c>
      <c r="BS136">
        <v>-60.910764560099132</v>
      </c>
      <c r="BT136">
        <v>-61.127369268897155</v>
      </c>
      <c r="BU136">
        <v>-61.343973977695171</v>
      </c>
      <c r="BV136">
        <v>-61.560578686493187</v>
      </c>
      <c r="BW136">
        <v>-61.777183395291203</v>
      </c>
      <c r="BX136">
        <v>-61.993788104089219</v>
      </c>
      <c r="BY136">
        <v>-62.210392812887235</v>
      </c>
      <c r="BZ136">
        <v>-62.426997521685252</v>
      </c>
      <c r="CA136">
        <v>-62.643602230483268</v>
      </c>
      <c r="CB136">
        <v>-62.860206939281284</v>
      </c>
      <c r="CC136">
        <v>-63.074361386138612</v>
      </c>
      <c r="CD136">
        <v>-63.28396534653465</v>
      </c>
      <c r="CE136">
        <v>-63.493569306930688</v>
      </c>
      <c r="CF136">
        <v>-63.703173267326726</v>
      </c>
      <c r="CG136">
        <v>-63.912777227722771</v>
      </c>
      <c r="CH136">
        <v>-64.122381188118808</v>
      </c>
      <c r="CI136">
        <v>-64.331985148514846</v>
      </c>
      <c r="CJ136">
        <v>-64.541589108910884</v>
      </c>
      <c r="CK136">
        <v>-64.751193069306922</v>
      </c>
      <c r="CL136">
        <v>-64.96079702970296</v>
      </c>
    </row>
    <row r="137" spans="1:90" ht="21.75" thickBot="1" x14ac:dyDescent="0.4">
      <c r="A137" s="18" t="s">
        <v>45</v>
      </c>
      <c r="B137" s="38">
        <v>-38.701237623762381</v>
      </c>
      <c r="C137" s="38">
        <v>-37.914900990099014</v>
      </c>
      <c r="D137" s="38">
        <v>-37.174306930693071</v>
      </c>
      <c r="E137" s="38">
        <v>-36.438910891089108</v>
      </c>
      <c r="F137">
        <v>-35.781485148514847</v>
      </c>
      <c r="G137">
        <v>-35.124059405940592</v>
      </c>
      <c r="H137">
        <v>-34.515594059405942</v>
      </c>
      <c r="I137">
        <v>-33.949257425742573</v>
      </c>
      <c r="J137">
        <v>-33.385108910891091</v>
      </c>
      <c r="K137">
        <v>-32.993821782178216</v>
      </c>
      <c r="L137">
        <v>-32.602534653465348</v>
      </c>
      <c r="M137">
        <v>-32.211247524752473</v>
      </c>
      <c r="N137">
        <v>-31.819960396039605</v>
      </c>
      <c r="O137">
        <v>-31.428673267326733</v>
      </c>
      <c r="P137">
        <v>-31.037386138613861</v>
      </c>
      <c r="Q137">
        <v>-30.64609900990099</v>
      </c>
      <c r="R137">
        <v>-30.254811881188118</v>
      </c>
      <c r="S137">
        <v>-29.86352475247525</v>
      </c>
      <c r="T137">
        <v>-29.472237623762378</v>
      </c>
      <c r="U137">
        <v>-29.242490099009903</v>
      </c>
      <c r="V137">
        <v>-29.028232673267325</v>
      </c>
      <c r="W137">
        <v>-28.850499999999997</v>
      </c>
      <c r="X137">
        <v>-28.730499999999999</v>
      </c>
      <c r="Y137">
        <v>-28.610499999999998</v>
      </c>
      <c r="Z137">
        <v>-28.568597014925373</v>
      </c>
      <c r="AA137">
        <v>-28.539144278606965</v>
      </c>
      <c r="AB137">
        <v>-28.534693069306933</v>
      </c>
      <c r="AC137">
        <v>-28.576673267326736</v>
      </c>
      <c r="AD137">
        <v>-28.618653465346537</v>
      </c>
      <c r="AE137">
        <v>-28.702782178217824</v>
      </c>
      <c r="AF137">
        <v>-28.795851485148514</v>
      </c>
      <c r="AG137">
        <v>-28.895574257425743</v>
      </c>
      <c r="AH137">
        <v>-29.010821782178215</v>
      </c>
      <c r="AI137">
        <v>-29.126069306930692</v>
      </c>
      <c r="AJ137">
        <v>-29.250831683168315</v>
      </c>
      <c r="AK137">
        <v>-29.378356435643564</v>
      </c>
      <c r="AL137">
        <v>-29.506871287128714</v>
      </c>
      <c r="AM137">
        <v>-29.638356435643566</v>
      </c>
      <c r="AN137">
        <v>-29.769841584158417</v>
      </c>
      <c r="AO137">
        <v>-29.899891089108912</v>
      </c>
      <c r="AP137">
        <v>-30.029396039603963</v>
      </c>
      <c r="AQ137">
        <v>-30.159772277227727</v>
      </c>
      <c r="AR137">
        <v>-30.293633663366339</v>
      </c>
      <c r="AS137">
        <v>-30.427495049504952</v>
      </c>
      <c r="AT137">
        <v>-30.558950495049505</v>
      </c>
      <c r="AU137">
        <v>-30.689247524752474</v>
      </c>
      <c r="AV137">
        <v>-30.819544554455444</v>
      </c>
      <c r="AW137">
        <v>-30.949841584158413</v>
      </c>
      <c r="AX137">
        <v>-31.080138613861383</v>
      </c>
      <c r="AY137">
        <v>-31.208677819083022</v>
      </c>
      <c r="AZ137">
        <v>-31.33616232961586</v>
      </c>
      <c r="BA137">
        <v>-31.463646840148698</v>
      </c>
      <c r="BB137">
        <v>-31.591131350681536</v>
      </c>
      <c r="BC137">
        <v>-31.718615861214371</v>
      </c>
      <c r="BD137">
        <v>-31.846100371747209</v>
      </c>
      <c r="BE137">
        <v>-31.973584882280047</v>
      </c>
      <c r="BF137">
        <v>-32.101069392812889</v>
      </c>
      <c r="BG137">
        <v>-32.228553903345727</v>
      </c>
      <c r="BH137">
        <v>-32.356038413878558</v>
      </c>
      <c r="BI137">
        <v>-32.481043316831681</v>
      </c>
      <c r="BJ137">
        <v>-32.603914603960398</v>
      </c>
      <c r="BK137">
        <v>-32.726785891089108</v>
      </c>
      <c r="BL137">
        <v>-32.849657178217818</v>
      </c>
      <c r="BM137">
        <v>-32.972528465346535</v>
      </c>
      <c r="BN137">
        <v>-33.095399752475245</v>
      </c>
      <c r="BO137">
        <v>-33.218271039603962</v>
      </c>
      <c r="BP137">
        <v>-33.341142326732673</v>
      </c>
      <c r="BQ137">
        <v>-33.464013613861383</v>
      </c>
      <c r="BR137">
        <v>-33.5868849009901</v>
      </c>
      <c r="BS137">
        <v>-33.707394052044606</v>
      </c>
      <c r="BT137">
        <v>-33.82486617100372</v>
      </c>
      <c r="BU137">
        <v>-33.942338289962827</v>
      </c>
      <c r="BV137">
        <v>-34.059810408921933</v>
      </c>
      <c r="BW137">
        <v>-34.17728252788104</v>
      </c>
      <c r="BX137">
        <v>-34.294754646840147</v>
      </c>
      <c r="BY137">
        <v>-34.412226765799254</v>
      </c>
      <c r="BZ137">
        <v>-34.529698884758368</v>
      </c>
      <c r="CA137">
        <v>-34.647171003717474</v>
      </c>
      <c r="CB137">
        <v>-34.764643122676581</v>
      </c>
      <c r="CC137">
        <v>-34.880747524752479</v>
      </c>
      <c r="CD137">
        <v>-34.994311881188118</v>
      </c>
      <c r="CE137">
        <v>-35.107876237623763</v>
      </c>
      <c r="CF137">
        <v>-35.221440594059409</v>
      </c>
      <c r="CG137">
        <v>-35.335004950495048</v>
      </c>
      <c r="CH137">
        <v>-35.448569306930693</v>
      </c>
      <c r="CI137">
        <v>-35.562133663366339</v>
      </c>
      <c r="CJ137">
        <v>-35.675698019801978</v>
      </c>
      <c r="CK137">
        <v>-35.789262376237623</v>
      </c>
      <c r="CL137">
        <v>-35.902826732673269</v>
      </c>
    </row>
    <row r="138" spans="1:90" ht="21.75" thickBot="1" x14ac:dyDescent="0.4">
      <c r="A138" s="18" t="s">
        <v>44</v>
      </c>
      <c r="B138" s="38">
        <v>-16.178663366336636</v>
      </c>
      <c r="C138" s="38">
        <v>-15.7880198019802</v>
      </c>
      <c r="D138" s="38">
        <v>-15.376138613861388</v>
      </c>
      <c r="E138" s="38">
        <v>-14.958564356435645</v>
      </c>
      <c r="F138">
        <v>-14.455594059405941</v>
      </c>
      <c r="G138">
        <v>-13.952623762376238</v>
      </c>
      <c r="H138">
        <v>-13.421980198019801</v>
      </c>
      <c r="I138">
        <v>-12.867524752475246</v>
      </c>
      <c r="J138">
        <v>-12.314007425742574</v>
      </c>
      <c r="K138">
        <v>-11.834601485148514</v>
      </c>
      <c r="L138">
        <v>-11.355195544554455</v>
      </c>
      <c r="M138">
        <v>-10.875789603960396</v>
      </c>
      <c r="N138">
        <v>-10.396383663366336</v>
      </c>
      <c r="O138">
        <v>-9.9169777227722768</v>
      </c>
      <c r="P138">
        <v>-9.4375717821782175</v>
      </c>
      <c r="Q138">
        <v>-8.9581658415841581</v>
      </c>
      <c r="R138">
        <v>-8.4787599009900987</v>
      </c>
      <c r="S138">
        <v>-7.9993539603960384</v>
      </c>
      <c r="T138">
        <v>-7.519948019801979</v>
      </c>
      <c r="U138">
        <v>-7.213826732673267</v>
      </c>
      <c r="V138">
        <v>-6.9243217821782173</v>
      </c>
      <c r="W138">
        <v>-6.672876237623762</v>
      </c>
      <c r="X138">
        <v>-6.4815891089108915</v>
      </c>
      <c r="Y138">
        <v>-6.2903019801980209</v>
      </c>
      <c r="Z138">
        <v>-6.1699402985074627</v>
      </c>
      <c r="AA138">
        <v>-6.0608855721393038</v>
      </c>
      <c r="AB138">
        <v>-5.972811881188119</v>
      </c>
      <c r="AC138">
        <v>-5.9237029702970299</v>
      </c>
      <c r="AD138">
        <v>-5.8745940594059398</v>
      </c>
      <c r="AE138">
        <v>-5.8545643564356435</v>
      </c>
      <c r="AF138">
        <v>-5.8407029702970297</v>
      </c>
      <c r="AG138">
        <v>-5.8323069306930693</v>
      </c>
      <c r="AH138">
        <v>-5.8366633663366336</v>
      </c>
      <c r="AI138">
        <v>-5.841019801980198</v>
      </c>
      <c r="AJ138">
        <v>-5.8518217821782175</v>
      </c>
      <c r="AK138">
        <v>-5.8644950495049502</v>
      </c>
      <c r="AL138">
        <v>-5.8781584158415843</v>
      </c>
      <c r="AM138">
        <v>-5.8947920792079209</v>
      </c>
      <c r="AN138">
        <v>-5.9114257425742576</v>
      </c>
      <c r="AO138">
        <v>-5.9294950495049505</v>
      </c>
      <c r="AP138">
        <v>-5.9481089108910892</v>
      </c>
      <c r="AQ138">
        <v>-5.9668019801980199</v>
      </c>
      <c r="AR138">
        <v>-5.9858118811881189</v>
      </c>
      <c r="AS138">
        <v>-6.0048217821782179</v>
      </c>
      <c r="AT138">
        <v>-6.0240990099009899</v>
      </c>
      <c r="AU138">
        <v>-6.0435049504950493</v>
      </c>
      <c r="AV138">
        <v>-6.0629108910891087</v>
      </c>
      <c r="AW138">
        <v>-6.0823168316831682</v>
      </c>
      <c r="AX138">
        <v>-6.1017227722772276</v>
      </c>
      <c r="AY138">
        <v>-6.1211437422552661</v>
      </c>
      <c r="AZ138">
        <v>-6.1405737298636929</v>
      </c>
      <c r="BA138">
        <v>-6.1600037174721187</v>
      </c>
      <c r="BB138">
        <v>-6.1794337050805455</v>
      </c>
      <c r="BC138">
        <v>-6.1988636926889713</v>
      </c>
      <c r="BD138">
        <v>-6.2182936802973972</v>
      </c>
      <c r="BE138">
        <v>-6.2377236679058239</v>
      </c>
      <c r="BF138">
        <v>-6.2571536555142497</v>
      </c>
      <c r="BG138">
        <v>-6.2765836431226765</v>
      </c>
      <c r="BH138">
        <v>-6.2960136307311023</v>
      </c>
      <c r="BI138">
        <v>-6.3151646039603957</v>
      </c>
      <c r="BJ138">
        <v>-6.3340754950495048</v>
      </c>
      <c r="BK138">
        <v>-6.352986386138614</v>
      </c>
      <c r="BL138">
        <v>-6.3718972772277223</v>
      </c>
      <c r="BM138">
        <v>-6.3908081683168314</v>
      </c>
      <c r="BN138">
        <v>-6.4097190594059406</v>
      </c>
      <c r="BO138">
        <v>-6.4286299504950497</v>
      </c>
      <c r="BP138">
        <v>-6.4475408415841589</v>
      </c>
      <c r="BQ138">
        <v>-6.466451732673268</v>
      </c>
      <c r="BR138">
        <v>-6.4853626237623763</v>
      </c>
      <c r="BS138">
        <v>-6.5040235439900869</v>
      </c>
      <c r="BT138">
        <v>-6.5223630731102853</v>
      </c>
      <c r="BU138">
        <v>-6.5407026022304837</v>
      </c>
      <c r="BV138">
        <v>-6.5590421313506821</v>
      </c>
      <c r="BW138">
        <v>-6.5773816604708797</v>
      </c>
      <c r="BX138">
        <v>-6.5957211895910781</v>
      </c>
      <c r="BY138">
        <v>-6.6140607187112765</v>
      </c>
      <c r="BZ138">
        <v>-6.632400247831475</v>
      </c>
      <c r="CA138">
        <v>-6.6507397769516725</v>
      </c>
      <c r="CB138">
        <v>-6.6690793060718709</v>
      </c>
      <c r="CC138">
        <v>-6.6871336633663363</v>
      </c>
      <c r="CD138">
        <v>-6.7046584158415845</v>
      </c>
      <c r="CE138">
        <v>-6.7221831683168318</v>
      </c>
      <c r="CF138">
        <v>-6.7397079207920791</v>
      </c>
      <c r="CG138">
        <v>-6.7572326732673265</v>
      </c>
      <c r="CH138">
        <v>-6.7747574257425738</v>
      </c>
      <c r="CI138">
        <v>-6.7922821782178211</v>
      </c>
      <c r="CJ138">
        <v>-6.8098069306930693</v>
      </c>
      <c r="CK138">
        <v>-6.8273316831683166</v>
      </c>
      <c r="CL138">
        <v>-6.8448564356435639</v>
      </c>
    </row>
    <row r="139" spans="1:90" ht="21.75" thickBot="1" x14ac:dyDescent="0.4">
      <c r="A139" s="18" t="s">
        <v>43</v>
      </c>
      <c r="B139" s="38">
        <v>-22.522574257425745</v>
      </c>
      <c r="C139" s="38">
        <v>-22.126881188118812</v>
      </c>
      <c r="D139" s="38">
        <v>-21.798168316831681</v>
      </c>
      <c r="E139" s="38">
        <v>-21.480346534653464</v>
      </c>
      <c r="F139">
        <v>-21.325891089108911</v>
      </c>
      <c r="G139">
        <v>-21.171435643564358</v>
      </c>
      <c r="H139">
        <v>-21.093613861386139</v>
      </c>
      <c r="I139">
        <v>-21.081732673267329</v>
      </c>
      <c r="J139">
        <v>-21.071101485148514</v>
      </c>
      <c r="K139">
        <v>-21.159220297029705</v>
      </c>
      <c r="L139">
        <v>-21.247339108910893</v>
      </c>
      <c r="M139">
        <v>-21.335457920792081</v>
      </c>
      <c r="N139">
        <v>-21.423576732673268</v>
      </c>
      <c r="O139">
        <v>-21.511695544554456</v>
      </c>
      <c r="P139">
        <v>-21.599814356435644</v>
      </c>
      <c r="Q139">
        <v>-21.687933168316832</v>
      </c>
      <c r="R139">
        <v>-21.776051980198019</v>
      </c>
      <c r="S139">
        <v>-21.864170792079207</v>
      </c>
      <c r="T139">
        <v>-21.952289603960399</v>
      </c>
      <c r="U139">
        <v>-22.028663366336634</v>
      </c>
      <c r="V139">
        <v>-22.103910891089107</v>
      </c>
      <c r="W139">
        <v>-22.177623762376236</v>
      </c>
      <c r="X139">
        <v>-22.248910891089107</v>
      </c>
      <c r="Y139">
        <v>-22.320198019801978</v>
      </c>
      <c r="Z139">
        <v>-22.398656716417911</v>
      </c>
      <c r="AA139">
        <v>-22.478258706467663</v>
      </c>
      <c r="AB139">
        <v>-22.561881188118814</v>
      </c>
      <c r="AC139">
        <v>-22.652970297029704</v>
      </c>
      <c r="AD139">
        <v>-22.744059405940597</v>
      </c>
      <c r="AE139">
        <v>-22.848217821782178</v>
      </c>
      <c r="AF139">
        <v>-22.955148514851487</v>
      </c>
      <c r="AG139">
        <v>-23.063267326732674</v>
      </c>
      <c r="AH139">
        <v>-23.174158415841585</v>
      </c>
      <c r="AI139">
        <v>-23.285049504950493</v>
      </c>
      <c r="AJ139">
        <v>-23.399009900990098</v>
      </c>
      <c r="AK139">
        <v>-23.513861386138615</v>
      </c>
      <c r="AL139">
        <v>-23.628712871287131</v>
      </c>
      <c r="AM139">
        <v>-23.743564356435645</v>
      </c>
      <c r="AN139">
        <v>-23.858415841584158</v>
      </c>
      <c r="AO139">
        <v>-23.970396039603962</v>
      </c>
      <c r="AP139">
        <v>-24.081287128712873</v>
      </c>
      <c r="AQ139">
        <v>-24.192970297029706</v>
      </c>
      <c r="AR139">
        <v>-24.30782178217822</v>
      </c>
      <c r="AS139">
        <v>-24.422673267326733</v>
      </c>
      <c r="AT139">
        <v>-24.534851485148515</v>
      </c>
      <c r="AU139">
        <v>-24.645742574257426</v>
      </c>
      <c r="AV139">
        <v>-24.756633663366337</v>
      </c>
      <c r="AW139">
        <v>-24.867524752475248</v>
      </c>
      <c r="AX139">
        <v>-24.978415841584159</v>
      </c>
      <c r="AY139">
        <v>-25.087534076827758</v>
      </c>
      <c r="AZ139">
        <v>-25.195588599752167</v>
      </c>
      <c r="BA139">
        <v>-25.303643122676579</v>
      </c>
      <c r="BB139">
        <v>-25.411697645600992</v>
      </c>
      <c r="BC139">
        <v>-25.5197521685254</v>
      </c>
      <c r="BD139">
        <v>-25.627806691449813</v>
      </c>
      <c r="BE139">
        <v>-25.735861214374225</v>
      </c>
      <c r="BF139">
        <v>-25.843915737298637</v>
      </c>
      <c r="BG139">
        <v>-25.951970260223046</v>
      </c>
      <c r="BH139">
        <v>-26.060024783147458</v>
      </c>
      <c r="BI139">
        <v>-26.165878712871287</v>
      </c>
      <c r="BJ139">
        <v>-26.26983910891089</v>
      </c>
      <c r="BK139">
        <v>-26.373799504950494</v>
      </c>
      <c r="BL139">
        <v>-26.477759900990097</v>
      </c>
      <c r="BM139">
        <v>-26.581720297029701</v>
      </c>
      <c r="BN139">
        <v>-26.685680693069308</v>
      </c>
      <c r="BO139">
        <v>-26.789641089108912</v>
      </c>
      <c r="BP139">
        <v>-26.893601485148515</v>
      </c>
      <c r="BQ139">
        <v>-26.997561881188119</v>
      </c>
      <c r="BR139">
        <v>-27.101522277227723</v>
      </c>
      <c r="BS139">
        <v>-27.203370508054523</v>
      </c>
      <c r="BT139">
        <v>-27.302503097893432</v>
      </c>
      <c r="BU139">
        <v>-27.401635687732341</v>
      </c>
      <c r="BV139">
        <v>-27.50076827757125</v>
      </c>
      <c r="BW139">
        <v>-27.59990086741016</v>
      </c>
      <c r="BX139">
        <v>-27.699033457249069</v>
      </c>
      <c r="BY139">
        <v>-27.798166047087982</v>
      </c>
      <c r="BZ139">
        <v>-27.897298636926891</v>
      </c>
      <c r="CA139">
        <v>-27.9964312267658</v>
      </c>
      <c r="CB139">
        <v>-28.095563816604709</v>
      </c>
      <c r="CC139">
        <v>-28.193613861386137</v>
      </c>
      <c r="CD139">
        <v>-28.289653465346536</v>
      </c>
      <c r="CE139">
        <v>-28.385693069306932</v>
      </c>
      <c r="CF139">
        <v>-28.481732673267327</v>
      </c>
      <c r="CG139">
        <v>-28.577772277227723</v>
      </c>
      <c r="CH139">
        <v>-28.673811881188119</v>
      </c>
      <c r="CI139">
        <v>-28.769851485148514</v>
      </c>
      <c r="CJ139">
        <v>-28.86589108910891</v>
      </c>
      <c r="CK139">
        <v>-28.961930693069306</v>
      </c>
      <c r="CL139">
        <v>-29.057970297029701</v>
      </c>
    </row>
    <row r="140" spans="1:90" ht="21.75" thickBot="1" x14ac:dyDescent="0.4">
      <c r="A140" s="18" t="s">
        <v>42</v>
      </c>
      <c r="B140" s="38">
        <v>-22.522574257425745</v>
      </c>
      <c r="C140" s="38">
        <v>-22.126881188118812</v>
      </c>
      <c r="D140" s="38">
        <v>-21.798168316831681</v>
      </c>
      <c r="E140" s="38">
        <v>-21.480346534653464</v>
      </c>
      <c r="F140">
        <v>-21.325891089108911</v>
      </c>
      <c r="G140">
        <v>-21.171435643564358</v>
      </c>
      <c r="H140">
        <v>-21.093613861386139</v>
      </c>
      <c r="I140">
        <v>-21.081732673267329</v>
      </c>
      <c r="J140">
        <v>-21.071101485148514</v>
      </c>
      <c r="K140">
        <v>-21.159220297029705</v>
      </c>
      <c r="L140">
        <v>-21.247339108910893</v>
      </c>
      <c r="M140">
        <v>-21.335457920792081</v>
      </c>
      <c r="N140">
        <v>-21.423576732673268</v>
      </c>
      <c r="O140">
        <v>-21.511695544554456</v>
      </c>
      <c r="P140">
        <v>-21.599814356435644</v>
      </c>
      <c r="Q140">
        <v>-21.687933168316832</v>
      </c>
      <c r="R140">
        <v>-21.776051980198019</v>
      </c>
      <c r="S140">
        <v>-21.864170792079207</v>
      </c>
      <c r="T140">
        <v>-21.952289603960399</v>
      </c>
      <c r="U140">
        <v>-22.028663366336634</v>
      </c>
      <c r="V140">
        <v>-22.103910891089107</v>
      </c>
      <c r="W140">
        <v>-22.177623762376236</v>
      </c>
      <c r="X140">
        <v>-22.248910891089107</v>
      </c>
      <c r="Y140">
        <v>-22.320198019801978</v>
      </c>
      <c r="Z140">
        <v>-22.398656716417911</v>
      </c>
      <c r="AA140">
        <v>-22.478258706467663</v>
      </c>
      <c r="AB140">
        <v>-22.561881188118814</v>
      </c>
      <c r="AC140">
        <v>-22.652970297029704</v>
      </c>
      <c r="AD140">
        <v>-22.744059405940597</v>
      </c>
      <c r="AE140">
        <v>-22.848217821782178</v>
      </c>
      <c r="AF140">
        <v>-22.955148514851487</v>
      </c>
      <c r="AG140">
        <v>-23.063267326732674</v>
      </c>
      <c r="AH140">
        <v>-23.174158415841585</v>
      </c>
      <c r="AI140">
        <v>-23.285049504950493</v>
      </c>
      <c r="AJ140">
        <v>-23.399009900990098</v>
      </c>
      <c r="AK140">
        <v>-23.513861386138615</v>
      </c>
      <c r="AL140">
        <v>-23.628712871287131</v>
      </c>
      <c r="AM140">
        <v>-23.743564356435645</v>
      </c>
      <c r="AN140">
        <v>-23.858415841584158</v>
      </c>
      <c r="AO140">
        <v>-23.970396039603962</v>
      </c>
      <c r="AP140">
        <v>-24.081287128712873</v>
      </c>
      <c r="AQ140">
        <v>-24.192970297029706</v>
      </c>
      <c r="AR140">
        <v>-24.30782178217822</v>
      </c>
      <c r="AS140">
        <v>-24.422673267326733</v>
      </c>
      <c r="AT140">
        <v>-24.534851485148515</v>
      </c>
      <c r="AU140">
        <v>-24.645742574257426</v>
      </c>
      <c r="AV140">
        <v>-24.756633663366337</v>
      </c>
      <c r="AW140">
        <v>-24.867524752475248</v>
      </c>
      <c r="AX140">
        <v>-24.978415841584159</v>
      </c>
      <c r="AY140">
        <v>-25.087534076827758</v>
      </c>
      <c r="AZ140">
        <v>-25.195588599752167</v>
      </c>
      <c r="BA140">
        <v>-25.303643122676579</v>
      </c>
      <c r="BB140">
        <v>-25.411697645600992</v>
      </c>
      <c r="BC140">
        <v>-25.5197521685254</v>
      </c>
      <c r="BD140">
        <v>-25.627806691449813</v>
      </c>
      <c r="BE140">
        <v>-25.735861214374225</v>
      </c>
      <c r="BF140">
        <v>-25.843915737298637</v>
      </c>
      <c r="BG140">
        <v>-25.951970260223046</v>
      </c>
      <c r="BH140">
        <v>-26.060024783147458</v>
      </c>
      <c r="BI140">
        <v>-26.165878712871287</v>
      </c>
      <c r="BJ140">
        <v>-26.26983910891089</v>
      </c>
      <c r="BK140">
        <v>-26.373799504950494</v>
      </c>
      <c r="BL140">
        <v>-26.477759900990097</v>
      </c>
      <c r="BM140">
        <v>-26.581720297029701</v>
      </c>
      <c r="BN140">
        <v>-26.685680693069308</v>
      </c>
      <c r="BO140">
        <v>-26.789641089108912</v>
      </c>
      <c r="BP140">
        <v>-26.893601485148515</v>
      </c>
      <c r="BQ140">
        <v>-26.997561881188119</v>
      </c>
      <c r="BR140">
        <v>-27.101522277227723</v>
      </c>
      <c r="BS140">
        <v>-27.203370508054523</v>
      </c>
      <c r="BT140">
        <v>-27.302503097893432</v>
      </c>
      <c r="BU140">
        <v>-27.401635687732341</v>
      </c>
      <c r="BV140">
        <v>-27.50076827757125</v>
      </c>
      <c r="BW140">
        <v>-27.59990086741016</v>
      </c>
      <c r="BX140">
        <v>-27.699033457249069</v>
      </c>
      <c r="BY140">
        <v>-27.798166047087982</v>
      </c>
      <c r="BZ140">
        <v>-27.897298636926891</v>
      </c>
      <c r="CA140">
        <v>-27.9964312267658</v>
      </c>
      <c r="CB140">
        <v>-28.095563816604709</v>
      </c>
      <c r="CC140">
        <v>-28.193613861386137</v>
      </c>
      <c r="CD140">
        <v>-28.289653465346536</v>
      </c>
      <c r="CE140">
        <v>-28.385693069306932</v>
      </c>
      <c r="CF140">
        <v>-28.481732673267327</v>
      </c>
      <c r="CG140">
        <v>-28.577772277227723</v>
      </c>
      <c r="CH140">
        <v>-28.673811881188119</v>
      </c>
      <c r="CI140">
        <v>-28.769851485148514</v>
      </c>
      <c r="CJ140">
        <v>-28.86589108910891</v>
      </c>
      <c r="CK140">
        <v>-28.961930693069306</v>
      </c>
      <c r="CL140">
        <v>-29.057970297029701</v>
      </c>
    </row>
    <row r="141" spans="1:90" ht="21.75" thickBot="1" x14ac:dyDescent="0.4">
      <c r="A141" s="18" t="s">
        <v>47</v>
      </c>
      <c r="B141" s="38">
        <v>-22.522574257425745</v>
      </c>
      <c r="C141" s="38">
        <v>-22.126881188118812</v>
      </c>
      <c r="D141" s="38">
        <v>-21.798168316831681</v>
      </c>
      <c r="E141" s="38">
        <v>-21.480346534653464</v>
      </c>
      <c r="F141">
        <v>-21.325891089108911</v>
      </c>
      <c r="G141">
        <v>-21.171435643564358</v>
      </c>
      <c r="H141">
        <v>-21.093613861386139</v>
      </c>
      <c r="I141">
        <v>-21.081732673267329</v>
      </c>
      <c r="J141">
        <v>-21.071101485148514</v>
      </c>
      <c r="K141">
        <v>-21.159220297029705</v>
      </c>
      <c r="L141">
        <v>-21.247339108910893</v>
      </c>
      <c r="M141">
        <v>-21.335457920792081</v>
      </c>
      <c r="N141">
        <v>-21.423576732673268</v>
      </c>
      <c r="O141">
        <v>-21.511695544554456</v>
      </c>
      <c r="P141">
        <v>-21.599814356435644</v>
      </c>
      <c r="Q141">
        <v>-21.687933168316832</v>
      </c>
      <c r="R141">
        <v>-21.776051980198019</v>
      </c>
      <c r="S141">
        <v>-21.864170792079207</v>
      </c>
      <c r="T141">
        <v>-21.952289603960399</v>
      </c>
      <c r="U141">
        <v>-22.028663366336634</v>
      </c>
      <c r="V141">
        <v>-22.103910891089107</v>
      </c>
      <c r="W141">
        <v>-22.177623762376236</v>
      </c>
      <c r="X141">
        <v>-22.248910891089107</v>
      </c>
      <c r="Y141">
        <v>-22.320198019801978</v>
      </c>
      <c r="Z141">
        <v>-22.398656716417911</v>
      </c>
      <c r="AA141">
        <v>-22.478258706467663</v>
      </c>
      <c r="AB141">
        <v>-22.561881188118814</v>
      </c>
      <c r="AC141">
        <v>-22.652970297029704</v>
      </c>
      <c r="AD141">
        <v>-22.744059405940597</v>
      </c>
      <c r="AE141">
        <v>-22.848217821782178</v>
      </c>
      <c r="AF141">
        <v>-22.955148514851487</v>
      </c>
      <c r="AG141">
        <v>-23.063267326732674</v>
      </c>
      <c r="AH141">
        <v>-23.174158415841585</v>
      </c>
      <c r="AI141">
        <v>-23.285049504950493</v>
      </c>
      <c r="AJ141">
        <v>-23.399009900990098</v>
      </c>
      <c r="AK141">
        <v>-23.513861386138615</v>
      </c>
      <c r="AL141">
        <v>-23.628712871287131</v>
      </c>
      <c r="AM141">
        <v>-23.743564356435645</v>
      </c>
      <c r="AN141">
        <v>-23.858415841584158</v>
      </c>
      <c r="AO141">
        <v>-23.970396039603962</v>
      </c>
      <c r="AP141">
        <v>-24.081287128712873</v>
      </c>
      <c r="AQ141">
        <v>-24.192970297029706</v>
      </c>
      <c r="AR141">
        <v>-24.30782178217822</v>
      </c>
      <c r="AS141">
        <v>-24.422673267326733</v>
      </c>
      <c r="AT141">
        <v>-24.534851485148515</v>
      </c>
      <c r="AU141">
        <v>-24.645742574257426</v>
      </c>
      <c r="AV141">
        <v>-24.756633663366337</v>
      </c>
      <c r="AW141">
        <v>-24.867524752475248</v>
      </c>
      <c r="AX141">
        <v>-24.978415841584159</v>
      </c>
      <c r="AY141">
        <v>-25.087534076827758</v>
      </c>
      <c r="AZ141">
        <v>-25.195588599752167</v>
      </c>
      <c r="BA141">
        <v>-25.303643122676579</v>
      </c>
      <c r="BB141">
        <v>-25.411697645600992</v>
      </c>
      <c r="BC141">
        <v>-25.5197521685254</v>
      </c>
      <c r="BD141">
        <v>-25.627806691449813</v>
      </c>
      <c r="BE141">
        <v>-25.735861214374225</v>
      </c>
      <c r="BF141">
        <v>-25.843915737298637</v>
      </c>
      <c r="BG141">
        <v>-25.951970260223046</v>
      </c>
      <c r="BH141">
        <v>-26.060024783147458</v>
      </c>
      <c r="BI141">
        <v>-26.165878712871287</v>
      </c>
      <c r="BJ141">
        <v>-26.26983910891089</v>
      </c>
      <c r="BK141">
        <v>-26.373799504950494</v>
      </c>
      <c r="BL141">
        <v>-26.477759900990097</v>
      </c>
      <c r="BM141">
        <v>-26.581720297029701</v>
      </c>
      <c r="BN141">
        <v>-26.685680693069308</v>
      </c>
      <c r="BO141">
        <v>-26.789641089108912</v>
      </c>
      <c r="BP141">
        <v>-26.893601485148515</v>
      </c>
      <c r="BQ141">
        <v>-26.997561881188119</v>
      </c>
      <c r="BR141">
        <v>-27.101522277227723</v>
      </c>
      <c r="BS141">
        <v>-27.203370508054523</v>
      </c>
      <c r="BT141">
        <v>-27.302503097893432</v>
      </c>
      <c r="BU141">
        <v>-27.401635687732341</v>
      </c>
      <c r="BV141">
        <v>-27.50076827757125</v>
      </c>
      <c r="BW141">
        <v>-27.59990086741016</v>
      </c>
      <c r="BX141">
        <v>-27.699033457249069</v>
      </c>
      <c r="BY141">
        <v>-27.798166047087982</v>
      </c>
      <c r="BZ141">
        <v>-27.897298636926891</v>
      </c>
      <c r="CA141">
        <v>-27.9964312267658</v>
      </c>
      <c r="CB141">
        <v>-28.095563816604709</v>
      </c>
      <c r="CC141">
        <v>-28.193613861386137</v>
      </c>
      <c r="CD141">
        <v>-28.289653465346536</v>
      </c>
      <c r="CE141">
        <v>-28.385693069306932</v>
      </c>
      <c r="CF141">
        <v>-28.481732673267327</v>
      </c>
      <c r="CG141">
        <v>-28.577772277227723</v>
      </c>
      <c r="CH141">
        <v>-28.673811881188119</v>
      </c>
      <c r="CI141">
        <v>-28.769851485148514</v>
      </c>
      <c r="CJ141">
        <v>-28.86589108910891</v>
      </c>
      <c r="CK141">
        <v>-28.961930693069306</v>
      </c>
      <c r="CL141">
        <v>-29.057970297029701</v>
      </c>
    </row>
    <row r="142" spans="1:90" ht="21.75" thickBot="1" x14ac:dyDescent="0.4">
      <c r="A142" s="18" t="s">
        <v>41</v>
      </c>
      <c r="B142" s="38">
        <v>-22.522574257425745</v>
      </c>
      <c r="C142" s="38">
        <v>-22.126881188118812</v>
      </c>
      <c r="D142" s="38">
        <v>-21.798168316831681</v>
      </c>
      <c r="E142" s="38">
        <v>-21.480346534653464</v>
      </c>
      <c r="F142">
        <v>-21.325891089108911</v>
      </c>
      <c r="G142">
        <v>-21.171435643564358</v>
      </c>
      <c r="H142">
        <v>-21.093613861386139</v>
      </c>
      <c r="I142">
        <v>-21.081732673267329</v>
      </c>
      <c r="J142">
        <v>-21.071101485148514</v>
      </c>
      <c r="K142">
        <v>-21.159220297029705</v>
      </c>
      <c r="L142">
        <v>-21.247339108910893</v>
      </c>
      <c r="M142">
        <v>-21.335457920792081</v>
      </c>
      <c r="N142">
        <v>-21.423576732673268</v>
      </c>
      <c r="O142">
        <v>-21.511695544554456</v>
      </c>
      <c r="P142">
        <v>-21.599814356435644</v>
      </c>
      <c r="Q142">
        <v>-21.687933168316832</v>
      </c>
      <c r="R142">
        <v>-21.776051980198019</v>
      </c>
      <c r="S142">
        <v>-21.864170792079207</v>
      </c>
      <c r="T142">
        <v>-21.952289603960399</v>
      </c>
      <c r="U142">
        <v>-22.028663366336634</v>
      </c>
      <c r="V142">
        <v>-22.103910891089107</v>
      </c>
      <c r="W142">
        <v>-22.177623762376236</v>
      </c>
      <c r="X142">
        <v>-22.248910891089107</v>
      </c>
      <c r="Y142">
        <v>-22.320198019801978</v>
      </c>
      <c r="Z142">
        <v>-22.398656716417911</v>
      </c>
      <c r="AA142">
        <v>-22.478258706467663</v>
      </c>
      <c r="AB142">
        <v>-22.561881188118814</v>
      </c>
      <c r="AC142">
        <v>-22.652970297029704</v>
      </c>
      <c r="AD142">
        <v>-22.744059405940597</v>
      </c>
      <c r="AE142">
        <v>-22.848217821782178</v>
      </c>
      <c r="AF142">
        <v>-22.955148514851487</v>
      </c>
      <c r="AG142">
        <v>-23.063267326732674</v>
      </c>
      <c r="AH142">
        <v>-23.174158415841585</v>
      </c>
      <c r="AI142">
        <v>-23.285049504950493</v>
      </c>
      <c r="AJ142">
        <v>-23.399009900990098</v>
      </c>
      <c r="AK142">
        <v>-23.513861386138615</v>
      </c>
      <c r="AL142">
        <v>-23.628712871287131</v>
      </c>
      <c r="AM142">
        <v>-23.743564356435645</v>
      </c>
      <c r="AN142">
        <v>-23.858415841584158</v>
      </c>
      <c r="AO142">
        <v>-23.970396039603962</v>
      </c>
      <c r="AP142">
        <v>-24.081287128712873</v>
      </c>
      <c r="AQ142">
        <v>-24.192970297029706</v>
      </c>
      <c r="AR142">
        <v>-24.30782178217822</v>
      </c>
      <c r="AS142">
        <v>-24.422673267326733</v>
      </c>
      <c r="AT142">
        <v>-24.534851485148515</v>
      </c>
      <c r="AU142">
        <v>-24.645742574257426</v>
      </c>
      <c r="AV142">
        <v>-24.756633663366337</v>
      </c>
      <c r="AW142">
        <v>-24.867524752475248</v>
      </c>
      <c r="AX142">
        <v>-24.978415841584159</v>
      </c>
      <c r="AY142">
        <v>-25.087534076827758</v>
      </c>
      <c r="AZ142">
        <v>-25.195588599752167</v>
      </c>
      <c r="BA142">
        <v>-25.303643122676579</v>
      </c>
      <c r="BB142">
        <v>-25.411697645600992</v>
      </c>
      <c r="BC142">
        <v>-25.5197521685254</v>
      </c>
      <c r="BD142">
        <v>-25.627806691449813</v>
      </c>
      <c r="BE142">
        <v>-25.735861214374225</v>
      </c>
      <c r="BF142">
        <v>-25.843915737298637</v>
      </c>
      <c r="BG142">
        <v>-25.951970260223046</v>
      </c>
      <c r="BH142">
        <v>-26.060024783147458</v>
      </c>
      <c r="BI142">
        <v>-26.165878712871287</v>
      </c>
      <c r="BJ142">
        <v>-26.26983910891089</v>
      </c>
      <c r="BK142">
        <v>-26.373799504950494</v>
      </c>
      <c r="BL142">
        <v>-26.477759900990097</v>
      </c>
      <c r="BM142">
        <v>-26.581720297029701</v>
      </c>
      <c r="BN142">
        <v>-26.685680693069308</v>
      </c>
      <c r="BO142">
        <v>-26.789641089108912</v>
      </c>
      <c r="BP142">
        <v>-26.893601485148515</v>
      </c>
      <c r="BQ142">
        <v>-26.997561881188119</v>
      </c>
      <c r="BR142">
        <v>-27.101522277227723</v>
      </c>
      <c r="BS142">
        <v>-27.203370508054523</v>
      </c>
      <c r="BT142">
        <v>-27.302503097893432</v>
      </c>
      <c r="BU142">
        <v>-27.401635687732341</v>
      </c>
      <c r="BV142">
        <v>-27.50076827757125</v>
      </c>
      <c r="BW142">
        <v>-27.59990086741016</v>
      </c>
      <c r="BX142">
        <v>-27.699033457249069</v>
      </c>
      <c r="BY142">
        <v>-27.798166047087982</v>
      </c>
      <c r="BZ142">
        <v>-27.897298636926891</v>
      </c>
      <c r="CA142">
        <v>-27.9964312267658</v>
      </c>
      <c r="CB142">
        <v>-28.095563816604709</v>
      </c>
      <c r="CC142">
        <v>-28.193613861386137</v>
      </c>
      <c r="CD142">
        <v>-28.289653465346536</v>
      </c>
      <c r="CE142">
        <v>-28.385693069306932</v>
      </c>
      <c r="CF142">
        <v>-28.481732673267327</v>
      </c>
      <c r="CG142">
        <v>-28.577772277227723</v>
      </c>
      <c r="CH142">
        <v>-28.673811881188119</v>
      </c>
      <c r="CI142">
        <v>-28.769851485148514</v>
      </c>
      <c r="CJ142">
        <v>-28.86589108910891</v>
      </c>
      <c r="CK142">
        <v>-28.961930693069306</v>
      </c>
      <c r="CL142">
        <v>-29.057970297029701</v>
      </c>
    </row>
    <row r="143" spans="1:90" ht="21.75" thickBot="1" x14ac:dyDescent="0.4">
      <c r="A143" s="18" t="s">
        <v>54</v>
      </c>
      <c r="B143" s="38">
        <v>-16.178663366336636</v>
      </c>
      <c r="C143" s="38">
        <v>-15.7880198019802</v>
      </c>
      <c r="D143" s="38">
        <v>-15.376138613861388</v>
      </c>
      <c r="E143" s="38">
        <v>-14.958564356435645</v>
      </c>
      <c r="F143">
        <v>-14.455594059405941</v>
      </c>
      <c r="G143">
        <v>-13.952623762376238</v>
      </c>
      <c r="H143">
        <v>-13.421980198019801</v>
      </c>
      <c r="I143">
        <v>-12.867524752475246</v>
      </c>
      <c r="J143">
        <v>-12.314007425742574</v>
      </c>
      <c r="K143">
        <v>-11.834601485148514</v>
      </c>
      <c r="L143">
        <v>-11.355195544554455</v>
      </c>
      <c r="M143">
        <v>-10.875789603960396</v>
      </c>
      <c r="N143">
        <v>-10.396383663366336</v>
      </c>
      <c r="O143">
        <v>-9.9169777227722768</v>
      </c>
      <c r="P143">
        <v>-9.4375717821782175</v>
      </c>
      <c r="Q143">
        <v>-8.9581658415841581</v>
      </c>
      <c r="R143">
        <v>-8.4787599009900987</v>
      </c>
      <c r="S143">
        <v>-7.9993539603960384</v>
      </c>
      <c r="T143">
        <v>-7.519948019801979</v>
      </c>
      <c r="U143">
        <v>-7.213826732673267</v>
      </c>
      <c r="V143">
        <v>-6.9243217821782173</v>
      </c>
      <c r="W143">
        <v>-6.672876237623762</v>
      </c>
      <c r="X143">
        <v>-6.4815891089108915</v>
      </c>
      <c r="Y143">
        <v>-6.2903019801980209</v>
      </c>
      <c r="Z143">
        <v>-6.1699402985074627</v>
      </c>
      <c r="AA143">
        <v>-6.0608855721393038</v>
      </c>
      <c r="AB143">
        <v>-5.972811881188119</v>
      </c>
      <c r="AC143">
        <v>-5.9237029702970299</v>
      </c>
      <c r="AD143">
        <v>-5.8745940594059398</v>
      </c>
      <c r="AE143">
        <v>-5.8545643564356435</v>
      </c>
      <c r="AF143">
        <v>-5.8407029702970297</v>
      </c>
      <c r="AG143">
        <v>-5.8323069306930693</v>
      </c>
      <c r="AH143">
        <v>-5.8366633663366336</v>
      </c>
      <c r="AI143">
        <v>-5.841019801980198</v>
      </c>
      <c r="AJ143">
        <v>-5.8518217821782175</v>
      </c>
      <c r="AK143">
        <v>-5.8644950495049502</v>
      </c>
      <c r="AL143">
        <v>-5.8781584158415843</v>
      </c>
      <c r="AM143">
        <v>-5.8947920792079209</v>
      </c>
      <c r="AN143">
        <v>-5.9114257425742576</v>
      </c>
      <c r="AO143">
        <v>-5.9294950495049505</v>
      </c>
      <c r="AP143">
        <v>-5.9481089108910892</v>
      </c>
      <c r="AQ143">
        <v>-5.9668019801980199</v>
      </c>
      <c r="AR143">
        <v>-5.9858118811881189</v>
      </c>
      <c r="AS143">
        <v>-6.0048217821782179</v>
      </c>
      <c r="AT143">
        <v>-6.0240990099009899</v>
      </c>
      <c r="AU143">
        <v>-6.0435049504950493</v>
      </c>
      <c r="AV143">
        <v>-6.0629108910891087</v>
      </c>
      <c r="AW143">
        <v>-6.0823168316831682</v>
      </c>
      <c r="AX143">
        <v>-6.1017227722772276</v>
      </c>
      <c r="AY143">
        <v>-6.1211437422552661</v>
      </c>
      <c r="AZ143">
        <v>-6.1405737298636929</v>
      </c>
      <c r="BA143">
        <v>-6.1600037174721187</v>
      </c>
      <c r="BB143">
        <v>-6.1794337050805455</v>
      </c>
      <c r="BC143">
        <v>-6.1988636926889713</v>
      </c>
      <c r="BD143">
        <v>-6.2182936802973972</v>
      </c>
      <c r="BE143">
        <v>-6.2377236679058239</v>
      </c>
      <c r="BF143">
        <v>-6.2571536555142497</v>
      </c>
      <c r="BG143">
        <v>-6.2765836431226765</v>
      </c>
      <c r="BH143">
        <v>-6.2960136307311023</v>
      </c>
      <c r="BI143">
        <v>-6.3151646039603957</v>
      </c>
      <c r="BJ143">
        <v>-6.3340754950495048</v>
      </c>
      <c r="BK143">
        <v>-6.352986386138614</v>
      </c>
      <c r="BL143">
        <v>-6.3718972772277223</v>
      </c>
      <c r="BM143">
        <v>-6.3908081683168314</v>
      </c>
      <c r="BN143">
        <v>-6.4097190594059406</v>
      </c>
      <c r="BO143">
        <v>-6.4286299504950497</v>
      </c>
      <c r="BP143">
        <v>-6.4475408415841589</v>
      </c>
      <c r="BQ143">
        <v>-6.466451732673268</v>
      </c>
      <c r="BR143">
        <v>-6.4853626237623763</v>
      </c>
      <c r="BS143">
        <v>-6.5040235439900869</v>
      </c>
      <c r="BT143">
        <v>-6.5223630731102853</v>
      </c>
      <c r="BU143">
        <v>-6.5407026022304837</v>
      </c>
      <c r="BV143">
        <v>-6.5590421313506821</v>
      </c>
      <c r="BW143">
        <v>-6.5773816604708797</v>
      </c>
      <c r="BX143">
        <v>-6.5957211895910781</v>
      </c>
      <c r="BY143">
        <v>-6.6140607187112765</v>
      </c>
      <c r="BZ143">
        <v>-6.632400247831475</v>
      </c>
      <c r="CA143">
        <v>-6.6507397769516725</v>
      </c>
      <c r="CB143">
        <v>-6.6690793060718709</v>
      </c>
      <c r="CC143">
        <v>-6.6871336633663363</v>
      </c>
      <c r="CD143">
        <v>-6.7046584158415845</v>
      </c>
      <c r="CE143">
        <v>-6.7221831683168318</v>
      </c>
      <c r="CF143">
        <v>-6.7397079207920791</v>
      </c>
      <c r="CG143">
        <v>-6.7572326732673265</v>
      </c>
      <c r="CH143">
        <v>-6.7747574257425738</v>
      </c>
      <c r="CI143">
        <v>-6.7922821782178211</v>
      </c>
      <c r="CJ143">
        <v>-6.8098069306930693</v>
      </c>
      <c r="CK143">
        <v>-6.8273316831683166</v>
      </c>
      <c r="CL143">
        <v>-6.8448564356435639</v>
      </c>
    </row>
    <row r="144" spans="1:90" ht="21.75" thickBot="1" x14ac:dyDescent="0.4">
      <c r="A144" s="18" t="s">
        <v>28</v>
      </c>
      <c r="B144" s="38">
        <v>-18.611633663366337</v>
      </c>
      <c r="C144" s="38">
        <v>-18.61</v>
      </c>
      <c r="D144" s="38">
        <v>-18.61</v>
      </c>
      <c r="E144" s="38">
        <v>-18.610495049504951</v>
      </c>
      <c r="F144">
        <v>-18.618415841584159</v>
      </c>
      <c r="G144">
        <v>-18.626336633663364</v>
      </c>
      <c r="H144">
        <v>-18.634257425742572</v>
      </c>
      <c r="I144">
        <v>-18.64217821782178</v>
      </c>
      <c r="J144">
        <v>-18.650148514851484</v>
      </c>
      <c r="K144">
        <v>-18.662029702970298</v>
      </c>
      <c r="L144">
        <v>-18.673910891089108</v>
      </c>
      <c r="M144">
        <v>-18.685792079207921</v>
      </c>
      <c r="N144">
        <v>-18.697673267326731</v>
      </c>
      <c r="O144">
        <v>-18.709554455445545</v>
      </c>
      <c r="P144">
        <v>-18.721435643564355</v>
      </c>
      <c r="Q144">
        <v>-18.733316831683169</v>
      </c>
      <c r="R144">
        <v>-18.745198019801979</v>
      </c>
      <c r="S144">
        <v>-18.757079207920793</v>
      </c>
      <c r="T144">
        <v>-18.768960396039603</v>
      </c>
      <c r="U144">
        <v>-18.784455445544555</v>
      </c>
      <c r="V144">
        <v>-18.800297029702968</v>
      </c>
      <c r="W144">
        <v>-18.814603960396038</v>
      </c>
      <c r="X144">
        <v>-18.826485148514852</v>
      </c>
      <c r="Y144">
        <v>-18.838366336633662</v>
      </c>
      <c r="Z144">
        <v>-18.853731343283581</v>
      </c>
      <c r="AA144">
        <v>-18.869651741293531</v>
      </c>
      <c r="AB144">
        <v>-18.886930693069306</v>
      </c>
      <c r="AC144">
        <v>-18.906732673267324</v>
      </c>
      <c r="AD144">
        <v>-18.926534653465346</v>
      </c>
      <c r="AE144">
        <v>-18.943069306930692</v>
      </c>
      <c r="AF144">
        <v>-18.958910891089108</v>
      </c>
      <c r="AG144">
        <v>-18.974752475247524</v>
      </c>
      <c r="AH144">
        <v>-18.990594059405939</v>
      </c>
      <c r="AI144">
        <v>-19.006435643564359</v>
      </c>
      <c r="AJ144">
        <v>-19.022277227722775</v>
      </c>
      <c r="AK144">
        <v>-19.038118811881191</v>
      </c>
      <c r="AL144">
        <v>-19.053960396039603</v>
      </c>
      <c r="AM144">
        <v>-19.069801980198019</v>
      </c>
      <c r="AN144">
        <v>-19.085643564356435</v>
      </c>
      <c r="AO144">
        <v>-19.104356435643563</v>
      </c>
      <c r="AP144">
        <v>-19.124158415841585</v>
      </c>
      <c r="AQ144">
        <v>-19.143168316831684</v>
      </c>
      <c r="AR144">
        <v>-19.1590099009901</v>
      </c>
      <c r="AS144">
        <v>-19.174851485148515</v>
      </c>
      <c r="AT144">
        <v>-19.190693069306931</v>
      </c>
      <c r="AU144">
        <v>-19.206534653465347</v>
      </c>
      <c r="AV144">
        <v>-19.222376237623763</v>
      </c>
      <c r="AW144">
        <v>-19.238217821782179</v>
      </c>
      <c r="AX144">
        <v>-19.254059405940595</v>
      </c>
      <c r="AY144">
        <v>-19.270532837670384</v>
      </c>
      <c r="AZ144">
        <v>-19.287385377943</v>
      </c>
      <c r="BA144">
        <v>-19.304237918215616</v>
      </c>
      <c r="BB144">
        <v>-19.321090458488229</v>
      </c>
      <c r="BC144">
        <v>-19.337942998760845</v>
      </c>
      <c r="BD144">
        <v>-19.354795539033457</v>
      </c>
      <c r="BE144">
        <v>-19.371648079306073</v>
      </c>
      <c r="BF144">
        <v>-19.388500619578686</v>
      </c>
      <c r="BG144">
        <v>-19.405353159851302</v>
      </c>
      <c r="BH144">
        <v>-19.422205700123914</v>
      </c>
      <c r="BI144">
        <v>-19.438514851485149</v>
      </c>
      <c r="BJ144">
        <v>-19.454356435643565</v>
      </c>
      <c r="BK144">
        <v>-19.47019801980198</v>
      </c>
      <c r="BL144">
        <v>-19.486039603960396</v>
      </c>
      <c r="BM144">
        <v>-19.501881188118812</v>
      </c>
      <c r="BN144">
        <v>-19.517722772277228</v>
      </c>
      <c r="BO144">
        <v>-19.533564356435644</v>
      </c>
      <c r="BP144">
        <v>-19.54940594059406</v>
      </c>
      <c r="BQ144">
        <v>-19.565247524752476</v>
      </c>
      <c r="BR144">
        <v>-19.581089108910891</v>
      </c>
      <c r="BS144">
        <v>-19.596505576208177</v>
      </c>
      <c r="BT144">
        <v>-19.611375464684013</v>
      </c>
      <c r="BU144">
        <v>-19.626245353159852</v>
      </c>
      <c r="BV144">
        <v>-19.641115241635688</v>
      </c>
      <c r="BW144">
        <v>-19.655985130111524</v>
      </c>
      <c r="BX144">
        <v>-19.670855018587361</v>
      </c>
      <c r="BY144">
        <v>-19.685724907063197</v>
      </c>
      <c r="BZ144">
        <v>-19.700594795539033</v>
      </c>
      <c r="CA144">
        <v>-19.715464684014869</v>
      </c>
      <c r="CB144">
        <v>-19.730334572490705</v>
      </c>
      <c r="CC144">
        <v>-19.744851485148512</v>
      </c>
      <c r="CD144">
        <v>-19.758712871287127</v>
      </c>
      <c r="CE144">
        <v>-19.772574257425742</v>
      </c>
      <c r="CF144">
        <v>-19.786435643564356</v>
      </c>
      <c r="CG144">
        <v>-19.800297029702968</v>
      </c>
      <c r="CH144">
        <v>-19.814158415841582</v>
      </c>
      <c r="CI144">
        <v>-19.828019801980197</v>
      </c>
      <c r="CJ144">
        <v>-19.841881188118812</v>
      </c>
      <c r="CK144">
        <v>-19.855742574257423</v>
      </c>
      <c r="CL144">
        <v>-19.869603960396038</v>
      </c>
    </row>
    <row r="145" spans="1:90" ht="21.75" thickBot="1" x14ac:dyDescent="0.4">
      <c r="A145" s="18" t="s">
        <v>6</v>
      </c>
      <c r="B145" s="38">
        <v>-16.178663366336636</v>
      </c>
      <c r="C145" s="38">
        <v>-15.7880198019802</v>
      </c>
      <c r="D145" s="38">
        <v>-15.376138613861388</v>
      </c>
      <c r="E145" s="38">
        <v>-14.958564356435645</v>
      </c>
      <c r="F145">
        <v>-14.455594059405941</v>
      </c>
      <c r="G145">
        <v>-13.952623762376238</v>
      </c>
      <c r="H145">
        <v>-13.421980198019801</v>
      </c>
      <c r="I145">
        <v>-12.867524752475246</v>
      </c>
      <c r="J145">
        <v>-12.314007425742574</v>
      </c>
      <c r="K145">
        <v>-11.834601485148514</v>
      </c>
      <c r="L145">
        <v>-11.355195544554455</v>
      </c>
      <c r="M145">
        <v>-10.875789603960396</v>
      </c>
      <c r="N145">
        <v>-10.396383663366336</v>
      </c>
      <c r="O145">
        <v>-9.9169777227722768</v>
      </c>
      <c r="P145">
        <v>-9.4375717821782175</v>
      </c>
      <c r="Q145">
        <v>-8.9581658415841581</v>
      </c>
      <c r="R145">
        <v>-8.4787599009900987</v>
      </c>
      <c r="S145">
        <v>-7.9993539603960384</v>
      </c>
      <c r="T145">
        <v>-7.519948019801979</v>
      </c>
      <c r="U145">
        <v>-7.213826732673267</v>
      </c>
      <c r="V145">
        <v>-6.9243217821782173</v>
      </c>
      <c r="W145">
        <v>-6.672876237623762</v>
      </c>
      <c r="X145">
        <v>-6.4815891089108915</v>
      </c>
      <c r="Y145">
        <v>-6.2903019801980209</v>
      </c>
      <c r="Z145">
        <v>-6.1699402985074627</v>
      </c>
      <c r="AA145">
        <v>-6.0608855721393038</v>
      </c>
      <c r="AB145">
        <v>-5.972811881188119</v>
      </c>
      <c r="AC145">
        <v>-5.9237029702970299</v>
      </c>
      <c r="AD145">
        <v>-5.8745940594059398</v>
      </c>
      <c r="AE145">
        <v>-5.8545643564356435</v>
      </c>
      <c r="AF145">
        <v>-5.8407029702970297</v>
      </c>
      <c r="AG145">
        <v>-5.8323069306930693</v>
      </c>
      <c r="AH145">
        <v>-5.8366633663366336</v>
      </c>
      <c r="AI145">
        <v>-5.841019801980198</v>
      </c>
      <c r="AJ145">
        <v>-5.8518217821782175</v>
      </c>
      <c r="AK145">
        <v>-5.8644950495049502</v>
      </c>
      <c r="AL145">
        <v>-5.8781584158415843</v>
      </c>
      <c r="AM145">
        <v>-5.8947920792079209</v>
      </c>
      <c r="AN145">
        <v>-5.9114257425742576</v>
      </c>
      <c r="AO145">
        <v>-5.9294950495049505</v>
      </c>
      <c r="AP145">
        <v>-5.9481089108910892</v>
      </c>
      <c r="AQ145">
        <v>-5.9668019801980199</v>
      </c>
      <c r="AR145">
        <v>-5.9858118811881189</v>
      </c>
      <c r="AS145">
        <v>-6.0048217821782179</v>
      </c>
      <c r="AT145">
        <v>-6.0240990099009899</v>
      </c>
      <c r="AU145">
        <v>-6.0435049504950493</v>
      </c>
      <c r="AV145">
        <v>-6.0629108910891087</v>
      </c>
      <c r="AW145">
        <v>-6.0823168316831682</v>
      </c>
      <c r="AX145">
        <v>-6.1017227722772276</v>
      </c>
      <c r="AY145">
        <v>-6.1211437422552661</v>
      </c>
      <c r="AZ145">
        <v>-6.1405737298636929</v>
      </c>
      <c r="BA145">
        <v>-6.1600037174721187</v>
      </c>
      <c r="BB145">
        <v>-6.1794337050805455</v>
      </c>
      <c r="BC145">
        <v>-6.1988636926889713</v>
      </c>
      <c r="BD145">
        <v>-6.2182936802973972</v>
      </c>
      <c r="BE145">
        <v>-6.2377236679058239</v>
      </c>
      <c r="BF145">
        <v>-6.2571536555142497</v>
      </c>
      <c r="BG145">
        <v>-6.2765836431226765</v>
      </c>
      <c r="BH145">
        <v>-6.2960136307311023</v>
      </c>
      <c r="BI145">
        <v>-6.3151646039603957</v>
      </c>
      <c r="BJ145">
        <v>-6.3340754950495048</v>
      </c>
      <c r="BK145">
        <v>-6.352986386138614</v>
      </c>
      <c r="BL145">
        <v>-6.3718972772277223</v>
      </c>
      <c r="BM145">
        <v>-6.3908081683168314</v>
      </c>
      <c r="BN145">
        <v>-6.4097190594059406</v>
      </c>
      <c r="BO145">
        <v>-6.4286299504950497</v>
      </c>
      <c r="BP145">
        <v>-6.4475408415841589</v>
      </c>
      <c r="BQ145">
        <v>-6.466451732673268</v>
      </c>
      <c r="BR145">
        <v>-6.4853626237623763</v>
      </c>
      <c r="BS145">
        <v>-6.5040235439900869</v>
      </c>
      <c r="BT145">
        <v>-6.5223630731102853</v>
      </c>
      <c r="BU145">
        <v>-6.5407026022304837</v>
      </c>
      <c r="BV145">
        <v>-6.5590421313506821</v>
      </c>
      <c r="BW145">
        <v>-6.5773816604708797</v>
      </c>
      <c r="BX145">
        <v>-6.5957211895910781</v>
      </c>
      <c r="BY145">
        <v>-6.6140607187112765</v>
      </c>
      <c r="BZ145">
        <v>-6.632400247831475</v>
      </c>
      <c r="CA145">
        <v>-6.6507397769516725</v>
      </c>
      <c r="CB145">
        <v>-6.6690793060718709</v>
      </c>
      <c r="CC145">
        <v>-6.6871336633663363</v>
      </c>
      <c r="CD145">
        <v>-6.7046584158415845</v>
      </c>
      <c r="CE145">
        <v>-6.7221831683168318</v>
      </c>
      <c r="CF145">
        <v>-6.7397079207920791</v>
      </c>
      <c r="CG145">
        <v>-6.7572326732673265</v>
      </c>
      <c r="CH145">
        <v>-6.7747574257425738</v>
      </c>
      <c r="CI145">
        <v>-6.7922821782178211</v>
      </c>
      <c r="CJ145">
        <v>-6.8098069306930693</v>
      </c>
      <c r="CK145">
        <v>-6.8273316831683166</v>
      </c>
      <c r="CL145">
        <v>-6.8448564356435639</v>
      </c>
    </row>
    <row r="146" spans="1:90" ht="21.75" thickBot="1" x14ac:dyDescent="0.4">
      <c r="A146" s="18" t="s">
        <v>7</v>
      </c>
      <c r="B146" s="38">
        <v>-22.522574257425745</v>
      </c>
      <c r="C146" s="38">
        <v>-22.126881188118812</v>
      </c>
      <c r="D146" s="38">
        <v>-21.798168316831681</v>
      </c>
      <c r="E146" s="38">
        <v>-21.480346534653464</v>
      </c>
      <c r="F146">
        <v>-21.325891089108911</v>
      </c>
      <c r="G146">
        <v>-21.171435643564358</v>
      </c>
      <c r="H146">
        <v>-21.093613861386139</v>
      </c>
      <c r="I146">
        <v>-21.081732673267329</v>
      </c>
      <c r="J146">
        <v>-21.071101485148514</v>
      </c>
      <c r="K146">
        <v>-21.159220297029705</v>
      </c>
      <c r="L146">
        <v>-21.247339108910893</v>
      </c>
      <c r="M146">
        <v>-21.335457920792081</v>
      </c>
      <c r="N146">
        <v>-21.423576732673268</v>
      </c>
      <c r="O146">
        <v>-21.511695544554456</v>
      </c>
      <c r="P146">
        <v>-21.599814356435644</v>
      </c>
      <c r="Q146">
        <v>-21.687933168316832</v>
      </c>
      <c r="R146">
        <v>-21.776051980198019</v>
      </c>
      <c r="S146">
        <v>-21.864170792079207</v>
      </c>
      <c r="T146">
        <v>-21.952289603960399</v>
      </c>
      <c r="U146">
        <v>-22.028663366336634</v>
      </c>
      <c r="V146">
        <v>-22.103910891089107</v>
      </c>
      <c r="W146">
        <v>-22.177623762376236</v>
      </c>
      <c r="X146">
        <v>-22.248910891089107</v>
      </c>
      <c r="Y146">
        <v>-22.320198019801978</v>
      </c>
      <c r="Z146">
        <v>-22.398656716417911</v>
      </c>
      <c r="AA146">
        <v>-22.478258706467663</v>
      </c>
      <c r="AB146">
        <v>-22.561881188118814</v>
      </c>
      <c r="AC146">
        <v>-22.652970297029704</v>
      </c>
      <c r="AD146">
        <v>-22.744059405940597</v>
      </c>
      <c r="AE146">
        <v>-22.848217821782178</v>
      </c>
      <c r="AF146">
        <v>-22.955148514851487</v>
      </c>
      <c r="AG146">
        <v>-23.063267326732674</v>
      </c>
      <c r="AH146">
        <v>-23.174158415841585</v>
      </c>
      <c r="AI146">
        <v>-23.285049504950493</v>
      </c>
      <c r="AJ146">
        <v>-23.399009900990098</v>
      </c>
      <c r="AK146">
        <v>-23.513861386138615</v>
      </c>
      <c r="AL146">
        <v>-23.628712871287131</v>
      </c>
      <c r="AM146">
        <v>-23.743564356435645</v>
      </c>
      <c r="AN146">
        <v>-23.858415841584158</v>
      </c>
      <c r="AO146">
        <v>-23.970396039603962</v>
      </c>
      <c r="AP146">
        <v>-24.081287128712873</v>
      </c>
      <c r="AQ146">
        <v>-24.192970297029706</v>
      </c>
      <c r="AR146">
        <v>-24.30782178217822</v>
      </c>
      <c r="AS146">
        <v>-24.422673267326733</v>
      </c>
      <c r="AT146">
        <v>-24.534851485148515</v>
      </c>
      <c r="AU146">
        <v>-24.645742574257426</v>
      </c>
      <c r="AV146">
        <v>-24.756633663366337</v>
      </c>
      <c r="AW146">
        <v>-24.867524752475248</v>
      </c>
      <c r="AX146">
        <v>-24.978415841584159</v>
      </c>
      <c r="AY146">
        <v>-25.087534076827758</v>
      </c>
      <c r="AZ146">
        <v>-25.195588599752167</v>
      </c>
      <c r="BA146">
        <v>-25.303643122676579</v>
      </c>
      <c r="BB146">
        <v>-25.411697645600992</v>
      </c>
      <c r="BC146">
        <v>-25.5197521685254</v>
      </c>
      <c r="BD146">
        <v>-25.627806691449813</v>
      </c>
      <c r="BE146">
        <v>-25.735861214374225</v>
      </c>
      <c r="BF146">
        <v>-25.843915737298637</v>
      </c>
      <c r="BG146">
        <v>-25.951970260223046</v>
      </c>
      <c r="BH146">
        <v>-26.060024783147458</v>
      </c>
      <c r="BI146">
        <v>-26.165878712871287</v>
      </c>
      <c r="BJ146">
        <v>-26.26983910891089</v>
      </c>
      <c r="BK146">
        <v>-26.373799504950494</v>
      </c>
      <c r="BL146">
        <v>-26.477759900990097</v>
      </c>
      <c r="BM146">
        <v>-26.581720297029701</v>
      </c>
      <c r="BN146">
        <v>-26.685680693069308</v>
      </c>
      <c r="BO146">
        <v>-26.789641089108912</v>
      </c>
      <c r="BP146">
        <v>-26.893601485148515</v>
      </c>
      <c r="BQ146">
        <v>-26.997561881188119</v>
      </c>
      <c r="BR146">
        <v>-27.101522277227723</v>
      </c>
      <c r="BS146">
        <v>-27.203370508054523</v>
      </c>
      <c r="BT146">
        <v>-27.302503097893432</v>
      </c>
      <c r="BU146">
        <v>-27.401635687732341</v>
      </c>
      <c r="BV146">
        <v>-27.50076827757125</v>
      </c>
      <c r="BW146">
        <v>-27.59990086741016</v>
      </c>
      <c r="BX146">
        <v>-27.699033457249069</v>
      </c>
      <c r="BY146">
        <v>-27.798166047087982</v>
      </c>
      <c r="BZ146">
        <v>-27.897298636926891</v>
      </c>
      <c r="CA146">
        <v>-27.9964312267658</v>
      </c>
      <c r="CB146">
        <v>-28.095563816604709</v>
      </c>
      <c r="CC146">
        <v>-28.193613861386137</v>
      </c>
      <c r="CD146">
        <v>-28.289653465346536</v>
      </c>
      <c r="CE146">
        <v>-28.385693069306932</v>
      </c>
      <c r="CF146">
        <v>-28.481732673267327</v>
      </c>
      <c r="CG146">
        <v>-28.577772277227723</v>
      </c>
      <c r="CH146">
        <v>-28.673811881188119</v>
      </c>
      <c r="CI146">
        <v>-28.769851485148514</v>
      </c>
      <c r="CJ146">
        <v>-28.86589108910891</v>
      </c>
      <c r="CK146">
        <v>-28.961930693069306</v>
      </c>
      <c r="CL146">
        <v>-29.057970297029701</v>
      </c>
    </row>
    <row r="147" spans="1:90" ht="21.75" thickBot="1" x14ac:dyDescent="0.4">
      <c r="A147" s="18" t="s">
        <v>28</v>
      </c>
      <c r="B147" s="38">
        <v>-18.877657657657657</v>
      </c>
      <c r="C147" s="38">
        <v>-18.875255255255254</v>
      </c>
      <c r="D147" s="38">
        <v>-18.872852852852855</v>
      </c>
      <c r="E147" s="38">
        <v>-18.870450450450452</v>
      </c>
      <c r="F147">
        <v>-18.875838323353292</v>
      </c>
      <c r="G147">
        <v>-18.883023952095808</v>
      </c>
      <c r="H147">
        <v>-18.890209580838324</v>
      </c>
      <c r="I147">
        <v>-18.897395209580836</v>
      </c>
      <c r="J147">
        <v>-18.906107784431136</v>
      </c>
      <c r="K147">
        <v>-18.915688622754491</v>
      </c>
      <c r="L147">
        <v>-18.925269461077846</v>
      </c>
      <c r="M147">
        <v>-18.934850299401198</v>
      </c>
      <c r="N147">
        <v>-18.945538922155688</v>
      </c>
      <c r="O147">
        <v>-18.957514970059879</v>
      </c>
      <c r="P147">
        <v>-18.969491017964071</v>
      </c>
      <c r="Q147">
        <v>-18.981467065868262</v>
      </c>
      <c r="R147">
        <v>-18.993443113772454</v>
      </c>
      <c r="S147">
        <v>-19.005419161676645</v>
      </c>
      <c r="T147">
        <v>-19.017395209580837</v>
      </c>
      <c r="U147">
        <v>-19.029371257485028</v>
      </c>
      <c r="V147">
        <v>-19.040808383233532</v>
      </c>
      <c r="W147">
        <v>-19.047994011976048</v>
      </c>
      <c r="X147">
        <v>-19.055179640718563</v>
      </c>
      <c r="Y147">
        <v>-19.062365269461079</v>
      </c>
      <c r="Z147">
        <v>-19.069550898203595</v>
      </c>
      <c r="AA147">
        <v>-19.045225225225227</v>
      </c>
      <c r="AB147">
        <v>-19.018798798798798</v>
      </c>
      <c r="AC147">
        <v>-18.992372372372373</v>
      </c>
      <c r="AD147">
        <v>-18.965945945945947</v>
      </c>
      <c r="AE147">
        <v>-18.972994011976049</v>
      </c>
      <c r="AF147">
        <v>-18.989760479041916</v>
      </c>
      <c r="AG147">
        <v>-19.006526946107787</v>
      </c>
      <c r="AH147">
        <v>-19.023293413173654</v>
      </c>
      <c r="AI147">
        <v>-19.040059880239522</v>
      </c>
      <c r="AJ147">
        <v>-19.056826347305389</v>
      </c>
      <c r="AK147">
        <v>-19.07359281437126</v>
      </c>
      <c r="AL147">
        <v>-19.090359281437127</v>
      </c>
      <c r="AM147">
        <v>-19.107125748502995</v>
      </c>
      <c r="AN147">
        <v>-19.123892215568866</v>
      </c>
      <c r="AO147">
        <v>-19.140658682634733</v>
      </c>
      <c r="AP147">
        <v>-19.1574251497006</v>
      </c>
      <c r="AQ147">
        <v>-19.174191616766468</v>
      </c>
      <c r="AR147">
        <v>-19.190958083832335</v>
      </c>
      <c r="AS147">
        <v>-19.207724550898202</v>
      </c>
      <c r="AT147">
        <v>-19.22449101796407</v>
      </c>
      <c r="AU147">
        <v>-19.241257485029937</v>
      </c>
      <c r="AV147">
        <v>-19.258023952095808</v>
      </c>
      <c r="AW147">
        <v>-19.274790419161675</v>
      </c>
      <c r="AX147">
        <v>-19.291556886227543</v>
      </c>
      <c r="AY147">
        <v>-19.30832335329341</v>
      </c>
      <c r="AZ147">
        <v>-19.324022471910112</v>
      </c>
      <c r="BA147">
        <v>-19.33960299625468</v>
      </c>
      <c r="BB147">
        <v>-19.355183520599251</v>
      </c>
      <c r="BC147">
        <v>-19.370764044943819</v>
      </c>
      <c r="BD147">
        <v>-19.38634456928839</v>
      </c>
      <c r="BE147">
        <v>-19.401925093632958</v>
      </c>
      <c r="BF147">
        <v>-19.417505617977529</v>
      </c>
      <c r="BG147">
        <v>-19.433086142322097</v>
      </c>
      <c r="BH147">
        <v>-19.448666666666668</v>
      </c>
      <c r="BI147">
        <v>-19.464247191011236</v>
      </c>
      <c r="BJ147">
        <v>-19.479827715355807</v>
      </c>
      <c r="BK147">
        <v>-19.495408239700375</v>
      </c>
      <c r="BL147">
        <v>-19.510988764044942</v>
      </c>
      <c r="BM147">
        <v>-19.526569288389513</v>
      </c>
      <c r="BN147">
        <v>-19.542149812734081</v>
      </c>
      <c r="BO147">
        <v>-19.557730337078652</v>
      </c>
      <c r="BP147">
        <v>-19.573183520599251</v>
      </c>
      <c r="BQ147">
        <v>-19.58816479400749</v>
      </c>
      <c r="BR147">
        <v>-19.603146067415732</v>
      </c>
      <c r="BS147">
        <v>-19.618127340823971</v>
      </c>
      <c r="BT147">
        <v>-19.63310861423221</v>
      </c>
      <c r="BU147">
        <v>-19.648089887640449</v>
      </c>
      <c r="BV147">
        <v>-19.663071161048691</v>
      </c>
      <c r="BW147">
        <v>-19.67805243445693</v>
      </c>
      <c r="BX147">
        <v>-19.693033707865169</v>
      </c>
      <c r="BY147">
        <v>-19.708014981273408</v>
      </c>
      <c r="BZ147">
        <v>-19.722996254681647</v>
      </c>
      <c r="CA147">
        <v>-19.737977528089889</v>
      </c>
      <c r="CB147">
        <v>-19.752958801498128</v>
      </c>
      <c r="CC147">
        <v>-19.767940074906367</v>
      </c>
      <c r="CD147">
        <v>-19.782921348314606</v>
      </c>
      <c r="CE147">
        <v>-19.797902621722848</v>
      </c>
      <c r="CF147">
        <v>-19.812883895131087</v>
      </c>
      <c r="CG147">
        <v>-19.827252252252254</v>
      </c>
      <c r="CH147">
        <v>-19.841066066066066</v>
      </c>
      <c r="CI147">
        <v>-19.854879879879881</v>
      </c>
      <c r="CJ147">
        <v>-19.868693693693693</v>
      </c>
      <c r="CK147">
        <v>-28.733663366336632</v>
      </c>
      <c r="CL147">
        <v>-28.828712871287127</v>
      </c>
    </row>
    <row r="148" spans="1:90" ht="21.75" thickBot="1" x14ac:dyDescent="0.4">
      <c r="A148" s="18" t="s">
        <v>5</v>
      </c>
      <c r="B148" s="38">
        <v>-59.157387387387388</v>
      </c>
      <c r="C148" s="38">
        <v>-57.482912912912909</v>
      </c>
      <c r="D148" s="38">
        <v>-55.808438438438436</v>
      </c>
      <c r="E148" s="38">
        <v>-54.133963963963964</v>
      </c>
      <c r="F148">
        <v>-52.494700598802396</v>
      </c>
      <c r="G148">
        <v>-50.863562874251492</v>
      </c>
      <c r="H148">
        <v>-49.232425149700596</v>
      </c>
      <c r="I148">
        <v>-47.601287425149692</v>
      </c>
      <c r="J148">
        <v>-46.077035928143708</v>
      </c>
      <c r="K148">
        <v>-44.613562874251492</v>
      </c>
      <c r="L148">
        <v>-43.150089820359277</v>
      </c>
      <c r="M148">
        <v>-41.686616766467068</v>
      </c>
      <c r="N148">
        <v>-40.325059880239522</v>
      </c>
      <c r="O148">
        <v>-39.081946107784432</v>
      </c>
      <c r="P148">
        <v>-37.838832335329343</v>
      </c>
      <c r="Q148">
        <v>-36.595718562874254</v>
      </c>
      <c r="R148">
        <v>-35.412514970059881</v>
      </c>
      <c r="S148">
        <v>-34.377784431137727</v>
      </c>
      <c r="T148">
        <v>-33.343053892215572</v>
      </c>
      <c r="U148">
        <v>-32.308323353293417</v>
      </c>
      <c r="V148">
        <v>-31.289491017964075</v>
      </c>
      <c r="W148">
        <v>-30.396077844311378</v>
      </c>
      <c r="X148">
        <v>-29.502664670658685</v>
      </c>
      <c r="Y148">
        <v>-28.609251497005989</v>
      </c>
      <c r="Z148">
        <v>-27.715838323353292</v>
      </c>
      <c r="AA148">
        <v>-27.464054054054053</v>
      </c>
      <c r="AB148">
        <v>-27.255045045045044</v>
      </c>
      <c r="AC148">
        <v>-27.046036036036035</v>
      </c>
      <c r="AD148">
        <v>-26.837027027027027</v>
      </c>
      <c r="AE148">
        <v>-27.03502994011976</v>
      </c>
      <c r="AF148">
        <v>-27.351197604790418</v>
      </c>
      <c r="AG148">
        <v>-27.667365269461076</v>
      </c>
      <c r="AH148">
        <v>-27.983532934131734</v>
      </c>
      <c r="AI148">
        <v>-28.296826347305387</v>
      </c>
      <c r="AJ148">
        <v>-28.60820359281437</v>
      </c>
      <c r="AK148">
        <v>-28.919580838323352</v>
      </c>
      <c r="AL148">
        <v>-29.230958083832334</v>
      </c>
      <c r="AM148">
        <v>-29.540299401197604</v>
      </c>
      <c r="AN148">
        <v>-29.84688622754491</v>
      </c>
      <c r="AO148">
        <v>-30.153473053892217</v>
      </c>
      <c r="AP148">
        <v>-30.460059880239523</v>
      </c>
      <c r="AQ148">
        <v>-30.7648502994012</v>
      </c>
      <c r="AR148">
        <v>-31.064251497005991</v>
      </c>
      <c r="AS148">
        <v>-31.363652694610781</v>
      </c>
      <c r="AT148">
        <v>-31.663053892215572</v>
      </c>
      <c r="AU148">
        <v>-31.961916167664672</v>
      </c>
      <c r="AV148">
        <v>-32.254131736526951</v>
      </c>
      <c r="AW148">
        <v>-32.546347305389219</v>
      </c>
      <c r="AX148">
        <v>-32.838562874251494</v>
      </c>
      <c r="AY148">
        <v>-33.130778443113769</v>
      </c>
      <c r="AZ148">
        <v>-33.403235955056175</v>
      </c>
      <c r="BA148">
        <v>-33.673498127340821</v>
      </c>
      <c r="BB148">
        <v>-33.943760299625467</v>
      </c>
      <c r="BC148">
        <v>-34.214022471910113</v>
      </c>
      <c r="BD148">
        <v>-34.484284644194759</v>
      </c>
      <c r="BE148">
        <v>-34.754546816479397</v>
      </c>
      <c r="BF148">
        <v>-35.024808988764043</v>
      </c>
      <c r="BG148">
        <v>-35.295071161048689</v>
      </c>
      <c r="BH148">
        <v>-35.565333333333335</v>
      </c>
      <c r="BI148">
        <v>-35.835595505617981</v>
      </c>
      <c r="BJ148">
        <v>-36.10585767790262</v>
      </c>
      <c r="BK148">
        <v>-36.376119850187266</v>
      </c>
      <c r="BL148">
        <v>-36.646382022471911</v>
      </c>
      <c r="BM148">
        <v>-36.916644194756557</v>
      </c>
      <c r="BN148">
        <v>-37.186906367041203</v>
      </c>
      <c r="BO148">
        <v>-37.457168539325849</v>
      </c>
      <c r="BP148">
        <v>-37.717880149812736</v>
      </c>
      <c r="BQ148">
        <v>-37.943198501872665</v>
      </c>
      <c r="BR148">
        <v>-38.168516853932587</v>
      </c>
      <c r="BS148">
        <v>-38.393835205992509</v>
      </c>
      <c r="BT148">
        <v>-38.619153558052439</v>
      </c>
      <c r="BU148">
        <v>-38.844471910112361</v>
      </c>
      <c r="BV148">
        <v>-39.06979026217229</v>
      </c>
      <c r="BW148">
        <v>-39.295108614232213</v>
      </c>
      <c r="BX148">
        <v>-39.520426966292135</v>
      </c>
      <c r="BY148">
        <v>-39.745745318352064</v>
      </c>
      <c r="BZ148">
        <v>-39.971063670411986</v>
      </c>
      <c r="CA148">
        <v>-40.196382022471909</v>
      </c>
      <c r="CB148">
        <v>-40.421700374531838</v>
      </c>
      <c r="CC148">
        <v>-40.64701872659176</v>
      </c>
      <c r="CD148">
        <v>-40.87233707865169</v>
      </c>
      <c r="CE148">
        <v>-41.097655430711612</v>
      </c>
      <c r="CF148">
        <v>-41.322973782771534</v>
      </c>
      <c r="CG148">
        <v>-41.521441441441439</v>
      </c>
      <c r="CH148">
        <v>-41.695615615615615</v>
      </c>
      <c r="CI148">
        <v>-41.869789789789792</v>
      </c>
      <c r="CJ148">
        <v>-42.043963963963961</v>
      </c>
      <c r="CK148">
        <v>-28.733663366336632</v>
      </c>
      <c r="CL148">
        <v>-28.828712871287127</v>
      </c>
    </row>
    <row r="149" spans="1:90" ht="21.75" thickBot="1" x14ac:dyDescent="0.4">
      <c r="A149" s="18" t="s">
        <v>6</v>
      </c>
      <c r="B149" s="38">
        <v>-15.512792792792792</v>
      </c>
      <c r="C149" s="38">
        <v>-15.013093093093092</v>
      </c>
      <c r="D149" s="38">
        <v>-14.513393393393393</v>
      </c>
      <c r="E149" s="38">
        <v>-14.013693693693693</v>
      </c>
      <c r="F149">
        <v>-13.456826347305389</v>
      </c>
      <c r="G149">
        <v>-12.886766467065867</v>
      </c>
      <c r="H149">
        <v>-12.316706586826346</v>
      </c>
      <c r="I149">
        <v>-11.746646706586823</v>
      </c>
      <c r="J149">
        <v>-11.204988023952094</v>
      </c>
      <c r="K149">
        <v>-10.679479041916167</v>
      </c>
      <c r="L149">
        <v>-10.153970059880239</v>
      </c>
      <c r="M149">
        <v>-9.628461077844312</v>
      </c>
      <c r="N149">
        <v>-9.1539101796407198</v>
      </c>
      <c r="O149">
        <v>-8.7385808383233528</v>
      </c>
      <c r="P149">
        <v>-8.3232514970059874</v>
      </c>
      <c r="Q149">
        <v>-7.9079221556886221</v>
      </c>
      <c r="R149">
        <v>-7.5390748502994009</v>
      </c>
      <c r="S149">
        <v>-7.2854221556886225</v>
      </c>
      <c r="T149">
        <v>-7.031769461077845</v>
      </c>
      <c r="U149">
        <v>-6.7781167664670665</v>
      </c>
      <c r="V149">
        <v>-6.5428413173652693</v>
      </c>
      <c r="W149">
        <v>-6.4525419161676645</v>
      </c>
      <c r="X149">
        <v>-6.3622425149700597</v>
      </c>
      <c r="Y149">
        <v>-6.2719431137724548</v>
      </c>
      <c r="Z149">
        <v>-6.18164371257485</v>
      </c>
      <c r="AA149">
        <v>-6.3239729729729737</v>
      </c>
      <c r="AB149">
        <v>-6.4818108108108117</v>
      </c>
      <c r="AC149">
        <v>-6.6396486486486497</v>
      </c>
      <c r="AD149">
        <v>-6.7974864864864877</v>
      </c>
      <c r="AE149">
        <v>-6.8348562874251497</v>
      </c>
      <c r="AF149">
        <v>-6.8372514970059886</v>
      </c>
      <c r="AG149">
        <v>-6.8396467065868265</v>
      </c>
      <c r="AH149">
        <v>-6.8420419161676644</v>
      </c>
      <c r="AI149">
        <v>-6.8517664670658682</v>
      </c>
      <c r="AJ149">
        <v>-6.866377245508982</v>
      </c>
      <c r="AK149">
        <v>-6.8809880239520957</v>
      </c>
      <c r="AL149">
        <v>-6.8955988023952095</v>
      </c>
      <c r="AM149">
        <v>-6.911838323353293</v>
      </c>
      <c r="AN149">
        <v>-6.930281437125748</v>
      </c>
      <c r="AO149">
        <v>-6.9487245508982038</v>
      </c>
      <c r="AP149">
        <v>-6.9671676646706588</v>
      </c>
      <c r="AQ149">
        <v>-6.9858502994011973</v>
      </c>
      <c r="AR149">
        <v>-7.0052514970059878</v>
      </c>
      <c r="AS149">
        <v>-7.0246526946107783</v>
      </c>
      <c r="AT149">
        <v>-7.0440538922155689</v>
      </c>
      <c r="AU149">
        <v>-7.0634550898203594</v>
      </c>
      <c r="AV149">
        <v>-7.0828562874251499</v>
      </c>
      <c r="AW149">
        <v>-7.1022574850299405</v>
      </c>
      <c r="AX149">
        <v>-7.1216586826347301</v>
      </c>
      <c r="AY149">
        <v>-7.1410598802395207</v>
      </c>
      <c r="AZ149">
        <v>-7.1602584269662923</v>
      </c>
      <c r="BA149">
        <v>-7.1794344569288393</v>
      </c>
      <c r="BB149">
        <v>-7.1986104868913854</v>
      </c>
      <c r="BC149">
        <v>-7.2177865168539324</v>
      </c>
      <c r="BD149">
        <v>-7.2369625468164793</v>
      </c>
      <c r="BE149">
        <v>-7.2561385767790263</v>
      </c>
      <c r="BF149">
        <v>-7.2753146067415733</v>
      </c>
      <c r="BG149">
        <v>-7.2944906367041202</v>
      </c>
      <c r="BH149">
        <v>-7.3136666666666663</v>
      </c>
      <c r="BI149">
        <v>-7.3328426966292133</v>
      </c>
      <c r="BJ149">
        <v>-7.3520187265917603</v>
      </c>
      <c r="BK149">
        <v>-7.3711947565543072</v>
      </c>
      <c r="BL149">
        <v>-7.3903707865168542</v>
      </c>
      <c r="BM149">
        <v>-7.4095468164794012</v>
      </c>
      <c r="BN149">
        <v>-7.4287228464419481</v>
      </c>
      <c r="BO149">
        <v>-7.4478988764044942</v>
      </c>
      <c r="BP149">
        <v>-7.4668456928838953</v>
      </c>
      <c r="BQ149">
        <v>-7.484943071161049</v>
      </c>
      <c r="BR149">
        <v>-7.5030404494382026</v>
      </c>
      <c r="BS149">
        <v>-7.5211378277153562</v>
      </c>
      <c r="BT149">
        <v>-7.5392352059925098</v>
      </c>
      <c r="BU149">
        <v>-7.5573325842696626</v>
      </c>
      <c r="BV149">
        <v>-7.5754299625468162</v>
      </c>
      <c r="BW149">
        <v>-7.5935273408239699</v>
      </c>
      <c r="BX149">
        <v>-7.6116247191011235</v>
      </c>
      <c r="BY149">
        <v>-7.6297220973782771</v>
      </c>
      <c r="BZ149">
        <v>-7.6478194756554307</v>
      </c>
      <c r="CA149">
        <v>-7.6659168539325844</v>
      </c>
      <c r="CB149">
        <v>-7.684014232209738</v>
      </c>
      <c r="CC149">
        <v>-7.7021116104868916</v>
      </c>
      <c r="CD149">
        <v>-7.7202089887640444</v>
      </c>
      <c r="CE149">
        <v>-7.738306367041198</v>
      </c>
      <c r="CF149">
        <v>-7.7564037453183516</v>
      </c>
      <c r="CG149">
        <v>-7.7739234234234234</v>
      </c>
      <c r="CH149">
        <v>-7.7909204204204201</v>
      </c>
      <c r="CI149">
        <v>-7.8079174174174168</v>
      </c>
      <c r="CJ149">
        <v>-7.8249144144144145</v>
      </c>
      <c r="CK149">
        <v>-28.733663366336632</v>
      </c>
      <c r="CL149">
        <v>-28.828712871287127</v>
      </c>
    </row>
    <row r="150" spans="1:90" ht="21.75" thickBot="1" x14ac:dyDescent="0.4">
      <c r="A150" s="18" t="s">
        <v>7</v>
      </c>
      <c r="B150" s="38">
        <v>-21.943243243243245</v>
      </c>
      <c r="C150" s="38">
        <v>-21.741441441441442</v>
      </c>
      <c r="D150" s="38">
        <v>-21.539639639639642</v>
      </c>
      <c r="E150" s="38">
        <v>-21.337837837837839</v>
      </c>
      <c r="F150">
        <v>-21.317514970059882</v>
      </c>
      <c r="G150">
        <v>-21.339071856287426</v>
      </c>
      <c r="H150">
        <v>-21.360628742514972</v>
      </c>
      <c r="I150">
        <v>-21.382185628742516</v>
      </c>
      <c r="J150">
        <v>-21.452604790419162</v>
      </c>
      <c r="K150">
        <v>-21.550808383233534</v>
      </c>
      <c r="L150">
        <v>-21.649011976047905</v>
      </c>
      <c r="M150">
        <v>-21.747215568862277</v>
      </c>
      <c r="N150">
        <v>-21.843203592814373</v>
      </c>
      <c r="O150">
        <v>-21.936616766467068</v>
      </c>
      <c r="P150">
        <v>-22.030029940119761</v>
      </c>
      <c r="Q150">
        <v>-22.123443113772456</v>
      </c>
      <c r="R150">
        <v>-22.209970059880241</v>
      </c>
      <c r="S150">
        <v>-22.279431137724551</v>
      </c>
      <c r="T150">
        <v>-22.348892215568863</v>
      </c>
      <c r="U150">
        <v>-22.418353293413173</v>
      </c>
      <c r="V150">
        <v>-22.488353293413173</v>
      </c>
      <c r="W150">
        <v>-22.562604790419162</v>
      </c>
      <c r="X150">
        <v>-22.63685628742515</v>
      </c>
      <c r="Y150">
        <v>-22.711107784431139</v>
      </c>
      <c r="Z150">
        <v>-22.785359281437124</v>
      </c>
      <c r="AA150">
        <v>-22.846306306306307</v>
      </c>
      <c r="AB150">
        <v>-22.906366366366367</v>
      </c>
      <c r="AC150">
        <v>-22.966426426426427</v>
      </c>
      <c r="AD150">
        <v>-23.026486486486487</v>
      </c>
      <c r="AE150">
        <v>-23.130958083832336</v>
      </c>
      <c r="AF150">
        <v>-23.248323353293415</v>
      </c>
      <c r="AG150">
        <v>-23.36568862275449</v>
      </c>
      <c r="AH150">
        <v>-23.483053892215569</v>
      </c>
      <c r="AI150">
        <v>-23.60185628742515</v>
      </c>
      <c r="AJ150">
        <v>-23.721616766467065</v>
      </c>
      <c r="AK150">
        <v>-23.841377245508983</v>
      </c>
      <c r="AL150">
        <v>-23.961137724550898</v>
      </c>
      <c r="AM150">
        <v>-24.078862275449104</v>
      </c>
      <c r="AN150">
        <v>-24.193832335329343</v>
      </c>
      <c r="AO150">
        <v>-24.308802395209582</v>
      </c>
      <c r="AP150">
        <v>-24.423772455089821</v>
      </c>
      <c r="AQ150">
        <v>-24.53874251497006</v>
      </c>
      <c r="AR150">
        <v>-24.653712574850299</v>
      </c>
      <c r="AS150">
        <v>-24.768682634730538</v>
      </c>
      <c r="AT150">
        <v>-24.883652694610777</v>
      </c>
      <c r="AU150">
        <v>-24.998622754491016</v>
      </c>
      <c r="AV150">
        <v>-25.113592814371255</v>
      </c>
      <c r="AW150">
        <v>-25.228562874251494</v>
      </c>
      <c r="AX150">
        <v>-25.343532934131737</v>
      </c>
      <c r="AY150">
        <v>-25.458502994011976</v>
      </c>
      <c r="AZ150">
        <v>-25.567617977528091</v>
      </c>
      <c r="BA150">
        <v>-25.676082397003746</v>
      </c>
      <c r="BB150">
        <v>-25.784546816479402</v>
      </c>
      <c r="BC150">
        <v>-25.893011235955058</v>
      </c>
      <c r="BD150">
        <v>-26.001475655430713</v>
      </c>
      <c r="BE150">
        <v>-26.109940074906369</v>
      </c>
      <c r="BF150">
        <v>-26.218404494382021</v>
      </c>
      <c r="BG150">
        <v>-26.326868913857677</v>
      </c>
      <c r="BH150">
        <v>-26.435333333333332</v>
      </c>
      <c r="BI150">
        <v>-26.543797752808988</v>
      </c>
      <c r="BJ150">
        <v>-26.652262172284644</v>
      </c>
      <c r="BK150">
        <v>-26.760726591760299</v>
      </c>
      <c r="BL150">
        <v>-26.869191011235955</v>
      </c>
      <c r="BM150">
        <v>-26.977655430711611</v>
      </c>
      <c r="BN150">
        <v>-27.086119850187266</v>
      </c>
      <c r="BO150">
        <v>-27.194584269662922</v>
      </c>
      <c r="BP150">
        <v>-27.301902621722849</v>
      </c>
      <c r="BQ150">
        <v>-27.404973782771538</v>
      </c>
      <c r="BR150">
        <v>-27.508044943820227</v>
      </c>
      <c r="BS150">
        <v>-27.611116104868916</v>
      </c>
      <c r="BT150">
        <v>-27.714187265917605</v>
      </c>
      <c r="BU150">
        <v>-27.817258426966294</v>
      </c>
      <c r="BV150">
        <v>-27.920329588014983</v>
      </c>
      <c r="BW150">
        <v>-28.023400749063672</v>
      </c>
      <c r="BX150">
        <v>-28.126471910112361</v>
      </c>
      <c r="BY150">
        <v>-28.22954307116105</v>
      </c>
      <c r="BZ150">
        <v>-28.332614232209739</v>
      </c>
      <c r="CA150">
        <v>-28.435685393258428</v>
      </c>
      <c r="CB150">
        <v>-28.538756554307117</v>
      </c>
      <c r="CC150">
        <v>-28.641827715355806</v>
      </c>
      <c r="CD150">
        <v>-28.744898876404495</v>
      </c>
      <c r="CE150">
        <v>-28.847970037453184</v>
      </c>
      <c r="CF150">
        <v>-28.951041198501873</v>
      </c>
      <c r="CG150">
        <v>-29.051396396396395</v>
      </c>
      <c r="CH150">
        <v>-29.149294294294293</v>
      </c>
      <c r="CI150">
        <v>-29.247192192192191</v>
      </c>
      <c r="CJ150">
        <v>-29.345090090090089</v>
      </c>
      <c r="CK150">
        <v>-7.3468118811881187</v>
      </c>
      <c r="CL150">
        <v>-7.3646336633663365</v>
      </c>
    </row>
    <row r="151" spans="1:90" ht="21.75" thickBot="1" x14ac:dyDescent="0.4">
      <c r="A151" s="18"/>
    </row>
    <row r="152" spans="1:90" ht="21.75" thickBot="1" x14ac:dyDescent="0.4">
      <c r="A152" s="18"/>
    </row>
    <row r="153" spans="1:90" ht="21.75" thickBot="1" x14ac:dyDescent="0.4">
      <c r="A153" s="18"/>
    </row>
    <row r="154" spans="1:90" ht="21.75" thickBot="1" x14ac:dyDescent="0.4">
      <c r="A154" s="18"/>
    </row>
    <row r="155" spans="1:90" ht="21.75" thickBot="1" x14ac:dyDescent="0.4">
      <c r="A155" s="18"/>
    </row>
    <row r="156" spans="1:90" ht="21.75" thickBot="1" x14ac:dyDescent="0.4">
      <c r="A156" s="18"/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95</xdr:col>
                    <xdr:colOff>676275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F27" sqref="F27"/>
    </sheetView>
  </sheetViews>
  <sheetFormatPr defaultRowHeight="21" x14ac:dyDescent="0.35"/>
  <cols>
    <col min="1" max="1" width="4.81640625" customWidth="1"/>
  </cols>
  <sheetData>
    <row r="1" spans="1:12" ht="28.5" x14ac:dyDescent="0.45">
      <c r="A1" s="45">
        <v>0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</row>
    <row r="2" spans="1:12" ht="21.75" customHeight="1" x14ac:dyDescent="0.35">
      <c r="A2" s="46" t="s">
        <v>32</v>
      </c>
      <c r="B2" s="58"/>
      <c r="C2" s="56"/>
      <c r="D2" s="56"/>
      <c r="E2" s="56"/>
      <c r="F2" s="56"/>
      <c r="G2" s="56"/>
      <c r="H2" s="56"/>
      <c r="I2" s="56"/>
      <c r="J2" s="56"/>
      <c r="K2" s="56"/>
      <c r="L2" s="56"/>
    </row>
    <row r="3" spans="1:12" x14ac:dyDescent="0.35">
      <c r="B3" s="57"/>
      <c r="C3" s="56"/>
      <c r="D3" s="56"/>
      <c r="E3" s="56"/>
      <c r="F3" s="57"/>
      <c r="G3" s="56"/>
      <c r="H3" s="56"/>
      <c r="I3" s="56"/>
      <c r="J3" s="57"/>
      <c r="K3" s="56"/>
      <c r="L3" s="56"/>
    </row>
    <row r="4" spans="1:12" x14ac:dyDescent="0.35">
      <c r="B4" s="58"/>
      <c r="C4" s="56"/>
      <c r="D4" s="56"/>
      <c r="E4" s="56"/>
      <c r="F4" s="56"/>
      <c r="G4" s="56"/>
      <c r="H4" s="56"/>
      <c r="I4" s="56"/>
      <c r="J4" s="56"/>
      <c r="K4" s="56"/>
      <c r="L4" s="56"/>
    </row>
    <row r="5" spans="1:12" x14ac:dyDescent="0.35">
      <c r="B5" s="57"/>
      <c r="C5" s="56"/>
      <c r="D5" s="56"/>
      <c r="E5" s="56"/>
      <c r="F5" s="57"/>
      <c r="G5" s="56"/>
      <c r="H5" s="56"/>
      <c r="I5" s="56"/>
      <c r="J5" s="57"/>
      <c r="K5" s="56"/>
      <c r="L5" s="56"/>
    </row>
    <row r="6" spans="1:12" x14ac:dyDescent="0.35">
      <c r="B6" s="58"/>
      <c r="C6" s="56"/>
      <c r="D6" s="56"/>
      <c r="E6" s="56"/>
      <c r="F6" s="56"/>
      <c r="G6" s="56"/>
      <c r="H6" s="56"/>
      <c r="I6" s="56"/>
      <c r="J6" s="56"/>
      <c r="K6" s="56"/>
      <c r="L6" s="56"/>
    </row>
    <row r="7" spans="1:12" x14ac:dyDescent="0.35">
      <c r="B7" s="57"/>
      <c r="C7" s="56"/>
      <c r="D7" s="56"/>
      <c r="E7" s="56"/>
      <c r="F7" s="56"/>
      <c r="G7" s="56"/>
      <c r="H7" s="56"/>
      <c r="I7" s="56"/>
      <c r="J7" s="57"/>
      <c r="K7" s="56"/>
      <c r="L7" s="56"/>
    </row>
    <row r="8" spans="1:12" x14ac:dyDescent="0.35">
      <c r="B8" s="58"/>
      <c r="C8" s="56"/>
      <c r="D8" s="56"/>
      <c r="E8" s="56"/>
      <c r="F8" s="56"/>
      <c r="G8" s="56"/>
      <c r="H8" s="56"/>
      <c r="I8" s="56"/>
      <c r="J8" s="56"/>
      <c r="K8" s="56"/>
      <c r="L8" s="56"/>
    </row>
    <row r="9" spans="1:12" x14ac:dyDescent="0.35">
      <c r="B9" s="58"/>
      <c r="C9" s="56"/>
      <c r="D9" s="56"/>
      <c r="E9" s="56"/>
      <c r="F9" s="56"/>
      <c r="G9" s="56"/>
      <c r="H9" s="56"/>
      <c r="I9" s="56"/>
      <c r="J9" s="57"/>
      <c r="K9" s="56"/>
      <c r="L9" s="56"/>
    </row>
    <row r="10" spans="1:12" x14ac:dyDescent="0.35">
      <c r="B10" s="57"/>
      <c r="C10" s="56"/>
      <c r="D10" s="56"/>
      <c r="E10" s="56"/>
      <c r="F10" s="56"/>
      <c r="G10" s="56"/>
      <c r="H10" s="56"/>
      <c r="I10" s="56"/>
      <c r="J10" s="56"/>
      <c r="K10" s="56"/>
      <c r="L10" s="56"/>
    </row>
    <row r="11" spans="1:12" x14ac:dyDescent="0.35">
      <c r="B11" s="58"/>
      <c r="C11" s="56"/>
      <c r="D11" s="56"/>
      <c r="E11" s="56"/>
      <c r="F11" s="56"/>
      <c r="G11" s="56"/>
      <c r="H11" s="56"/>
      <c r="I11" s="56"/>
      <c r="J11" s="57"/>
      <c r="K11" s="56"/>
      <c r="L11" s="56"/>
    </row>
    <row r="12" spans="1:12" x14ac:dyDescent="0.35">
      <c r="B12" s="57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2" x14ac:dyDescent="0.35">
      <c r="B13" s="58"/>
      <c r="C13" s="56"/>
      <c r="D13" s="56"/>
      <c r="E13" s="56"/>
      <c r="F13" s="57"/>
      <c r="G13" s="56"/>
      <c r="H13" s="56"/>
      <c r="I13" s="56"/>
      <c r="J13" s="57"/>
      <c r="K13" s="56"/>
      <c r="L13" s="56"/>
    </row>
    <row r="14" spans="1:12" x14ac:dyDescent="0.35">
      <c r="B14" s="57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2" x14ac:dyDescent="0.35">
      <c r="B15" s="58"/>
      <c r="C15" s="56"/>
      <c r="D15" s="56"/>
      <c r="E15" s="56"/>
      <c r="F15" s="56"/>
      <c r="G15" s="56"/>
      <c r="H15" s="56"/>
      <c r="I15" s="56"/>
      <c r="J15" s="57"/>
      <c r="K15" s="56"/>
      <c r="L15" s="56"/>
    </row>
    <row r="16" spans="1:12" x14ac:dyDescent="0.35">
      <c r="B16" s="58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35">
      <c r="B17" s="57"/>
      <c r="C17" s="56"/>
      <c r="D17" s="56"/>
      <c r="E17" s="56"/>
      <c r="F17" s="57"/>
      <c r="G17" s="56"/>
      <c r="H17" s="56"/>
      <c r="I17" s="56"/>
      <c r="J17" s="57"/>
      <c r="K17" s="56"/>
      <c r="L17" s="56"/>
    </row>
    <row r="18" spans="1:12" x14ac:dyDescent="0.35">
      <c r="B18" s="58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35">
      <c r="B19" s="58"/>
      <c r="C19" s="56"/>
      <c r="D19" s="56"/>
      <c r="E19" s="56"/>
      <c r="F19" s="57"/>
      <c r="G19" s="56"/>
      <c r="H19" s="56"/>
      <c r="I19" s="56"/>
      <c r="J19" s="57"/>
      <c r="K19" s="56"/>
      <c r="L19" s="56"/>
    </row>
    <row r="20" spans="1:12" x14ac:dyDescent="0.35">
      <c r="B20" s="57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2" spans="1:12" x14ac:dyDescent="0.35">
      <c r="A22" t="e">
        <f>$A$1:$AZ$21</f>
        <v>#VALUE!</v>
      </c>
    </row>
  </sheetData>
  <conditionalFormatting sqref="A1:Z1 A21 A2:L20">
    <cfRule type="expression" dxfId="3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E01E8-97AE-4F26-AE61-1703C60F7028}">
  <dimension ref="A1:Y20"/>
  <sheetViews>
    <sheetView zoomScale="115" zoomScaleNormal="115" workbookViewId="0">
      <selection activeCell="D23" sqref="D23"/>
    </sheetView>
  </sheetViews>
  <sheetFormatPr defaultRowHeight="21" x14ac:dyDescent="0.35"/>
  <sheetData>
    <row r="1" spans="1:25" x14ac:dyDescent="0.35">
      <c r="A1" s="90" t="s">
        <v>65</v>
      </c>
      <c r="B1" s="91">
        <v>273.10000000000002</v>
      </c>
      <c r="C1" s="91">
        <v>293.3</v>
      </c>
      <c r="D1" s="91">
        <v>313.5</v>
      </c>
      <c r="E1" s="91">
        <v>333.7</v>
      </c>
      <c r="F1" s="91">
        <v>353.9</v>
      </c>
      <c r="G1" s="91">
        <v>434.7</v>
      </c>
      <c r="H1" s="91">
        <v>454.9</v>
      </c>
      <c r="I1" s="91">
        <v>475.1</v>
      </c>
      <c r="J1" s="91">
        <v>495.2</v>
      </c>
      <c r="K1" s="91">
        <v>515.4</v>
      </c>
      <c r="L1" s="91">
        <v>535.6</v>
      </c>
      <c r="M1" s="91">
        <v>555.79999999999995</v>
      </c>
      <c r="N1" s="92">
        <v>576</v>
      </c>
      <c r="O1" s="91">
        <v>596.20000000000005</v>
      </c>
      <c r="P1" s="91">
        <v>616.4</v>
      </c>
      <c r="Q1" s="91">
        <v>636.6</v>
      </c>
      <c r="R1" s="91">
        <v>656.8</v>
      </c>
      <c r="S1" s="92">
        <v>677</v>
      </c>
      <c r="T1" s="91">
        <v>757.7</v>
      </c>
      <c r="U1" s="91">
        <v>838.5</v>
      </c>
      <c r="V1" s="91">
        <v>919.2</v>
      </c>
      <c r="W1" s="91">
        <v>838.5</v>
      </c>
      <c r="X1" s="91">
        <v>919.2</v>
      </c>
      <c r="Y1" s="91">
        <v>1000</v>
      </c>
    </row>
    <row r="2" spans="1:25" x14ac:dyDescent="0.35">
      <c r="A2" s="93" t="s">
        <v>37</v>
      </c>
      <c r="B2" s="96">
        <v>0</v>
      </c>
      <c r="C2" s="97">
        <v>2.8227000000000001E-35</v>
      </c>
      <c r="D2" s="97">
        <v>2.6125000000000001E-26</v>
      </c>
      <c r="E2" s="98">
        <v>6.3016000000000003E-22</v>
      </c>
      <c r="F2" s="99">
        <v>4.6219999999999997E-20</v>
      </c>
      <c r="G2" s="99">
        <v>1.0271E-13</v>
      </c>
      <c r="H2" s="98">
        <v>4.2760999999999998E-10</v>
      </c>
      <c r="I2" s="99">
        <v>6.7368999999999998E-9</v>
      </c>
      <c r="J2" s="99">
        <v>1.3224E-8</v>
      </c>
      <c r="K2" s="96">
        <v>1.4313000000000001E-8</v>
      </c>
      <c r="L2" s="97">
        <v>1.6196000000000002E-8</v>
      </c>
      <c r="M2" s="97">
        <v>1.8801999999999999E-8</v>
      </c>
      <c r="N2" s="98">
        <v>2.7488999999999999E-8</v>
      </c>
      <c r="O2" s="99">
        <v>1.9198999999999999E-8</v>
      </c>
      <c r="P2" s="99">
        <v>1.9329999999999998E-8</v>
      </c>
      <c r="Q2" s="98">
        <v>3.0685E-8</v>
      </c>
      <c r="R2" s="99">
        <v>2.9145000000000001E-8</v>
      </c>
      <c r="S2" s="99">
        <v>2.9124E-8</v>
      </c>
      <c r="T2" s="98">
        <v>2.8829E-8</v>
      </c>
      <c r="U2" s="99">
        <v>2.0467000000000001E-8</v>
      </c>
      <c r="V2" s="99">
        <v>2.5906E-8</v>
      </c>
      <c r="W2" s="98">
        <v>2.0467000000000001E-8</v>
      </c>
      <c r="X2" s="99">
        <v>2.5906E-8</v>
      </c>
      <c r="Y2" s="99">
        <v>2.4614999999999999E-8</v>
      </c>
    </row>
    <row r="3" spans="1:25" x14ac:dyDescent="0.35">
      <c r="A3" s="94" t="s">
        <v>66</v>
      </c>
      <c r="B3" s="100">
        <v>3.6883999999999998E-9</v>
      </c>
      <c r="C3" s="101">
        <v>1.4574E-9</v>
      </c>
      <c r="D3" s="101">
        <v>2.4654999999999999E-13</v>
      </c>
      <c r="E3" s="100">
        <v>2.5759999999999999E-22</v>
      </c>
      <c r="F3" s="101">
        <v>1.1609000000000001E-36</v>
      </c>
      <c r="G3" s="101">
        <v>0</v>
      </c>
      <c r="H3" s="102">
        <v>0</v>
      </c>
      <c r="I3" s="103">
        <v>0</v>
      </c>
      <c r="J3" s="103">
        <v>0</v>
      </c>
      <c r="K3" s="102">
        <v>0</v>
      </c>
      <c r="L3" s="103">
        <v>0</v>
      </c>
      <c r="M3" s="103">
        <v>0</v>
      </c>
      <c r="N3" s="102">
        <v>0</v>
      </c>
      <c r="O3" s="103">
        <v>0</v>
      </c>
      <c r="P3" s="103">
        <v>0</v>
      </c>
      <c r="Q3" s="102">
        <v>0</v>
      </c>
      <c r="R3" s="103">
        <v>0</v>
      </c>
      <c r="S3" s="103">
        <v>0</v>
      </c>
      <c r="T3" s="102">
        <v>0</v>
      </c>
      <c r="U3" s="103">
        <v>0</v>
      </c>
      <c r="V3" s="103">
        <v>0</v>
      </c>
      <c r="W3" s="102">
        <v>0</v>
      </c>
      <c r="X3" s="103">
        <v>0</v>
      </c>
      <c r="Y3" s="103">
        <v>0</v>
      </c>
    </row>
    <row r="4" spans="1:25" x14ac:dyDescent="0.35">
      <c r="A4" s="94" t="s">
        <v>39</v>
      </c>
      <c r="B4" s="100">
        <v>7.4734000000000003E-10</v>
      </c>
      <c r="C4" s="101">
        <v>6.9597999999999999E-9</v>
      </c>
      <c r="D4" s="101">
        <v>1.3611E-8</v>
      </c>
      <c r="E4" s="100">
        <v>2.2326000000000001E-8</v>
      </c>
      <c r="F4" s="101">
        <v>3.3273999999999997E-8</v>
      </c>
      <c r="G4" s="101">
        <v>1.7159000000000002E-8</v>
      </c>
      <c r="H4" s="100">
        <v>3.6573999999999998E-9</v>
      </c>
      <c r="I4" s="101">
        <v>5.8700000000000002E-13</v>
      </c>
      <c r="J4" s="101">
        <v>2.0051999999999999E-20</v>
      </c>
      <c r="K4" s="102">
        <v>8.5854999999999993E-31</v>
      </c>
      <c r="L4" s="103">
        <v>0</v>
      </c>
      <c r="M4" s="103">
        <v>0</v>
      </c>
      <c r="N4" s="102">
        <v>0</v>
      </c>
      <c r="O4" s="103">
        <v>0</v>
      </c>
      <c r="P4" s="103">
        <v>0</v>
      </c>
      <c r="Q4" s="102">
        <v>0</v>
      </c>
      <c r="R4" s="103">
        <v>0</v>
      </c>
      <c r="S4" s="103">
        <v>0</v>
      </c>
      <c r="T4" s="102">
        <v>0</v>
      </c>
      <c r="U4" s="103">
        <v>0</v>
      </c>
      <c r="V4" s="103">
        <v>0</v>
      </c>
      <c r="W4" s="102">
        <v>0</v>
      </c>
      <c r="X4" s="103">
        <v>0</v>
      </c>
      <c r="Y4" s="103">
        <v>0</v>
      </c>
    </row>
    <row r="5" spans="1:25" x14ac:dyDescent="0.35">
      <c r="A5" s="90" t="s">
        <v>1</v>
      </c>
      <c r="B5" s="102">
        <v>0.2</v>
      </c>
      <c r="C5" s="103">
        <v>0.2</v>
      </c>
      <c r="D5" s="103">
        <v>0.2</v>
      </c>
      <c r="E5" s="102">
        <v>0.2</v>
      </c>
      <c r="F5" s="103">
        <v>0.2</v>
      </c>
      <c r="G5" s="103">
        <v>0.2</v>
      </c>
      <c r="H5" s="102">
        <v>0.2</v>
      </c>
      <c r="I5" s="103">
        <v>0.2</v>
      </c>
      <c r="J5" s="103">
        <v>0.2</v>
      </c>
      <c r="K5" s="102">
        <v>0.2</v>
      </c>
      <c r="L5" s="103">
        <v>0.2</v>
      </c>
      <c r="M5" s="103">
        <v>0.2</v>
      </c>
      <c r="N5" s="102">
        <v>0.2</v>
      </c>
      <c r="O5" s="103">
        <v>0.2</v>
      </c>
      <c r="P5" s="103">
        <v>0.2</v>
      </c>
      <c r="Q5" s="102">
        <v>0.2</v>
      </c>
      <c r="R5" s="103">
        <v>0.2</v>
      </c>
      <c r="S5" s="103">
        <v>0.2</v>
      </c>
      <c r="T5" s="102">
        <v>0.2</v>
      </c>
      <c r="U5" s="103">
        <v>0.2</v>
      </c>
      <c r="V5" s="103">
        <v>0.2</v>
      </c>
      <c r="W5" s="102">
        <v>0.2</v>
      </c>
      <c r="X5" s="103">
        <v>0.2</v>
      </c>
      <c r="Y5" s="103">
        <v>0.2</v>
      </c>
    </row>
    <row r="6" spans="1:25" x14ac:dyDescent="0.35">
      <c r="A6" s="94" t="s">
        <v>67</v>
      </c>
      <c r="B6" s="100">
        <v>0.15739</v>
      </c>
      <c r="C6" s="101">
        <v>0.14849000000000001</v>
      </c>
      <c r="D6" s="101">
        <v>0.12328</v>
      </c>
      <c r="E6" s="100">
        <v>8.0623E-2</v>
      </c>
      <c r="F6" s="101">
        <v>4.0173E-2</v>
      </c>
      <c r="G6" s="101">
        <v>1.2006E-3</v>
      </c>
      <c r="H6" s="100">
        <v>5.2276999999999998E-4</v>
      </c>
      <c r="I6" s="101">
        <v>2.1332999999999999E-4</v>
      </c>
      <c r="J6" s="101">
        <v>7.5371999999999996E-5</v>
      </c>
      <c r="K6" s="100">
        <v>2.2756E-5</v>
      </c>
      <c r="L6" s="101">
        <v>6.2272999999999997E-6</v>
      </c>
      <c r="M6" s="101">
        <v>1.6602E-6</v>
      </c>
      <c r="N6" s="100">
        <v>4.5165E-7</v>
      </c>
      <c r="O6" s="101">
        <v>1.2802999999999999E-7</v>
      </c>
      <c r="P6" s="101">
        <v>3.8083999999999999E-8</v>
      </c>
      <c r="Q6" s="100">
        <v>1.1895E-8</v>
      </c>
      <c r="R6" s="101">
        <v>3.8935999999999999E-9</v>
      </c>
      <c r="S6" s="101">
        <v>1.3319999999999999E-9</v>
      </c>
      <c r="T6" s="100">
        <v>2.6763999999999999E-11</v>
      </c>
      <c r="U6" s="101">
        <v>8.8239000000000004E-13</v>
      </c>
      <c r="V6" s="101">
        <v>4.2381999999999998E-14</v>
      </c>
      <c r="W6" s="100">
        <v>8.8239000000000004E-13</v>
      </c>
      <c r="X6" s="101">
        <v>4.2381999999999998E-14</v>
      </c>
      <c r="Y6" s="101">
        <v>2.7263000000000001E-15</v>
      </c>
    </row>
    <row r="7" spans="1:25" x14ac:dyDescent="0.35">
      <c r="A7" s="90" t="s">
        <v>60</v>
      </c>
      <c r="B7" s="102">
        <v>0.16261</v>
      </c>
      <c r="C7" s="103">
        <v>0.17151</v>
      </c>
      <c r="D7" s="103">
        <v>0.19672000000000001</v>
      </c>
      <c r="E7" s="102">
        <v>0.23934</v>
      </c>
      <c r="F7" s="103">
        <v>0.27966000000000002</v>
      </c>
      <c r="G7" s="103">
        <v>0.28988999999999998</v>
      </c>
      <c r="H7" s="102">
        <v>0.25194</v>
      </c>
      <c r="I7" s="103">
        <v>0.19273999999999999</v>
      </c>
      <c r="J7" s="103">
        <v>0.12526999999999999</v>
      </c>
      <c r="K7" s="102">
        <v>6.9651000000000005E-2</v>
      </c>
      <c r="L7" s="103">
        <v>3.5006000000000002E-2</v>
      </c>
      <c r="M7" s="103">
        <v>1.6919E-2</v>
      </c>
      <c r="N7" s="102">
        <v>8.1831000000000004E-3</v>
      </c>
      <c r="O7" s="103">
        <v>4.0353999999999998E-3</v>
      </c>
      <c r="P7" s="103">
        <v>2.0431999999999998E-3</v>
      </c>
      <c r="Q7" s="102">
        <v>1.0639E-3</v>
      </c>
      <c r="R7" s="103">
        <v>5.6939000000000002E-4</v>
      </c>
      <c r="S7" s="103">
        <v>3.1274999999999999E-4</v>
      </c>
      <c r="T7" s="102">
        <v>3.5703E-5</v>
      </c>
      <c r="U7" s="103">
        <v>5.4586999999999999E-6</v>
      </c>
      <c r="V7" s="103">
        <v>1.0409000000000001E-6</v>
      </c>
      <c r="W7" s="102">
        <v>5.4586999999999999E-6</v>
      </c>
      <c r="X7" s="103">
        <v>1.0409000000000001E-6</v>
      </c>
      <c r="Y7" s="103">
        <v>2.3547E-7</v>
      </c>
    </row>
    <row r="8" spans="1:25" x14ac:dyDescent="0.35">
      <c r="A8" s="94" t="s">
        <v>44</v>
      </c>
      <c r="B8" s="100">
        <v>6.0284999999999998E-7</v>
      </c>
      <c r="C8" s="101">
        <v>1.5203000000000001E-6</v>
      </c>
      <c r="D8" s="101">
        <v>4.6573000000000003E-6</v>
      </c>
      <c r="E8" s="100">
        <v>1.8770000000000002E-5</v>
      </c>
      <c r="F8" s="101">
        <v>8.5548000000000002E-5</v>
      </c>
      <c r="G8" s="101">
        <v>1.4453000000000001E-2</v>
      </c>
      <c r="H8" s="100">
        <v>3.3766999999999998E-2</v>
      </c>
      <c r="I8" s="101">
        <v>6.3521999999999995E-2</v>
      </c>
      <c r="J8" s="101">
        <v>9.733E-2</v>
      </c>
      <c r="K8" s="100">
        <v>0.12515999999999999</v>
      </c>
      <c r="L8" s="101">
        <v>0.14249000000000001</v>
      </c>
      <c r="M8" s="101">
        <v>0.15154000000000001</v>
      </c>
      <c r="N8" s="100">
        <v>0.15590999999999999</v>
      </c>
      <c r="O8" s="101">
        <v>0.15798000000000001</v>
      </c>
      <c r="P8" s="101">
        <v>0.15898000000000001</v>
      </c>
      <c r="Q8" s="100">
        <v>0.15947</v>
      </c>
      <c r="R8" s="101">
        <v>0.15972</v>
      </c>
      <c r="S8" s="101">
        <v>0.15984000000000001</v>
      </c>
      <c r="T8" s="102">
        <v>0.15998000000000001</v>
      </c>
      <c r="U8" s="103">
        <v>0.16</v>
      </c>
      <c r="V8" s="103">
        <v>0.16</v>
      </c>
      <c r="W8" s="102">
        <v>0.16</v>
      </c>
      <c r="X8" s="103">
        <v>0.16</v>
      </c>
      <c r="Y8" s="103">
        <v>0.16</v>
      </c>
    </row>
    <row r="9" spans="1:25" x14ac:dyDescent="0.35">
      <c r="A9" s="90" t="s">
        <v>43</v>
      </c>
      <c r="B9" s="102">
        <v>3.1046999999999998E-9</v>
      </c>
      <c r="C9" s="103">
        <v>1.0810000000000001E-8</v>
      </c>
      <c r="D9" s="103">
        <v>2.6921E-8</v>
      </c>
      <c r="E9" s="102">
        <v>4.5091000000000003E-8</v>
      </c>
      <c r="F9" s="103">
        <v>5.2542000000000002E-8</v>
      </c>
      <c r="G9" s="103">
        <v>2.8801999999999999E-8</v>
      </c>
      <c r="H9" s="102">
        <v>2.6886E-8</v>
      </c>
      <c r="I9" s="103">
        <v>2.6286000000000001E-8</v>
      </c>
      <c r="J9" s="103">
        <v>2.5287E-8</v>
      </c>
      <c r="K9" s="102">
        <v>2.4167999999999998E-8</v>
      </c>
      <c r="L9" s="103">
        <v>2.1651E-8</v>
      </c>
      <c r="M9" s="103">
        <v>1.8617000000000001E-8</v>
      </c>
      <c r="N9" s="102">
        <v>1.5682000000000001E-8</v>
      </c>
      <c r="O9" s="103">
        <v>1.3087999999999999E-8</v>
      </c>
      <c r="P9" s="103">
        <v>1.0881999999999999E-8</v>
      </c>
      <c r="Q9" s="102">
        <v>9.0374000000000002E-9</v>
      </c>
      <c r="R9" s="103">
        <v>7.5054000000000002E-9</v>
      </c>
      <c r="S9" s="103">
        <v>6.2367000000000002E-9</v>
      </c>
      <c r="T9" s="102">
        <v>3.0026E-9</v>
      </c>
      <c r="U9" s="103">
        <v>1.4716E-9</v>
      </c>
      <c r="V9" s="103">
        <v>7.3396000000000002E-10</v>
      </c>
      <c r="W9" s="102">
        <v>1.4716E-9</v>
      </c>
      <c r="X9" s="103">
        <v>7.3396000000000002E-10</v>
      </c>
      <c r="Y9" s="103">
        <v>3.7203000000000001E-10</v>
      </c>
    </row>
    <row r="10" spans="1:25" x14ac:dyDescent="0.35">
      <c r="A10" s="90" t="s">
        <v>42</v>
      </c>
      <c r="B10" s="102">
        <v>7.1561999999999995E-10</v>
      </c>
      <c r="C10" s="103">
        <v>2.8980000000000001E-9</v>
      </c>
      <c r="D10" s="103">
        <v>8.2424000000000004E-9</v>
      </c>
      <c r="E10" s="102">
        <v>1.5529E-8</v>
      </c>
      <c r="F10" s="103">
        <v>2.0094999999999999E-8</v>
      </c>
      <c r="G10" s="103">
        <v>1.5249E-8</v>
      </c>
      <c r="H10" s="102">
        <v>1.5168999999999998E-8</v>
      </c>
      <c r="I10" s="103">
        <v>1.5720000000000001E-8</v>
      </c>
      <c r="J10" s="103">
        <v>1.5907000000000001E-8</v>
      </c>
      <c r="K10" s="102">
        <v>1.5048E-8</v>
      </c>
      <c r="L10" s="103">
        <v>1.3334E-8</v>
      </c>
      <c r="M10" s="103">
        <v>1.1335E-8</v>
      </c>
      <c r="N10" s="102">
        <v>9.4348000000000005E-9</v>
      </c>
      <c r="O10" s="103">
        <v>7.7792999999999994E-9</v>
      </c>
      <c r="P10" s="103">
        <v>6.3892000000000002E-9</v>
      </c>
      <c r="Q10" s="102">
        <v>5.2408000000000003E-9</v>
      </c>
      <c r="R10" s="103">
        <v>4.2986E-9</v>
      </c>
      <c r="S10" s="103">
        <v>3.5279000000000002E-9</v>
      </c>
      <c r="T10" s="102">
        <v>1.6170000000000001E-9</v>
      </c>
      <c r="U10" s="103">
        <v>7.5574000000000002E-10</v>
      </c>
      <c r="V10" s="103">
        <v>3.6006E-10</v>
      </c>
      <c r="W10" s="102">
        <v>7.5574000000000002E-10</v>
      </c>
      <c r="X10" s="103">
        <v>3.6006E-10</v>
      </c>
      <c r="Y10" s="103">
        <v>1.7457E-10</v>
      </c>
    </row>
    <row r="11" spans="1:25" x14ac:dyDescent="0.35">
      <c r="A11" s="90" t="s">
        <v>47</v>
      </c>
      <c r="B11" s="102">
        <v>2.6148E-3</v>
      </c>
      <c r="C11" s="103">
        <v>1.1518E-2</v>
      </c>
      <c r="D11" s="103">
        <v>3.6734000000000003E-2</v>
      </c>
      <c r="E11" s="102">
        <v>7.9414999999999999E-2</v>
      </c>
      <c r="F11" s="103">
        <v>0.12</v>
      </c>
      <c r="G11" s="103">
        <v>0.18770999999999999</v>
      </c>
      <c r="H11" s="102">
        <v>0.22700999999999999</v>
      </c>
      <c r="I11" s="103">
        <v>0.28682999999999997</v>
      </c>
      <c r="J11" s="103">
        <v>0.35458000000000001</v>
      </c>
      <c r="K11" s="102">
        <v>0.4103</v>
      </c>
      <c r="L11" s="103">
        <v>0.44497999999999999</v>
      </c>
      <c r="M11" s="103">
        <v>0.46307999999999999</v>
      </c>
      <c r="N11" s="102">
        <v>0.47182000000000002</v>
      </c>
      <c r="O11" s="103">
        <v>0.47595999999999999</v>
      </c>
      <c r="P11" s="103">
        <v>0.47796</v>
      </c>
      <c r="Q11" s="102">
        <v>0.47893999999999998</v>
      </c>
      <c r="R11" s="103">
        <v>0.47943000000000002</v>
      </c>
      <c r="S11" s="103">
        <v>0.47969000000000001</v>
      </c>
      <c r="T11" s="102">
        <v>0.47996</v>
      </c>
      <c r="U11" s="103">
        <v>0.47999000000000003</v>
      </c>
      <c r="V11" s="103">
        <v>0.48</v>
      </c>
      <c r="W11" s="102">
        <v>0.47999000000000003</v>
      </c>
      <c r="X11" s="103">
        <v>0.48</v>
      </c>
      <c r="Y11" s="103">
        <v>0.48</v>
      </c>
    </row>
    <row r="12" spans="1:25" x14ac:dyDescent="0.35">
      <c r="A12" s="90" t="s">
        <v>41</v>
      </c>
      <c r="B12" s="102">
        <v>7.9389000000000004E-12</v>
      </c>
      <c r="C12" s="103">
        <v>4.5007000000000002E-11</v>
      </c>
      <c r="D12" s="103">
        <v>1.7283000000000001E-10</v>
      </c>
      <c r="E12" s="102">
        <v>4.2663999999999999E-10</v>
      </c>
      <c r="F12" s="103">
        <v>7.0533999999999997E-10</v>
      </c>
      <c r="G12" s="103">
        <v>1.1828000000000001E-9</v>
      </c>
      <c r="H12" s="102">
        <v>1.3850000000000001E-9</v>
      </c>
      <c r="I12" s="103">
        <v>1.6712E-9</v>
      </c>
      <c r="J12" s="103">
        <v>1.9502000000000002E-9</v>
      </c>
      <c r="K12" s="102">
        <v>2.1094999999999998E-9</v>
      </c>
      <c r="L12" s="103">
        <v>2.1206999999999999E-9</v>
      </c>
      <c r="M12" s="103">
        <v>2.0312000000000002E-9</v>
      </c>
      <c r="N12" s="102">
        <v>1.8931E-9</v>
      </c>
      <c r="O12" s="103">
        <v>1.7376999999999999E-9</v>
      </c>
      <c r="P12" s="103">
        <v>1.5805000000000001E-9</v>
      </c>
      <c r="Q12" s="102">
        <v>1.4288000000000001E-9</v>
      </c>
      <c r="R12" s="103">
        <v>1.2859999999999999E-9</v>
      </c>
      <c r="S12" s="103">
        <v>1.1534E-9</v>
      </c>
      <c r="T12" s="102">
        <v>7.2827000000000001E-10</v>
      </c>
      <c r="U12" s="103">
        <v>4.4821E-10</v>
      </c>
      <c r="V12" s="103">
        <v>2.7161999999999999E-10</v>
      </c>
      <c r="W12" s="102">
        <v>4.4821E-10</v>
      </c>
      <c r="X12" s="103">
        <v>2.7161999999999999E-10</v>
      </c>
      <c r="Y12" s="103">
        <v>1.6297999999999999E-10</v>
      </c>
    </row>
    <row r="13" spans="1:25" x14ac:dyDescent="0.35">
      <c r="A13" s="94" t="s">
        <v>54</v>
      </c>
      <c r="B13" s="100">
        <v>6.0284999999999998E-7</v>
      </c>
      <c r="C13" s="101">
        <v>1.5203000000000001E-6</v>
      </c>
      <c r="D13" s="101">
        <v>4.6573000000000003E-6</v>
      </c>
      <c r="E13" s="100">
        <v>1.8770000000000002E-5</v>
      </c>
      <c r="F13" s="101">
        <v>8.5548000000000002E-5</v>
      </c>
      <c r="G13" s="101">
        <v>1.4453000000000001E-2</v>
      </c>
      <c r="H13" s="100">
        <v>3.3766999999999998E-2</v>
      </c>
      <c r="I13" s="101">
        <v>6.3521999999999995E-2</v>
      </c>
      <c r="J13" s="101">
        <v>9.733E-2</v>
      </c>
      <c r="K13" s="100">
        <v>0.12515999999999999</v>
      </c>
      <c r="L13" s="101">
        <v>0.14249000000000001</v>
      </c>
      <c r="M13" s="101">
        <v>0.15154000000000001</v>
      </c>
      <c r="N13" s="100">
        <v>0.15590999999999999</v>
      </c>
      <c r="O13" s="101">
        <v>0.15798000000000001</v>
      </c>
      <c r="P13" s="101">
        <v>0.15898000000000001</v>
      </c>
      <c r="Q13" s="100">
        <v>0.15947</v>
      </c>
      <c r="R13" s="101">
        <v>0.15972</v>
      </c>
      <c r="S13" s="101">
        <v>0.15984000000000001</v>
      </c>
      <c r="T13" s="102">
        <v>0.15998000000000001</v>
      </c>
      <c r="U13" s="103">
        <v>0.16</v>
      </c>
      <c r="V13" s="103">
        <v>0.16</v>
      </c>
      <c r="W13" s="102">
        <v>0.16</v>
      </c>
      <c r="X13" s="103">
        <v>0.16</v>
      </c>
      <c r="Y13" s="103">
        <v>0.16</v>
      </c>
    </row>
    <row r="14" spans="1:25" x14ac:dyDescent="0.35">
      <c r="A14" s="90" t="s">
        <v>28</v>
      </c>
      <c r="B14" s="102">
        <v>-18.62</v>
      </c>
      <c r="C14" s="103">
        <v>-18.61</v>
      </c>
      <c r="D14" s="103">
        <v>-18.61</v>
      </c>
      <c r="E14" s="100">
        <v>-18.63</v>
      </c>
      <c r="F14" s="101">
        <v>-18.649999999999999</v>
      </c>
      <c r="G14" s="101">
        <v>-18.77</v>
      </c>
      <c r="H14" s="102">
        <v>-18.809999999999999</v>
      </c>
      <c r="I14" s="103">
        <v>-18.84</v>
      </c>
      <c r="J14" s="103">
        <v>-18.88</v>
      </c>
      <c r="K14" s="100">
        <v>-18.93</v>
      </c>
      <c r="L14" s="101">
        <v>-18.97</v>
      </c>
      <c r="M14" s="101">
        <v>-19.010000000000002</v>
      </c>
      <c r="N14" s="100">
        <v>-19.05</v>
      </c>
      <c r="O14" s="101">
        <v>-19.09</v>
      </c>
      <c r="P14" s="101">
        <v>-19.14</v>
      </c>
      <c r="Q14" s="100">
        <v>-19.18</v>
      </c>
      <c r="R14" s="101">
        <v>-19.22</v>
      </c>
      <c r="S14" s="101">
        <v>-19.260000000000002</v>
      </c>
      <c r="T14" s="100">
        <v>-19.43</v>
      </c>
      <c r="U14" s="101">
        <v>-19.59</v>
      </c>
      <c r="V14" s="101">
        <v>-19.739999999999998</v>
      </c>
      <c r="W14" s="100">
        <v>-19.59</v>
      </c>
      <c r="X14" s="101">
        <v>-19.739999999999998</v>
      </c>
      <c r="Y14" s="101">
        <v>-19.88</v>
      </c>
    </row>
    <row r="15" spans="1:25" x14ac:dyDescent="0.35">
      <c r="A15" s="94" t="s">
        <v>6</v>
      </c>
      <c r="B15" s="100">
        <v>-16.940000000000001</v>
      </c>
      <c r="C15" s="101">
        <v>-16.03</v>
      </c>
      <c r="D15" s="101">
        <v>-14.99</v>
      </c>
      <c r="E15" s="100">
        <v>-13.72</v>
      </c>
      <c r="F15" s="101">
        <v>-12.32</v>
      </c>
      <c r="G15" s="101">
        <v>-7.4779999999999998</v>
      </c>
      <c r="H15" s="100">
        <v>-6.7469999999999999</v>
      </c>
      <c r="I15" s="101">
        <v>-6.2640000000000002</v>
      </c>
      <c r="J15" s="101">
        <v>-5.99</v>
      </c>
      <c r="K15" s="100">
        <v>-5.8659999999999997</v>
      </c>
      <c r="L15" s="101">
        <v>-5.8310000000000004</v>
      </c>
      <c r="M15" s="101">
        <v>-5.8419999999999996</v>
      </c>
      <c r="N15" s="100">
        <v>-5.8739999999999997</v>
      </c>
      <c r="O15" s="101">
        <v>-5.9160000000000004</v>
      </c>
      <c r="P15" s="101">
        <v>-5.9630000000000001</v>
      </c>
      <c r="Q15" s="102">
        <v>-6.0110000000000001</v>
      </c>
      <c r="R15" s="103">
        <v>-6.06</v>
      </c>
      <c r="S15" s="103">
        <v>-6.109</v>
      </c>
      <c r="T15" s="100">
        <v>-6.3049999999999997</v>
      </c>
      <c r="U15" s="101">
        <v>-6.4960000000000004</v>
      </c>
      <c r="V15" s="101">
        <v>-6.681</v>
      </c>
      <c r="W15" s="100">
        <v>-6.4960000000000004</v>
      </c>
      <c r="X15" s="101">
        <v>-6.681</v>
      </c>
      <c r="Y15" s="101">
        <v>-6.8579999999999997</v>
      </c>
    </row>
    <row r="16" spans="1:25" x14ac:dyDescent="0.35">
      <c r="A16" s="94" t="s">
        <v>7</v>
      </c>
      <c r="B16" s="100">
        <v>-23.56</v>
      </c>
      <c r="C16" s="101">
        <v>-22.32</v>
      </c>
      <c r="D16" s="101">
        <v>-21.49</v>
      </c>
      <c r="E16" s="100">
        <v>-21.1</v>
      </c>
      <c r="F16" s="101">
        <v>-21.07</v>
      </c>
      <c r="G16" s="101">
        <v>-21.96</v>
      </c>
      <c r="H16" s="100">
        <v>-22.15</v>
      </c>
      <c r="I16" s="101">
        <v>-22.33</v>
      </c>
      <c r="J16" s="101">
        <v>-22.53</v>
      </c>
      <c r="K16" s="100">
        <v>-22.76</v>
      </c>
      <c r="L16" s="101">
        <v>-23.03</v>
      </c>
      <c r="M16" s="101">
        <v>-23.31</v>
      </c>
      <c r="N16" s="100">
        <v>-23.6</v>
      </c>
      <c r="O16" s="101">
        <v>-23.89</v>
      </c>
      <c r="P16" s="101">
        <v>-24.17</v>
      </c>
      <c r="Q16" s="100">
        <v>-24.46</v>
      </c>
      <c r="R16" s="101">
        <v>-24.74</v>
      </c>
      <c r="S16" s="101">
        <v>-25.02</v>
      </c>
      <c r="T16" s="102">
        <v>-26.11</v>
      </c>
      <c r="U16" s="103">
        <v>-27.16</v>
      </c>
      <c r="V16" s="103">
        <v>-28.16</v>
      </c>
      <c r="W16" s="100">
        <v>-27.16</v>
      </c>
      <c r="X16" s="101">
        <v>-28.16</v>
      </c>
      <c r="Y16" s="101">
        <v>-29.13</v>
      </c>
    </row>
    <row r="17" spans="1:25" x14ac:dyDescent="0.35">
      <c r="A17" s="90" t="s">
        <v>61</v>
      </c>
      <c r="B17" s="102">
        <v>0.2</v>
      </c>
      <c r="C17" s="103">
        <v>0.2</v>
      </c>
      <c r="D17" s="103">
        <v>0.2</v>
      </c>
      <c r="E17" s="102">
        <v>0.2</v>
      </c>
      <c r="F17" s="103">
        <v>0.2</v>
      </c>
      <c r="G17" s="103">
        <v>0.2</v>
      </c>
      <c r="H17" s="102">
        <v>0.2</v>
      </c>
      <c r="I17" s="103">
        <v>0.2</v>
      </c>
      <c r="J17" s="103">
        <v>0.2</v>
      </c>
      <c r="K17" s="102">
        <v>0.2</v>
      </c>
      <c r="L17" s="103">
        <v>0.2</v>
      </c>
      <c r="M17" s="103">
        <v>0.2</v>
      </c>
      <c r="N17" s="102">
        <v>0.2</v>
      </c>
      <c r="O17" s="103">
        <v>0.2</v>
      </c>
      <c r="P17" s="103">
        <v>0.2</v>
      </c>
      <c r="Q17" s="102">
        <v>0.2</v>
      </c>
      <c r="R17" s="103">
        <v>0.2</v>
      </c>
      <c r="S17" s="103">
        <v>0.2</v>
      </c>
      <c r="T17" s="102">
        <v>0.2</v>
      </c>
      <c r="U17" s="103">
        <v>0.2</v>
      </c>
      <c r="V17" s="103">
        <v>0.2</v>
      </c>
      <c r="W17" s="103">
        <v>0.2</v>
      </c>
      <c r="X17" s="103">
        <v>0.2</v>
      </c>
      <c r="Y17" s="103">
        <v>0.2</v>
      </c>
    </row>
    <row r="18" spans="1:25" x14ac:dyDescent="0.35">
      <c r="A18" s="94" t="s">
        <v>62</v>
      </c>
      <c r="B18" s="100">
        <v>0.32261000000000001</v>
      </c>
      <c r="C18" s="101">
        <v>0.33151999999999998</v>
      </c>
      <c r="D18" s="101">
        <v>0.35672999999999999</v>
      </c>
      <c r="E18" s="100">
        <v>0.39940999999999999</v>
      </c>
      <c r="F18" s="101">
        <v>0.44</v>
      </c>
      <c r="G18" s="101">
        <v>0.50770999999999999</v>
      </c>
      <c r="H18" s="100">
        <v>0.54701</v>
      </c>
      <c r="I18" s="101">
        <v>0.60682999999999998</v>
      </c>
      <c r="J18" s="101">
        <v>0.67457999999999996</v>
      </c>
      <c r="K18" s="100">
        <v>0.73029999999999995</v>
      </c>
      <c r="L18" s="101">
        <v>0.76497999999999999</v>
      </c>
      <c r="M18" s="101">
        <v>0.78308</v>
      </c>
      <c r="N18" s="100">
        <v>0.79181999999999997</v>
      </c>
      <c r="O18" s="101">
        <v>0.79596</v>
      </c>
      <c r="P18" s="101">
        <v>0.79796</v>
      </c>
      <c r="Q18" s="100">
        <v>0.79893999999999998</v>
      </c>
      <c r="R18" s="101">
        <v>0.79942999999999997</v>
      </c>
      <c r="S18" s="101">
        <v>0.79969000000000001</v>
      </c>
      <c r="T18" s="100">
        <v>0.79996</v>
      </c>
      <c r="U18" s="101">
        <v>0.79998999999999998</v>
      </c>
      <c r="V18" s="101">
        <v>0.8</v>
      </c>
      <c r="W18" s="102">
        <v>0.79998999999999998</v>
      </c>
      <c r="X18" s="103">
        <v>0.8</v>
      </c>
      <c r="Y18" s="103">
        <v>0.8</v>
      </c>
    </row>
    <row r="19" spans="1:25" x14ac:dyDescent="0.35">
      <c r="A19" s="94" t="s">
        <v>63</v>
      </c>
      <c r="B19" s="100">
        <v>2.2421000000000002E-44</v>
      </c>
      <c r="C19" s="101">
        <v>9.8550000000000002E-40</v>
      </c>
      <c r="D19" s="101">
        <v>1.6142999999999999E-42</v>
      </c>
      <c r="E19" s="102">
        <v>0</v>
      </c>
      <c r="F19" s="103">
        <v>0</v>
      </c>
      <c r="G19" s="103">
        <v>0</v>
      </c>
      <c r="H19" s="103">
        <v>0</v>
      </c>
      <c r="I19" s="103">
        <v>0</v>
      </c>
      <c r="J19" s="103">
        <v>0</v>
      </c>
      <c r="K19" s="103">
        <v>0</v>
      </c>
      <c r="L19" s="103">
        <v>0</v>
      </c>
      <c r="M19" s="103">
        <v>0</v>
      </c>
      <c r="N19" s="103">
        <v>0</v>
      </c>
      <c r="O19" s="103">
        <v>0</v>
      </c>
      <c r="P19" s="103">
        <v>0</v>
      </c>
      <c r="Q19" s="103">
        <v>0</v>
      </c>
      <c r="R19" s="103">
        <v>0</v>
      </c>
      <c r="S19" s="103">
        <v>0</v>
      </c>
      <c r="T19" s="102">
        <v>0</v>
      </c>
      <c r="U19" s="103">
        <v>0</v>
      </c>
      <c r="V19" s="103">
        <v>0</v>
      </c>
      <c r="W19" s="102">
        <v>0</v>
      </c>
      <c r="X19" s="103">
        <v>0</v>
      </c>
      <c r="Y19" s="103">
        <v>0</v>
      </c>
    </row>
    <row r="20" spans="1:25" x14ac:dyDescent="0.35">
      <c r="A20" s="95" t="s">
        <v>64</v>
      </c>
      <c r="B20" s="104">
        <v>0</v>
      </c>
      <c r="C20" s="105">
        <v>0</v>
      </c>
      <c r="D20" s="105">
        <v>0</v>
      </c>
      <c r="E20" s="104">
        <v>0</v>
      </c>
      <c r="F20" s="105">
        <v>0</v>
      </c>
      <c r="G20" s="105">
        <v>0</v>
      </c>
      <c r="H20" s="104">
        <v>0</v>
      </c>
      <c r="I20" s="105">
        <v>0</v>
      </c>
      <c r="J20" s="105">
        <v>0</v>
      </c>
      <c r="K20" s="104">
        <v>0</v>
      </c>
      <c r="L20" s="105">
        <v>0</v>
      </c>
      <c r="M20" s="105">
        <v>0</v>
      </c>
      <c r="N20" s="104">
        <v>0</v>
      </c>
      <c r="O20" s="105">
        <v>0</v>
      </c>
      <c r="P20" s="105">
        <v>0</v>
      </c>
      <c r="Q20" s="104">
        <v>0</v>
      </c>
      <c r="R20" s="105">
        <v>0</v>
      </c>
      <c r="S20" s="105">
        <v>0</v>
      </c>
      <c r="T20" s="104">
        <v>0</v>
      </c>
      <c r="U20" s="105">
        <v>7.7071E-44</v>
      </c>
      <c r="V20" s="105">
        <v>1.504E-36</v>
      </c>
      <c r="W20" s="104">
        <v>7.7071E-44</v>
      </c>
      <c r="X20" s="105">
        <v>1.504E-36</v>
      </c>
      <c r="Y20" s="105">
        <v>1.3346E-31</v>
      </c>
    </row>
  </sheetData>
  <conditionalFormatting sqref="B1:Y20">
    <cfRule type="expression" dxfId="2" priority="1">
      <formula>ISNUMBER(B1)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2D8E-03F9-4FB6-8B6E-ECEFF503F260}">
  <dimension ref="A1:Y20"/>
  <sheetViews>
    <sheetView topLeftCell="G1" zoomScaleNormal="100" workbookViewId="0">
      <selection activeCell="J25" sqref="J25"/>
    </sheetView>
  </sheetViews>
  <sheetFormatPr defaultRowHeight="21" x14ac:dyDescent="0.35"/>
  <sheetData>
    <row r="1" spans="1:25" ht="22.5" x14ac:dyDescent="0.35">
      <c r="A1" s="107" t="s">
        <v>70</v>
      </c>
      <c r="B1" s="108">
        <v>273.10000000000002</v>
      </c>
      <c r="C1" s="108">
        <v>353.9</v>
      </c>
      <c r="D1" s="108">
        <v>434.7</v>
      </c>
      <c r="E1" s="108">
        <v>515.4</v>
      </c>
      <c r="F1" s="108">
        <v>596.20000000000005</v>
      </c>
      <c r="G1" s="108">
        <v>616.4</v>
      </c>
      <c r="H1" s="110">
        <v>636.6</v>
      </c>
      <c r="I1" s="114">
        <v>656.8</v>
      </c>
      <c r="J1" s="114">
        <v>677</v>
      </c>
      <c r="K1" s="108">
        <v>697.1</v>
      </c>
      <c r="L1" s="108">
        <v>717.3</v>
      </c>
      <c r="M1" s="108">
        <v>737.5</v>
      </c>
      <c r="N1" s="108">
        <v>757.7</v>
      </c>
      <c r="O1" s="108">
        <v>777.9</v>
      </c>
      <c r="P1" s="108">
        <v>798.1</v>
      </c>
      <c r="Q1" s="108">
        <v>818.3</v>
      </c>
      <c r="R1" s="108">
        <v>838.5</v>
      </c>
      <c r="S1" s="108">
        <v>858.7</v>
      </c>
      <c r="T1" s="110">
        <v>878.9</v>
      </c>
      <c r="U1" s="114">
        <v>899</v>
      </c>
      <c r="V1" s="110">
        <v>919.2</v>
      </c>
      <c r="W1" s="114">
        <v>899</v>
      </c>
      <c r="X1" s="110">
        <v>919.2</v>
      </c>
      <c r="Y1" s="114">
        <v>1000</v>
      </c>
    </row>
    <row r="2" spans="1:25" x14ac:dyDescent="0.35">
      <c r="A2" s="109" t="s">
        <v>71</v>
      </c>
      <c r="B2" s="115">
        <v>1.6880000000000001E-12</v>
      </c>
      <c r="C2" s="116">
        <v>2.4017000000000002E-11</v>
      </c>
      <c r="D2" s="116">
        <v>1.0867E-10</v>
      </c>
      <c r="E2" s="115">
        <v>3.1420999999999999E-10</v>
      </c>
      <c r="F2" s="116">
        <v>9.3474000000000002E-10</v>
      </c>
      <c r="G2" s="116">
        <v>1.126E-9</v>
      </c>
      <c r="H2" s="115">
        <v>1.4882999999999999E-9</v>
      </c>
      <c r="I2" s="116">
        <v>1.3916E-9</v>
      </c>
      <c r="J2" s="116">
        <v>9.1682000000000005E-10</v>
      </c>
      <c r="K2" s="115">
        <v>9.6391999999999994E-11</v>
      </c>
      <c r="L2" s="116">
        <v>2.7370000000000001E-5</v>
      </c>
      <c r="M2" s="116">
        <v>6.3547999999999999E-3</v>
      </c>
      <c r="N2" s="115">
        <v>7.9120999999999997E-2</v>
      </c>
      <c r="O2" s="115">
        <v>7.9999000000000001E-2</v>
      </c>
      <c r="P2" s="116">
        <v>0.08</v>
      </c>
      <c r="Q2" s="115">
        <v>8.0001000000000003E-2</v>
      </c>
      <c r="R2" s="116">
        <v>8.0002000000000004E-2</v>
      </c>
      <c r="S2" s="116">
        <v>8.0005999999999994E-2</v>
      </c>
      <c r="T2" s="115">
        <v>8.0014000000000002E-2</v>
      </c>
      <c r="U2" s="115">
        <v>8.0033000000000007E-2</v>
      </c>
      <c r="V2" s="116">
        <v>8.0075999999999994E-2</v>
      </c>
      <c r="W2" s="115">
        <v>8.0033000000000007E-2</v>
      </c>
      <c r="X2" s="116">
        <v>8.0075999999999994E-2</v>
      </c>
      <c r="Y2" s="116">
        <v>8.1759999999999999E-2</v>
      </c>
    </row>
    <row r="3" spans="1:25" x14ac:dyDescent="0.35">
      <c r="A3" s="111" t="s">
        <v>72</v>
      </c>
      <c r="B3" s="117">
        <v>1.5381000000000001E-12</v>
      </c>
      <c r="C3" s="118">
        <v>3.1208999999999999E-11</v>
      </c>
      <c r="D3" s="118">
        <v>1.9100999999999999E-10</v>
      </c>
      <c r="E3" s="117">
        <v>7.3943999999999998E-10</v>
      </c>
      <c r="F3" s="118">
        <v>3.9514000000000002E-9</v>
      </c>
      <c r="G3" s="118">
        <v>6.4348000000000002E-9</v>
      </c>
      <c r="H3" s="117">
        <v>1.3008999999999999E-8</v>
      </c>
      <c r="I3" s="118">
        <v>2.5351E-8</v>
      </c>
      <c r="J3" s="118">
        <v>6.8684999999999996E-8</v>
      </c>
      <c r="K3" s="117">
        <v>4.2212999999999998E-7</v>
      </c>
      <c r="L3" s="118">
        <v>3.6378000000000001E-2</v>
      </c>
      <c r="M3" s="117">
        <v>4.8994999999999997E-2</v>
      </c>
      <c r="N3" s="117">
        <v>5.8631999999999998E-4</v>
      </c>
      <c r="O3" s="117">
        <v>4.4288000000000001E-7</v>
      </c>
      <c r="P3" s="118">
        <v>1.3381999999999999E-7</v>
      </c>
      <c r="Q3" s="117">
        <v>5.6266000000000002E-8</v>
      </c>
      <c r="R3" s="118">
        <v>2.6082999999999999E-8</v>
      </c>
      <c r="S3" s="118">
        <v>1.3621E-8</v>
      </c>
      <c r="T3" s="117">
        <v>8.5926999999999999E-9</v>
      </c>
      <c r="U3" s="117">
        <v>4.3988999999999998E-9</v>
      </c>
      <c r="V3" s="118">
        <v>2.1421999999999999E-9</v>
      </c>
      <c r="W3" s="117">
        <v>4.3988999999999998E-9</v>
      </c>
      <c r="X3" s="118">
        <v>2.1421999999999999E-9</v>
      </c>
      <c r="Y3" s="118">
        <v>6.0282999999999997E-10</v>
      </c>
    </row>
    <row r="4" spans="1:25" x14ac:dyDescent="0.35">
      <c r="A4" s="112" t="s">
        <v>66</v>
      </c>
      <c r="B4" s="119">
        <v>0.16</v>
      </c>
      <c r="C4" s="120">
        <v>0.16</v>
      </c>
      <c r="D4" s="120">
        <v>0.16</v>
      </c>
      <c r="E4" s="119">
        <v>0.16</v>
      </c>
      <c r="F4" s="120">
        <v>0.16</v>
      </c>
      <c r="G4" s="120">
        <v>0.16</v>
      </c>
      <c r="H4" s="119">
        <v>0.16</v>
      </c>
      <c r="I4" s="120">
        <v>0.16</v>
      </c>
      <c r="J4" s="120">
        <v>0.16</v>
      </c>
      <c r="K4" s="119">
        <v>0.16</v>
      </c>
      <c r="L4" s="120">
        <v>0.1236</v>
      </c>
      <c r="M4" s="120">
        <v>0.10465000000000001</v>
      </c>
      <c r="N4" s="119">
        <v>8.0293000000000003E-2</v>
      </c>
      <c r="O4" s="119">
        <v>0.08</v>
      </c>
      <c r="P4" s="119">
        <v>7.9999000000000001E-2</v>
      </c>
      <c r="Q4" s="117">
        <v>7.9996999999999999E-2</v>
      </c>
      <c r="R4" s="118">
        <v>7.9992999999999995E-2</v>
      </c>
      <c r="S4" s="117">
        <v>7.9982999999999999E-2</v>
      </c>
      <c r="T4" s="117">
        <v>7.9958000000000001E-2</v>
      </c>
      <c r="U4" s="117">
        <v>7.9901E-2</v>
      </c>
      <c r="V4" s="117">
        <v>7.9771999999999996E-2</v>
      </c>
      <c r="W4" s="117">
        <v>7.9901E-2</v>
      </c>
      <c r="X4" s="118">
        <v>7.9771999999999996E-2</v>
      </c>
      <c r="Y4" s="117">
        <v>7.4720999999999996E-2</v>
      </c>
    </row>
    <row r="5" spans="1:25" x14ac:dyDescent="0.35">
      <c r="A5" s="112" t="s">
        <v>39</v>
      </c>
      <c r="B5" s="119">
        <v>0.16</v>
      </c>
      <c r="C5" s="120">
        <v>0.16</v>
      </c>
      <c r="D5" s="120">
        <v>0.16</v>
      </c>
      <c r="E5" s="119">
        <v>0.16</v>
      </c>
      <c r="F5" s="120">
        <v>0.16</v>
      </c>
      <c r="G5" s="120">
        <v>0.16</v>
      </c>
      <c r="H5" s="119">
        <v>0.16</v>
      </c>
      <c r="I5" s="120">
        <v>0.16</v>
      </c>
      <c r="J5" s="120">
        <v>0.16</v>
      </c>
      <c r="K5" s="119">
        <v>0.16</v>
      </c>
      <c r="L5" s="120">
        <v>5.0812999999999997E-2</v>
      </c>
      <c r="M5" s="120">
        <v>3.0737000000000001E-4</v>
      </c>
      <c r="N5" s="117">
        <v>3.0769000000000002E-7</v>
      </c>
      <c r="O5" s="117">
        <v>7.1432999999999995E-10</v>
      </c>
      <c r="P5" s="118">
        <v>3.6143999999999998E-9</v>
      </c>
      <c r="Q5" s="117">
        <v>5.4865E-9</v>
      </c>
      <c r="R5" s="118">
        <v>5.2828E-9</v>
      </c>
      <c r="S5" s="117">
        <v>4.4753E-9</v>
      </c>
      <c r="T5" s="117">
        <v>4.0423000000000004E-9</v>
      </c>
      <c r="U5" s="118">
        <v>2.6203000000000001E-9</v>
      </c>
      <c r="V5" s="118">
        <v>1.5176E-9</v>
      </c>
      <c r="W5" s="117">
        <v>2.6203000000000001E-9</v>
      </c>
      <c r="X5" s="118">
        <v>1.5176E-9</v>
      </c>
      <c r="Y5" s="118">
        <v>6.8446000000000003E-10</v>
      </c>
    </row>
    <row r="6" spans="1:25" x14ac:dyDescent="0.35">
      <c r="A6" s="112" t="s">
        <v>53</v>
      </c>
      <c r="B6" s="119">
        <v>0</v>
      </c>
      <c r="C6" s="120">
        <v>0</v>
      </c>
      <c r="D6" s="120">
        <v>0</v>
      </c>
      <c r="E6" s="119">
        <v>1.7357E-34</v>
      </c>
      <c r="F6" s="120">
        <v>3.0869999999999998E-28</v>
      </c>
      <c r="G6" s="120">
        <v>6.2228000000000003E-27</v>
      </c>
      <c r="H6" s="119">
        <v>1.0345000000000001E-25</v>
      </c>
      <c r="I6" s="120">
        <v>1.4437E-24</v>
      </c>
      <c r="J6" s="120">
        <v>1.7176E-23</v>
      </c>
      <c r="K6" s="119">
        <v>1.7664999999999999E-22</v>
      </c>
      <c r="L6" s="120">
        <v>1.6209000000000001E-21</v>
      </c>
      <c r="M6" s="120">
        <v>1.6736E-20</v>
      </c>
      <c r="N6" s="119">
        <v>1.645E-19</v>
      </c>
      <c r="O6" s="120">
        <v>1.6065000000000001E-18</v>
      </c>
      <c r="P6" s="120">
        <v>1.4519000000000001E-17</v>
      </c>
      <c r="Q6" s="119">
        <v>1.2263000000000001E-16</v>
      </c>
      <c r="R6" s="120">
        <v>9.7497999999999992E-16</v>
      </c>
      <c r="S6" s="119">
        <v>7.3444E-15</v>
      </c>
      <c r="T6" s="119">
        <v>5.2733999999999999E-14</v>
      </c>
      <c r="U6" s="120">
        <v>3.6285999999999998E-13</v>
      </c>
      <c r="V6" s="120">
        <v>2.4051999999999999E-12</v>
      </c>
      <c r="W6" s="119">
        <v>3.6285999999999998E-13</v>
      </c>
      <c r="X6" s="120">
        <v>2.4051999999999999E-12</v>
      </c>
      <c r="Y6" s="120">
        <v>3.5008000000000002E-9</v>
      </c>
    </row>
    <row r="7" spans="1:25" x14ac:dyDescent="0.35">
      <c r="A7" s="112" t="s">
        <v>73</v>
      </c>
      <c r="B7" s="119">
        <v>0</v>
      </c>
      <c r="C7" s="120">
        <v>0</v>
      </c>
      <c r="D7" s="120">
        <v>0</v>
      </c>
      <c r="E7" s="117">
        <v>3.7200000000000002E-30</v>
      </c>
      <c r="F7" s="118">
        <v>1.1679000000000001E-24</v>
      </c>
      <c r="G7" s="118">
        <v>1.6382E-23</v>
      </c>
      <c r="H7" s="117">
        <v>1.9391999999999999E-22</v>
      </c>
      <c r="I7" s="118">
        <v>1.9677E-21</v>
      </c>
      <c r="J7" s="118">
        <v>1.7350000000000001E-20</v>
      </c>
      <c r="K7" s="117">
        <v>1.3457E-19</v>
      </c>
      <c r="L7" s="118">
        <v>9.4361999999999999E-19</v>
      </c>
      <c r="M7" s="117">
        <v>7.3002000000000006E-18</v>
      </c>
      <c r="N7" s="117">
        <v>5.4006000000000001E-17</v>
      </c>
      <c r="O7" s="118">
        <v>3.9637000000000002E-16</v>
      </c>
      <c r="P7" s="118">
        <v>2.7161000000000001E-15</v>
      </c>
      <c r="Q7" s="117">
        <v>1.7527999999999999E-14</v>
      </c>
      <c r="R7" s="118">
        <v>1.0719E-13</v>
      </c>
      <c r="S7" s="118">
        <v>6.2481999999999996E-13</v>
      </c>
      <c r="T7" s="117">
        <v>3.4897999999999999E-12</v>
      </c>
      <c r="U7" s="118">
        <v>1.8764999999999999E-11</v>
      </c>
      <c r="V7" s="118">
        <v>9.7580999999999996E-11</v>
      </c>
      <c r="W7" s="117">
        <v>1.8764999999999999E-11</v>
      </c>
      <c r="X7" s="118">
        <v>9.7580999999999996E-11</v>
      </c>
      <c r="Y7" s="118">
        <v>5.5392999999999998E-8</v>
      </c>
    </row>
    <row r="8" spans="1:25" x14ac:dyDescent="0.35">
      <c r="A8" s="112" t="s">
        <v>74</v>
      </c>
      <c r="B8" s="119">
        <v>0</v>
      </c>
      <c r="C8" s="120">
        <v>0</v>
      </c>
      <c r="D8" s="120">
        <v>6.2204000000000002E-34</v>
      </c>
      <c r="E8" s="117">
        <v>7.3199000000000005E-27</v>
      </c>
      <c r="F8" s="118">
        <v>1.0145000000000001E-21</v>
      </c>
      <c r="G8" s="118">
        <v>1.1992000000000001E-20</v>
      </c>
      <c r="H8" s="117">
        <v>1.2093999999999999E-19</v>
      </c>
      <c r="I8" s="118">
        <v>1.0558999999999999E-18</v>
      </c>
      <c r="J8" s="118">
        <v>8.0830999999999998E-18</v>
      </c>
      <c r="K8" s="117">
        <v>5.4881000000000002E-17</v>
      </c>
      <c r="L8" s="118">
        <v>3.3849999999999998E-16</v>
      </c>
      <c r="M8" s="118">
        <v>2.2411999999999998E-15</v>
      </c>
      <c r="N8" s="117">
        <v>1.4152E-14</v>
      </c>
      <c r="O8" s="118">
        <v>8.7949999999999994E-14</v>
      </c>
      <c r="P8" s="118">
        <v>5.1176000000000003E-13</v>
      </c>
      <c r="Q8" s="119">
        <v>2.8099999999999999E-12</v>
      </c>
      <c r="R8" s="120">
        <v>1.4645000000000002E-11</v>
      </c>
      <c r="S8" s="119">
        <v>7.2831000000000004E-11</v>
      </c>
      <c r="T8" s="117">
        <v>3.4731000000000001E-10</v>
      </c>
      <c r="U8" s="118">
        <v>1.5951E-9</v>
      </c>
      <c r="V8" s="117">
        <v>7.0852000000000003E-9</v>
      </c>
      <c r="W8" s="117">
        <v>1.5951E-9</v>
      </c>
      <c r="X8" s="118">
        <v>7.0852000000000003E-9</v>
      </c>
      <c r="Y8" s="118">
        <v>2.1295999999999999E-6</v>
      </c>
    </row>
    <row r="9" spans="1:25" x14ac:dyDescent="0.35">
      <c r="A9" s="112" t="s">
        <v>75</v>
      </c>
      <c r="B9" s="119">
        <v>0</v>
      </c>
      <c r="C9" s="120">
        <v>0</v>
      </c>
      <c r="D9" s="120">
        <v>1.0329E-31</v>
      </c>
      <c r="E9" s="117">
        <v>2.6072999999999999E-25</v>
      </c>
      <c r="F9" s="118">
        <v>1.1713E-20</v>
      </c>
      <c r="G9" s="118">
        <v>1.0937000000000001E-19</v>
      </c>
      <c r="H9" s="117">
        <v>8.8435999999999997E-19</v>
      </c>
      <c r="I9" s="118">
        <v>6.2750000000000001E-18</v>
      </c>
      <c r="J9" s="118">
        <v>3.9528000000000001E-17</v>
      </c>
      <c r="K9" s="117">
        <v>2.2335000000000002E-16</v>
      </c>
      <c r="L9" s="118">
        <v>1.1553000000000001E-15</v>
      </c>
      <c r="M9" s="118">
        <v>6.2573000000000001E-15</v>
      </c>
      <c r="N9" s="117">
        <v>3.2312999999999999E-14</v>
      </c>
      <c r="O9" s="118">
        <v>1.6328000000000001E-13</v>
      </c>
      <c r="P9" s="117">
        <v>7.7624000000000003E-13</v>
      </c>
      <c r="Q9" s="117">
        <v>3.4961E-12</v>
      </c>
      <c r="R9" s="118">
        <v>1.4994999999999999E-11</v>
      </c>
      <c r="S9" s="118">
        <v>6.1540999999999997E-11</v>
      </c>
      <c r="T9" s="117">
        <v>2.4273E-10</v>
      </c>
      <c r="U9" s="118">
        <v>9.2372999999999997E-10</v>
      </c>
      <c r="V9" s="118">
        <v>3.4045E-9</v>
      </c>
      <c r="W9" s="117">
        <v>9.2372999999999997E-10</v>
      </c>
      <c r="X9" s="118">
        <v>3.4045E-9</v>
      </c>
      <c r="Y9" s="117">
        <v>4.8808999999999997E-7</v>
      </c>
    </row>
    <row r="10" spans="1:25" x14ac:dyDescent="0.35">
      <c r="A10" s="112" t="s">
        <v>76</v>
      </c>
      <c r="B10" s="119">
        <v>0</v>
      </c>
      <c r="C10" s="120">
        <v>2.7002000000000002E-36</v>
      </c>
      <c r="D10" s="120">
        <v>8.0344000000000001E-28</v>
      </c>
      <c r="E10" s="117">
        <v>5.0715999999999996E-22</v>
      </c>
      <c r="F10" s="118">
        <v>8.2863999999999993E-18</v>
      </c>
      <c r="G10" s="118">
        <v>6.2630999999999999E-17</v>
      </c>
      <c r="H10" s="117">
        <v>4.1549000000000002E-16</v>
      </c>
      <c r="I10" s="118">
        <v>2.4484999999999999E-15</v>
      </c>
      <c r="J10" s="118">
        <v>1.2954E-14</v>
      </c>
      <c r="K10" s="117">
        <v>6.2109000000000003E-14</v>
      </c>
      <c r="L10" s="118">
        <v>2.7439000000000001E-13</v>
      </c>
      <c r="M10" s="118">
        <v>1.2371000000000001E-12</v>
      </c>
      <c r="N10" s="117">
        <v>5.3116999999999997E-12</v>
      </c>
      <c r="O10" s="118">
        <v>2.2169000000000001E-11</v>
      </c>
      <c r="P10" s="118">
        <v>8.7407999999999994E-11</v>
      </c>
      <c r="Q10" s="117">
        <v>3.2755000000000002E-10</v>
      </c>
      <c r="R10" s="118">
        <v>1.1720000000000001E-9</v>
      </c>
      <c r="S10" s="117">
        <v>4.0216000000000003E-9</v>
      </c>
      <c r="T10" s="117">
        <v>1.3284E-8</v>
      </c>
      <c r="U10" s="118">
        <v>4.2389999999999998E-8</v>
      </c>
      <c r="V10" s="118">
        <v>1.3112E-7</v>
      </c>
      <c r="W10" s="117">
        <v>4.2389999999999998E-8</v>
      </c>
      <c r="X10" s="118">
        <v>1.3112E-7</v>
      </c>
      <c r="Y10" s="118">
        <v>9.3438000000000002E-6</v>
      </c>
    </row>
    <row r="11" spans="1:25" x14ac:dyDescent="0.35">
      <c r="A11" s="111" t="s">
        <v>77</v>
      </c>
      <c r="B11" s="117">
        <v>1.7012999999999999E-36</v>
      </c>
      <c r="C11" s="118">
        <v>2.2943999999999999E-26</v>
      </c>
      <c r="D11" s="118">
        <v>5.2738000000000002E-20</v>
      </c>
      <c r="E11" s="119">
        <v>1.2123999999999999E-15</v>
      </c>
      <c r="F11" s="120">
        <v>1.8039E-12</v>
      </c>
      <c r="G11" s="120">
        <v>8.2828000000000002E-12</v>
      </c>
      <c r="H11" s="117">
        <v>3.4486E-11</v>
      </c>
      <c r="I11" s="118">
        <v>1.3137000000000001E-10</v>
      </c>
      <c r="J11" s="117">
        <v>4.6152000000000003E-10</v>
      </c>
      <c r="K11" s="117">
        <v>1.5057999999999999E-9</v>
      </c>
      <c r="L11" s="118">
        <v>4.6168E-9</v>
      </c>
      <c r="M11" s="118">
        <v>1.4248E-8</v>
      </c>
      <c r="N11" s="117">
        <v>4.2289000000000002E-8</v>
      </c>
      <c r="O11" s="118">
        <v>1.2242999999999999E-7</v>
      </c>
      <c r="P11" s="118">
        <v>3.3939999999999998E-7</v>
      </c>
      <c r="Q11" s="117">
        <v>9.0484000000000005E-7</v>
      </c>
      <c r="R11" s="118">
        <v>2.3281000000000002E-6</v>
      </c>
      <c r="S11" s="118">
        <v>5.7991000000000001E-6</v>
      </c>
      <c r="T11" s="117">
        <v>1.4025E-5</v>
      </c>
      <c r="U11" s="118">
        <v>3.3022999999999999E-5</v>
      </c>
      <c r="V11" s="117">
        <v>7.5883000000000005E-5</v>
      </c>
      <c r="W11" s="117">
        <v>3.3022999999999999E-5</v>
      </c>
      <c r="X11" s="118">
        <v>7.5883000000000005E-5</v>
      </c>
      <c r="Y11" s="118">
        <v>1.7390999999999999E-3</v>
      </c>
    </row>
    <row r="12" spans="1:25" x14ac:dyDescent="0.35">
      <c r="A12" s="112" t="s">
        <v>2</v>
      </c>
      <c r="B12" s="119">
        <v>0</v>
      </c>
      <c r="C12" s="120">
        <v>1.4729999999999999E-35</v>
      </c>
      <c r="D12" s="119">
        <v>7.7269999999999998E-28</v>
      </c>
      <c r="E12" s="117">
        <v>1.5352999999999999E-22</v>
      </c>
      <c r="F12" s="118">
        <v>1.1133000000000001E-18</v>
      </c>
      <c r="G12" s="117">
        <v>7.1330000000000005E-18</v>
      </c>
      <c r="H12" s="117">
        <v>4.0607999999999998E-17</v>
      </c>
      <c r="I12" s="118">
        <v>2.0767000000000001E-16</v>
      </c>
      <c r="J12" s="118">
        <v>9.6315000000000008E-16</v>
      </c>
      <c r="K12" s="117">
        <v>4.0859000000000004E-15</v>
      </c>
      <c r="L12" s="118">
        <v>1.6018000000000001E-14</v>
      </c>
      <c r="M12" s="118">
        <v>6.0298999999999996E-14</v>
      </c>
      <c r="N12" s="117">
        <v>2.1380000000000001E-13</v>
      </c>
      <c r="O12" s="118">
        <v>7.2132E-13</v>
      </c>
      <c r="P12" s="118">
        <v>2.3009E-12</v>
      </c>
      <c r="Q12" s="117">
        <v>6.9719000000000002E-12</v>
      </c>
      <c r="R12" s="118">
        <v>2.015E-11</v>
      </c>
      <c r="S12" s="118">
        <v>5.5747000000000001E-11</v>
      </c>
      <c r="T12" s="117">
        <v>1.4813999999999999E-10</v>
      </c>
      <c r="U12" s="118">
        <v>3.7928999999999999E-10</v>
      </c>
      <c r="V12" s="118">
        <v>9.382699999999999E-10</v>
      </c>
      <c r="W12" s="117">
        <v>3.7928999999999999E-10</v>
      </c>
      <c r="X12" s="118">
        <v>9.382699999999999E-10</v>
      </c>
      <c r="Y12" s="118">
        <v>2.6289000000000001E-8</v>
      </c>
    </row>
    <row r="13" spans="1:25" x14ac:dyDescent="0.35">
      <c r="A13" s="112" t="s">
        <v>1</v>
      </c>
      <c r="B13" s="119">
        <v>0.2</v>
      </c>
      <c r="C13" s="120">
        <v>0.2</v>
      </c>
      <c r="D13" s="120">
        <v>0.2</v>
      </c>
      <c r="E13" s="119">
        <v>0.2</v>
      </c>
      <c r="F13" s="120">
        <v>0.2</v>
      </c>
      <c r="G13" s="120">
        <v>0.2</v>
      </c>
      <c r="H13" s="119">
        <v>0.2</v>
      </c>
      <c r="I13" s="120">
        <v>0.2</v>
      </c>
      <c r="J13" s="120">
        <v>0.2</v>
      </c>
      <c r="K13" s="119">
        <v>0.2</v>
      </c>
      <c r="L13" s="120">
        <v>0.2</v>
      </c>
      <c r="M13" s="120">
        <v>0.2</v>
      </c>
      <c r="N13" s="119">
        <v>0.2</v>
      </c>
      <c r="O13" s="120">
        <v>0.2</v>
      </c>
      <c r="P13" s="120">
        <v>0.2</v>
      </c>
      <c r="Q13" s="119">
        <v>0.2</v>
      </c>
      <c r="R13" s="120">
        <v>0.2</v>
      </c>
      <c r="S13" s="120">
        <v>0.2</v>
      </c>
      <c r="T13" s="119">
        <v>0.2</v>
      </c>
      <c r="U13" s="120">
        <v>0.2</v>
      </c>
      <c r="V13" s="120">
        <v>0.2</v>
      </c>
      <c r="W13" s="119">
        <v>0.2</v>
      </c>
      <c r="X13" s="120">
        <v>0.2</v>
      </c>
      <c r="Y13" s="120">
        <v>0.2</v>
      </c>
    </row>
    <row r="14" spans="1:25" x14ac:dyDescent="0.35">
      <c r="A14" s="112" t="s">
        <v>28</v>
      </c>
      <c r="B14" s="119">
        <v>-18.62</v>
      </c>
      <c r="C14" s="120">
        <v>-18.649999999999999</v>
      </c>
      <c r="D14" s="120">
        <v>-18.77</v>
      </c>
      <c r="E14" s="117">
        <v>-18.93</v>
      </c>
      <c r="F14" s="118">
        <v>-19.09</v>
      </c>
      <c r="G14" s="118">
        <v>-19.14</v>
      </c>
      <c r="H14" s="117">
        <v>-19.18</v>
      </c>
      <c r="I14" s="118">
        <v>-19.22</v>
      </c>
      <c r="J14" s="118">
        <v>-19.260000000000002</v>
      </c>
      <c r="K14" s="117">
        <v>-19.3</v>
      </c>
      <c r="L14" s="118">
        <v>-19.350000000000001</v>
      </c>
      <c r="M14" s="118">
        <v>-19.39</v>
      </c>
      <c r="N14" s="117">
        <v>-19.43</v>
      </c>
      <c r="O14" s="118">
        <v>-19.47</v>
      </c>
      <c r="P14" s="118">
        <v>-19.510000000000002</v>
      </c>
      <c r="Q14" s="117">
        <v>-19.55</v>
      </c>
      <c r="R14" s="118">
        <v>-19.59</v>
      </c>
      <c r="S14" s="118">
        <v>-19.62</v>
      </c>
      <c r="T14" s="117">
        <v>-19.66</v>
      </c>
      <c r="U14" s="118">
        <v>-19.7</v>
      </c>
      <c r="V14" s="118">
        <v>-19.739999999999998</v>
      </c>
      <c r="W14" s="117">
        <v>-19.7</v>
      </c>
      <c r="X14" s="118">
        <v>-19.739999999999998</v>
      </c>
      <c r="Y14" s="118">
        <v>-19.89</v>
      </c>
    </row>
    <row r="15" spans="1:25" x14ac:dyDescent="0.35">
      <c r="A15" s="111" t="s">
        <v>6</v>
      </c>
      <c r="B15" s="117">
        <v>-16.29</v>
      </c>
      <c r="C15" s="118">
        <v>-13.81</v>
      </c>
      <c r="D15" s="118">
        <v>-12.4</v>
      </c>
      <c r="E15" s="117">
        <v>-11.54</v>
      </c>
      <c r="F15" s="118">
        <v>-10.99</v>
      </c>
      <c r="G15" s="118">
        <v>-10.89</v>
      </c>
      <c r="H15" s="117">
        <v>-10.79</v>
      </c>
      <c r="I15" s="118">
        <v>-10.71</v>
      </c>
      <c r="J15" s="118">
        <v>-10.63</v>
      </c>
      <c r="K15" s="117">
        <v>-10.56</v>
      </c>
      <c r="L15" s="118">
        <v>-10.5</v>
      </c>
      <c r="M15" s="118">
        <v>-10.52</v>
      </c>
      <c r="N15" s="117">
        <v>-10.56</v>
      </c>
      <c r="O15" s="118">
        <v>-10.64</v>
      </c>
      <c r="P15" s="118">
        <v>-10.73</v>
      </c>
      <c r="Q15" s="117">
        <v>-10.82</v>
      </c>
      <c r="R15" s="118">
        <v>-10.93</v>
      </c>
      <c r="S15" s="118">
        <v>-11.04</v>
      </c>
      <c r="T15" s="117">
        <v>-11.17</v>
      </c>
      <c r="U15" s="118">
        <v>-11.31</v>
      </c>
      <c r="V15" s="118">
        <v>-11.46</v>
      </c>
      <c r="W15" s="117">
        <v>-11.31</v>
      </c>
      <c r="X15" s="118">
        <v>-11.46</v>
      </c>
      <c r="Y15" s="118">
        <v>-12.14</v>
      </c>
    </row>
    <row r="16" spans="1:25" x14ac:dyDescent="0.35">
      <c r="A16" s="111" t="s">
        <v>7</v>
      </c>
      <c r="B16" s="117">
        <v>-23.52</v>
      </c>
      <c r="C16" s="118">
        <v>-19.13</v>
      </c>
      <c r="D16" s="118">
        <v>-16.48</v>
      </c>
      <c r="E16" s="117">
        <v>-14.74</v>
      </c>
      <c r="F16" s="118">
        <v>-13.53</v>
      </c>
      <c r="G16" s="118">
        <v>-13.28</v>
      </c>
      <c r="H16" s="119">
        <v>-13.06</v>
      </c>
      <c r="I16" s="120">
        <v>-12.85</v>
      </c>
      <c r="J16" s="120">
        <v>-12.66</v>
      </c>
      <c r="K16" s="119">
        <v>-12.48</v>
      </c>
      <c r="L16" s="120">
        <v>-12.31</v>
      </c>
      <c r="M16" s="120">
        <v>-12.11</v>
      </c>
      <c r="N16" s="117">
        <v>-11.92</v>
      </c>
      <c r="O16" s="118">
        <v>-11.73</v>
      </c>
      <c r="P16" s="118">
        <v>-11.54</v>
      </c>
      <c r="Q16" s="119">
        <v>-11.36</v>
      </c>
      <c r="R16" s="120">
        <v>-11.18</v>
      </c>
      <c r="S16" s="120">
        <v>-11</v>
      </c>
      <c r="T16" s="119">
        <v>-10.83</v>
      </c>
      <c r="U16" s="120">
        <v>-10.66</v>
      </c>
      <c r="V16" s="120">
        <v>-10.49</v>
      </c>
      <c r="W16" s="119">
        <v>-10.66</v>
      </c>
      <c r="X16" s="120">
        <v>-10.49</v>
      </c>
      <c r="Y16" s="120">
        <v>-9.8290000000000006</v>
      </c>
    </row>
    <row r="17" spans="1:25" x14ac:dyDescent="0.35">
      <c r="A17" s="112" t="s">
        <v>61</v>
      </c>
      <c r="B17" s="119">
        <v>0.2</v>
      </c>
      <c r="C17" s="120">
        <v>0.2</v>
      </c>
      <c r="D17" s="120">
        <v>0.2</v>
      </c>
      <c r="E17" s="119">
        <v>0.2</v>
      </c>
      <c r="F17" s="120">
        <v>0.2</v>
      </c>
      <c r="G17" s="120">
        <v>0.2</v>
      </c>
      <c r="H17" s="119">
        <v>0.2</v>
      </c>
      <c r="I17" s="120">
        <v>0.2</v>
      </c>
      <c r="J17" s="120">
        <v>0.2</v>
      </c>
      <c r="K17" s="119">
        <v>0.2</v>
      </c>
      <c r="L17" s="120">
        <v>0.2</v>
      </c>
      <c r="M17" s="120">
        <v>0.2</v>
      </c>
      <c r="N17" s="119">
        <v>0.2</v>
      </c>
      <c r="O17" s="120">
        <v>0.2</v>
      </c>
      <c r="P17" s="120">
        <v>0.2</v>
      </c>
      <c r="Q17" s="119">
        <v>0.2</v>
      </c>
      <c r="R17" s="120">
        <v>0.2</v>
      </c>
      <c r="S17" s="120">
        <v>0.20000999999999999</v>
      </c>
      <c r="T17" s="119">
        <v>0.20000999999999999</v>
      </c>
      <c r="U17" s="120">
        <v>0.20003000000000001</v>
      </c>
      <c r="V17" s="120">
        <v>0.20008000000000001</v>
      </c>
      <c r="W17" s="119">
        <v>0.20003000000000001</v>
      </c>
      <c r="X17" s="120">
        <v>0.20008000000000001</v>
      </c>
      <c r="Y17" s="120">
        <v>0.20175000000000001</v>
      </c>
    </row>
    <row r="18" spans="1:25" x14ac:dyDescent="0.35">
      <c r="A18" s="112" t="s">
        <v>78</v>
      </c>
      <c r="B18" s="119">
        <v>0</v>
      </c>
      <c r="C18" s="120">
        <v>0</v>
      </c>
      <c r="D18" s="120">
        <v>0</v>
      </c>
      <c r="E18" s="119">
        <v>0</v>
      </c>
      <c r="F18" s="120">
        <v>0</v>
      </c>
      <c r="G18" s="120">
        <v>0</v>
      </c>
      <c r="H18" s="119">
        <v>0</v>
      </c>
      <c r="I18" s="120">
        <v>0</v>
      </c>
      <c r="J18" s="120">
        <v>0</v>
      </c>
      <c r="K18" s="119">
        <v>0</v>
      </c>
      <c r="L18" s="120">
        <v>0</v>
      </c>
      <c r="M18" s="120">
        <v>0</v>
      </c>
      <c r="N18" s="119">
        <v>0</v>
      </c>
      <c r="O18" s="120">
        <v>0</v>
      </c>
      <c r="P18" s="120">
        <v>0</v>
      </c>
      <c r="Q18" s="119">
        <v>0</v>
      </c>
      <c r="R18" s="120">
        <v>0</v>
      </c>
      <c r="S18" s="120">
        <v>0</v>
      </c>
      <c r="T18" s="117">
        <v>0</v>
      </c>
      <c r="U18" s="118">
        <v>7.0065000000000004E-45</v>
      </c>
      <c r="V18" s="118">
        <v>8.0563000000000003E-38</v>
      </c>
      <c r="W18" s="117">
        <v>7.0065000000000004E-45</v>
      </c>
      <c r="X18" s="118">
        <v>8.0563000000000003E-38</v>
      </c>
      <c r="Y18" s="118">
        <v>8.5555000000000004E-19</v>
      </c>
    </row>
    <row r="19" spans="1:25" x14ac:dyDescent="0.35">
      <c r="A19" s="113" t="s">
        <v>69</v>
      </c>
      <c r="B19" s="121">
        <v>1.4282999999999999E-9</v>
      </c>
      <c r="C19" s="122">
        <v>4.7440999999999998E-9</v>
      </c>
      <c r="D19" s="121">
        <v>7.5777000000000004E-9</v>
      </c>
      <c r="E19" s="121">
        <v>8.3836999999999995E-9</v>
      </c>
      <c r="F19" s="122">
        <v>9.2813000000000002E-9</v>
      </c>
      <c r="G19" s="122">
        <v>8.9506000000000001E-9</v>
      </c>
      <c r="H19" s="121">
        <v>9.7752999999999995E-9</v>
      </c>
      <c r="I19" s="122">
        <v>8.8860999999999997E-9</v>
      </c>
      <c r="J19" s="122">
        <v>8.7522000000000004E-9</v>
      </c>
      <c r="K19" s="121">
        <v>1.0385E-8</v>
      </c>
      <c r="L19" s="122">
        <v>6.9451000000000004E-7</v>
      </c>
      <c r="M19" s="122">
        <v>5.9657999999999997E-6</v>
      </c>
      <c r="N19" s="121">
        <v>9.5647000000000009E-7</v>
      </c>
      <c r="O19" s="122">
        <v>9.3468E-9</v>
      </c>
      <c r="P19" s="122">
        <v>9.5911000000000001E-9</v>
      </c>
      <c r="Q19" s="121">
        <v>9.6359000000000006E-9</v>
      </c>
      <c r="R19" s="122">
        <v>9.0448E-9</v>
      </c>
      <c r="S19" s="122">
        <v>8.6818000000000004E-9</v>
      </c>
      <c r="T19" s="121">
        <v>9.4624000000000007E-9</v>
      </c>
      <c r="U19" s="122">
        <v>7.9676000000000005E-9</v>
      </c>
      <c r="V19" s="122">
        <v>6.1663000000000001E-9</v>
      </c>
      <c r="W19" s="121">
        <v>7.9676000000000005E-9</v>
      </c>
      <c r="X19" s="122">
        <v>6.1663000000000001E-9</v>
      </c>
      <c r="Y19" s="122">
        <v>9.2449999999999994E-9</v>
      </c>
    </row>
    <row r="20" spans="1:25" x14ac:dyDescent="0.35">
      <c r="A20" s="106"/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</row>
  </sheetData>
  <conditionalFormatting sqref="B1:Y19">
    <cfRule type="expression" dxfId="1" priority="1">
      <formula>ISNUMBER(B1)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28DE5-9702-4AAC-9BD6-08A1E7DD18DF}">
  <dimension ref="A1:T20"/>
  <sheetViews>
    <sheetView topLeftCell="E1" zoomScale="115" zoomScaleNormal="115" workbookViewId="0">
      <selection activeCell="H22" sqref="H22"/>
    </sheetView>
  </sheetViews>
  <sheetFormatPr defaultRowHeight="21" x14ac:dyDescent="0.35"/>
  <sheetData>
    <row r="1" spans="1:20" x14ac:dyDescent="0.35">
      <c r="A1" s="123" t="s">
        <v>65</v>
      </c>
      <c r="B1" s="124">
        <v>273.10000000000002</v>
      </c>
      <c r="C1" s="124">
        <v>293.3</v>
      </c>
      <c r="D1" s="124">
        <v>313.5</v>
      </c>
      <c r="E1" s="124">
        <v>333.7</v>
      </c>
      <c r="F1" s="124">
        <v>353.9</v>
      </c>
      <c r="G1" s="124">
        <v>434.7</v>
      </c>
      <c r="H1" s="124">
        <v>454.9</v>
      </c>
      <c r="I1" s="124">
        <v>475.1</v>
      </c>
      <c r="J1" s="124">
        <v>495.2</v>
      </c>
      <c r="K1" s="124">
        <v>515.4</v>
      </c>
      <c r="L1" s="124">
        <v>535.6</v>
      </c>
      <c r="M1" s="124">
        <v>555.79999999999995</v>
      </c>
      <c r="N1" s="128">
        <v>576</v>
      </c>
      <c r="O1" s="124">
        <v>596.20000000000005</v>
      </c>
      <c r="P1" s="128">
        <v>677</v>
      </c>
      <c r="Q1" s="124">
        <v>757.7</v>
      </c>
      <c r="R1" s="124">
        <v>838.5</v>
      </c>
      <c r="S1" s="124">
        <v>919.2</v>
      </c>
      <c r="T1" s="129">
        <v>1000</v>
      </c>
    </row>
    <row r="2" spans="1:20" x14ac:dyDescent="0.35">
      <c r="A2" s="126" t="s">
        <v>71</v>
      </c>
      <c r="B2" s="130">
        <v>1.7328E-12</v>
      </c>
      <c r="C2" s="131">
        <v>5.8658000000000003E-12</v>
      </c>
      <c r="D2" s="130">
        <v>2.2289999999999999E-12</v>
      </c>
      <c r="E2" s="130">
        <v>1.5316999999999999E-25</v>
      </c>
      <c r="F2" s="131">
        <v>1.0019E-27</v>
      </c>
      <c r="G2" s="130">
        <v>3.1653999999999998E-21</v>
      </c>
      <c r="H2" s="130">
        <v>1.3899000000000001E-23</v>
      </c>
      <c r="I2" s="131">
        <v>6.9124999999999997E-29</v>
      </c>
      <c r="J2" s="130">
        <v>0</v>
      </c>
      <c r="K2" s="130">
        <v>0</v>
      </c>
      <c r="L2" s="131">
        <v>0</v>
      </c>
      <c r="M2" s="130">
        <v>0</v>
      </c>
      <c r="N2" s="130">
        <v>0</v>
      </c>
      <c r="O2" s="131">
        <v>0</v>
      </c>
      <c r="P2" s="130">
        <v>0</v>
      </c>
      <c r="Q2" s="130">
        <v>0</v>
      </c>
      <c r="R2" s="131">
        <v>0</v>
      </c>
      <c r="S2" s="130">
        <v>0</v>
      </c>
      <c r="T2" s="130">
        <v>0</v>
      </c>
    </row>
    <row r="3" spans="1:20" x14ac:dyDescent="0.35">
      <c r="A3" s="127" t="s">
        <v>72</v>
      </c>
      <c r="B3" s="132">
        <v>1.6805999999999999E-12</v>
      </c>
      <c r="C3" s="133">
        <v>5.5805999999999999E-12</v>
      </c>
      <c r="D3" s="132">
        <v>2.2454000000000001E-12</v>
      </c>
      <c r="E3" s="134">
        <v>5.3380999999999999E-25</v>
      </c>
      <c r="F3" s="135">
        <v>7.0713999999999996E-27</v>
      </c>
      <c r="G3" s="134">
        <v>4.0008999999999998E-20</v>
      </c>
      <c r="H3" s="132">
        <v>2.4845000000000002E-22</v>
      </c>
      <c r="I3" s="133">
        <v>1.8056000000000001E-27</v>
      </c>
      <c r="J3" s="132">
        <v>0</v>
      </c>
      <c r="K3" s="132">
        <v>0</v>
      </c>
      <c r="L3" s="133">
        <v>0</v>
      </c>
      <c r="M3" s="132">
        <v>0</v>
      </c>
      <c r="N3" s="132">
        <v>0</v>
      </c>
      <c r="O3" s="133">
        <v>0</v>
      </c>
      <c r="P3" s="132">
        <v>0</v>
      </c>
      <c r="Q3" s="132">
        <v>0</v>
      </c>
      <c r="R3" s="133">
        <v>0</v>
      </c>
      <c r="S3" s="132">
        <v>0</v>
      </c>
      <c r="T3" s="132">
        <v>0</v>
      </c>
    </row>
    <row r="4" spans="1:20" x14ac:dyDescent="0.35">
      <c r="A4" s="127" t="s">
        <v>40</v>
      </c>
      <c r="B4" s="132">
        <v>0</v>
      </c>
      <c r="C4" s="133">
        <v>0</v>
      </c>
      <c r="D4" s="132">
        <v>0</v>
      </c>
      <c r="E4" s="132">
        <v>0</v>
      </c>
      <c r="F4" s="133">
        <v>0</v>
      </c>
      <c r="G4" s="132">
        <v>5.0070999999999999E-19</v>
      </c>
      <c r="H4" s="134">
        <v>1.7460999999999999E-14</v>
      </c>
      <c r="I4" s="135">
        <v>4.7011999999999999E-11</v>
      </c>
      <c r="J4" s="134">
        <v>2.0171E-9</v>
      </c>
      <c r="K4" s="132">
        <v>2.7532000000000001E-2</v>
      </c>
      <c r="L4" s="133">
        <v>0.16</v>
      </c>
      <c r="M4" s="132">
        <v>0.16</v>
      </c>
      <c r="N4" s="132">
        <v>0.16</v>
      </c>
      <c r="O4" s="133">
        <v>0.16</v>
      </c>
      <c r="P4" s="133">
        <v>0.16</v>
      </c>
      <c r="Q4" s="132">
        <v>0.16</v>
      </c>
      <c r="R4" s="133">
        <v>0.16</v>
      </c>
      <c r="S4" s="132">
        <v>0.16</v>
      </c>
      <c r="T4" s="132">
        <v>0.16</v>
      </c>
    </row>
    <row r="5" spans="1:20" x14ac:dyDescent="0.35">
      <c r="A5" s="123" t="s">
        <v>37</v>
      </c>
      <c r="B5" s="134">
        <v>2.6805000000000002E-25</v>
      </c>
      <c r="C5" s="135">
        <v>2.0495000000000001E-17</v>
      </c>
      <c r="D5" s="135">
        <v>3.6011000000000002E-11</v>
      </c>
      <c r="E5" s="132">
        <v>2.8117E-8</v>
      </c>
      <c r="F5" s="133">
        <v>0.16</v>
      </c>
      <c r="G5" s="132">
        <v>0.16</v>
      </c>
      <c r="H5" s="132">
        <v>0.16</v>
      </c>
      <c r="I5" s="133">
        <v>0.16</v>
      </c>
      <c r="J5" s="132">
        <v>0.16</v>
      </c>
      <c r="K5" s="134">
        <v>0.21506</v>
      </c>
      <c r="L5" s="135">
        <v>0.48</v>
      </c>
      <c r="M5" s="134">
        <v>0.48</v>
      </c>
      <c r="N5" s="134">
        <v>0.48</v>
      </c>
      <c r="O5" s="135">
        <v>0.48</v>
      </c>
      <c r="P5" s="135">
        <v>0.48</v>
      </c>
      <c r="Q5" s="134">
        <v>0.48</v>
      </c>
      <c r="R5" s="135">
        <v>0.48</v>
      </c>
      <c r="S5" s="134">
        <v>0.48</v>
      </c>
      <c r="T5" s="134">
        <v>0.48</v>
      </c>
    </row>
    <row r="6" spans="1:20" x14ac:dyDescent="0.35">
      <c r="A6" s="127" t="s">
        <v>66</v>
      </c>
      <c r="B6" s="132">
        <v>0.16</v>
      </c>
      <c r="C6" s="133">
        <v>0.16</v>
      </c>
      <c r="D6" s="132">
        <v>0.16</v>
      </c>
      <c r="E6" s="134">
        <v>0.16</v>
      </c>
      <c r="F6" s="135">
        <v>5.4249000000000002E-9</v>
      </c>
      <c r="G6" s="134">
        <v>3.1469999999999999E-18</v>
      </c>
      <c r="H6" s="134">
        <v>3.4140999999999998E-21</v>
      </c>
      <c r="I6" s="135">
        <v>1.3232999999999999E-26</v>
      </c>
      <c r="J6" s="134">
        <v>0</v>
      </c>
      <c r="K6" s="134">
        <v>0</v>
      </c>
      <c r="L6" s="135">
        <v>0</v>
      </c>
      <c r="M6" s="134">
        <v>0</v>
      </c>
      <c r="N6" s="134">
        <v>0</v>
      </c>
      <c r="O6" s="135">
        <v>0</v>
      </c>
      <c r="P6" s="135">
        <v>0</v>
      </c>
      <c r="Q6" s="134">
        <v>0</v>
      </c>
      <c r="R6" s="135">
        <v>0</v>
      </c>
      <c r="S6" s="134">
        <v>0</v>
      </c>
      <c r="T6" s="134">
        <v>0</v>
      </c>
    </row>
    <row r="7" spans="1:20" x14ac:dyDescent="0.35">
      <c r="A7" s="127" t="s">
        <v>38</v>
      </c>
      <c r="B7" s="132">
        <v>0</v>
      </c>
      <c r="C7" s="133">
        <v>0</v>
      </c>
      <c r="D7" s="132">
        <v>0</v>
      </c>
      <c r="E7" s="132">
        <v>0</v>
      </c>
      <c r="F7" s="133">
        <v>0</v>
      </c>
      <c r="G7" s="132">
        <v>5.0070999999999999E-19</v>
      </c>
      <c r="H7" s="134">
        <v>1.7460999999999999E-14</v>
      </c>
      <c r="I7" s="135">
        <v>4.7011999999999999E-11</v>
      </c>
      <c r="J7" s="134">
        <v>2.0171E-9</v>
      </c>
      <c r="K7" s="132">
        <v>2.7532000000000001E-2</v>
      </c>
      <c r="L7" s="133">
        <v>0.16</v>
      </c>
      <c r="M7" s="132">
        <v>0.16</v>
      </c>
      <c r="N7" s="132">
        <v>0.16</v>
      </c>
      <c r="O7" s="133">
        <v>0.16</v>
      </c>
      <c r="P7" s="133">
        <v>0.16</v>
      </c>
      <c r="Q7" s="132">
        <v>0.16</v>
      </c>
      <c r="R7" s="133">
        <v>0.16</v>
      </c>
      <c r="S7" s="132">
        <v>0.16</v>
      </c>
      <c r="T7" s="132">
        <v>0.16</v>
      </c>
    </row>
    <row r="8" spans="1:20" x14ac:dyDescent="0.35">
      <c r="A8" s="127" t="s">
        <v>84</v>
      </c>
      <c r="B8" s="132">
        <v>0</v>
      </c>
      <c r="C8" s="133">
        <v>0</v>
      </c>
      <c r="D8" s="132">
        <v>0</v>
      </c>
      <c r="E8" s="132">
        <v>0</v>
      </c>
      <c r="F8" s="133">
        <v>0</v>
      </c>
      <c r="G8" s="132">
        <v>0</v>
      </c>
      <c r="H8" s="132">
        <v>0</v>
      </c>
      <c r="I8" s="133">
        <v>0</v>
      </c>
      <c r="J8" s="132">
        <v>0</v>
      </c>
      <c r="K8" s="132">
        <v>0</v>
      </c>
      <c r="L8" s="133">
        <v>0</v>
      </c>
      <c r="M8" s="132">
        <v>1.0499E-30</v>
      </c>
      <c r="N8" s="134">
        <v>2.0256000000000001E-23</v>
      </c>
      <c r="O8" s="135">
        <v>1.1368E-18</v>
      </c>
      <c r="P8" s="134">
        <v>3.5636000000000001E-13</v>
      </c>
      <c r="Q8" s="134">
        <v>5.0767E-12</v>
      </c>
      <c r="R8" s="135">
        <v>4.8987999999999999E-11</v>
      </c>
      <c r="S8" s="134">
        <v>3.9090000000000001E-10</v>
      </c>
      <c r="T8" s="134">
        <v>2.8992000000000001E-9</v>
      </c>
    </row>
    <row r="9" spans="1:20" x14ac:dyDescent="0.35">
      <c r="A9" s="127" t="s">
        <v>39</v>
      </c>
      <c r="B9" s="132">
        <v>0.16</v>
      </c>
      <c r="C9" s="133">
        <v>0.16</v>
      </c>
      <c r="D9" s="132">
        <v>0.16</v>
      </c>
      <c r="E9" s="132">
        <v>0.16</v>
      </c>
      <c r="F9" s="133">
        <v>0.32</v>
      </c>
      <c r="G9" s="132">
        <v>0.32</v>
      </c>
      <c r="H9" s="134">
        <v>0.32</v>
      </c>
      <c r="I9" s="135">
        <v>0.32</v>
      </c>
      <c r="J9" s="135">
        <v>0.32</v>
      </c>
      <c r="K9" s="134">
        <v>0.26494000000000001</v>
      </c>
      <c r="L9" s="135">
        <v>4.6556000000000003E-9</v>
      </c>
      <c r="M9" s="134">
        <v>1.9812999999999999E-10</v>
      </c>
      <c r="N9" s="134">
        <v>1.5669999999999999E-11</v>
      </c>
      <c r="O9" s="135">
        <v>4.7772999999999998E-12</v>
      </c>
      <c r="P9" s="134">
        <v>1.8851000000000001E-21</v>
      </c>
      <c r="Q9" s="132">
        <v>1.3119999999999999E-36</v>
      </c>
      <c r="R9" s="133">
        <v>0</v>
      </c>
      <c r="S9" s="132">
        <v>0</v>
      </c>
      <c r="T9" s="132">
        <v>0</v>
      </c>
    </row>
    <row r="10" spans="1:20" x14ac:dyDescent="0.35">
      <c r="A10" s="127" t="s">
        <v>83</v>
      </c>
      <c r="B10" s="132">
        <v>0</v>
      </c>
      <c r="C10" s="133">
        <v>0</v>
      </c>
      <c r="D10" s="132">
        <v>0</v>
      </c>
      <c r="E10" s="132">
        <v>0</v>
      </c>
      <c r="F10" s="133">
        <v>0</v>
      </c>
      <c r="G10" s="132">
        <v>0</v>
      </c>
      <c r="H10" s="132">
        <v>0</v>
      </c>
      <c r="I10" s="133">
        <v>0</v>
      </c>
      <c r="J10" s="132">
        <v>0</v>
      </c>
      <c r="K10" s="132">
        <v>0</v>
      </c>
      <c r="L10" s="133">
        <v>0</v>
      </c>
      <c r="M10" s="132">
        <v>0</v>
      </c>
      <c r="N10" s="134">
        <v>2.8410999999999999E-35</v>
      </c>
      <c r="O10" s="135">
        <v>8.6182999999999996E-34</v>
      </c>
      <c r="P10" s="134">
        <v>9.4454000000000001E-29</v>
      </c>
      <c r="Q10" s="134">
        <v>8.6050999999999998E-25</v>
      </c>
      <c r="R10" s="135">
        <v>1.3367E-21</v>
      </c>
      <c r="S10" s="134">
        <v>5.6430999999999998E-19</v>
      </c>
      <c r="T10" s="134">
        <v>8.8784999999999997E-17</v>
      </c>
    </row>
    <row r="11" spans="1:20" x14ac:dyDescent="0.35">
      <c r="A11" s="127" t="s">
        <v>3</v>
      </c>
      <c r="B11" s="132">
        <v>0</v>
      </c>
      <c r="C11" s="133">
        <v>0</v>
      </c>
      <c r="D11" s="132">
        <v>0</v>
      </c>
      <c r="E11" s="132">
        <v>0</v>
      </c>
      <c r="F11" s="133">
        <v>0</v>
      </c>
      <c r="G11" s="132">
        <v>0</v>
      </c>
      <c r="H11" s="132">
        <v>0</v>
      </c>
      <c r="I11" s="133">
        <v>6.1216000000000001E-36</v>
      </c>
      <c r="J11" s="132">
        <v>7.5483999999999999E-34</v>
      </c>
      <c r="K11" s="134">
        <v>6.4778000000000002E-32</v>
      </c>
      <c r="L11" s="135">
        <v>1.7163E-30</v>
      </c>
      <c r="M11" s="134">
        <v>3.6084E-29</v>
      </c>
      <c r="N11" s="134">
        <v>6.1321999999999997E-28</v>
      </c>
      <c r="O11" s="135">
        <v>8.6068999999999998E-27</v>
      </c>
      <c r="P11" s="134">
        <v>6.9381000000000001E-23</v>
      </c>
      <c r="Q11" s="134">
        <v>8.2535E-20</v>
      </c>
      <c r="R11" s="135">
        <v>2.514E-17</v>
      </c>
      <c r="S11" s="134">
        <v>2.8042000000000001E-15</v>
      </c>
      <c r="T11" s="134">
        <v>1.4598E-13</v>
      </c>
    </row>
    <row r="12" spans="1:20" x14ac:dyDescent="0.35">
      <c r="A12" s="127" t="s">
        <v>82</v>
      </c>
      <c r="B12" s="132">
        <v>0</v>
      </c>
      <c r="C12" s="133">
        <v>1.4789E-36</v>
      </c>
      <c r="D12" s="132">
        <v>1.4752999999999999E-34</v>
      </c>
      <c r="E12" s="134">
        <v>8.3737000000000002E-33</v>
      </c>
      <c r="F12" s="135">
        <v>2.9790999999999999E-31</v>
      </c>
      <c r="G12" s="135">
        <v>1.6497E-26</v>
      </c>
      <c r="H12" s="134">
        <v>1.3662999999999999E-25</v>
      </c>
      <c r="I12" s="135">
        <v>9.4198999999999997E-25</v>
      </c>
      <c r="J12" s="134">
        <v>5.5292999999999999E-24</v>
      </c>
      <c r="K12" s="134">
        <v>2.8124000000000002E-23</v>
      </c>
      <c r="L12" s="135">
        <v>5.3419000000000001E-23</v>
      </c>
      <c r="M12" s="134">
        <v>9.5889999999999996E-23</v>
      </c>
      <c r="N12" s="134">
        <v>1.6252E-22</v>
      </c>
      <c r="O12" s="135">
        <v>2.6167E-22</v>
      </c>
      <c r="P12" s="134">
        <v>1.1613E-21</v>
      </c>
      <c r="Q12" s="134">
        <v>3.1419999999999999E-21</v>
      </c>
      <c r="R12" s="135">
        <v>6.0357999999999998E-21</v>
      </c>
      <c r="S12" s="134">
        <v>9.0656000000000005E-21</v>
      </c>
      <c r="T12" s="134">
        <v>1.1346E-20</v>
      </c>
    </row>
    <row r="13" spans="1:20" x14ac:dyDescent="0.35">
      <c r="A13" s="123" t="s">
        <v>77</v>
      </c>
      <c r="B13" s="134">
        <v>1.7012999999999999E-36</v>
      </c>
      <c r="C13" s="135">
        <v>1.9338999999999999E-33</v>
      </c>
      <c r="D13" s="134">
        <v>8.8807999999999993E-31</v>
      </c>
      <c r="E13" s="134">
        <v>1.9417E-28</v>
      </c>
      <c r="F13" s="135">
        <v>6.3660000000000002E-27</v>
      </c>
      <c r="G13" s="134">
        <v>6.6177999999999998E-24</v>
      </c>
      <c r="H13" s="134">
        <v>2.272E-23</v>
      </c>
      <c r="I13" s="135">
        <v>6.7347000000000004E-23</v>
      </c>
      <c r="J13" s="134">
        <v>1.7571E-22</v>
      </c>
      <c r="K13" s="134">
        <v>4.1138E-22</v>
      </c>
      <c r="L13" s="135">
        <v>8.6744999999999998E-22</v>
      </c>
      <c r="M13" s="135">
        <v>1.6832000000000001E-21</v>
      </c>
      <c r="N13" s="134">
        <v>3.025E-21</v>
      </c>
      <c r="O13" s="135">
        <v>5.0780999999999998E-21</v>
      </c>
      <c r="P13" s="134">
        <v>2.3265999999999999E-20</v>
      </c>
      <c r="Q13" s="134">
        <v>5.5564999999999998E-20</v>
      </c>
      <c r="R13" s="135">
        <v>8.4864000000000003E-20</v>
      </c>
      <c r="S13" s="134">
        <v>9.4253999999999996E-20</v>
      </c>
      <c r="T13" s="134">
        <v>8.2804000000000002E-20</v>
      </c>
    </row>
    <row r="14" spans="1:20" x14ac:dyDescent="0.35">
      <c r="A14" s="127" t="s">
        <v>2</v>
      </c>
      <c r="B14" s="132">
        <v>0</v>
      </c>
      <c r="C14" s="133">
        <v>0</v>
      </c>
      <c r="D14" s="132">
        <v>0</v>
      </c>
      <c r="E14" s="132">
        <v>0</v>
      </c>
      <c r="F14" s="133">
        <v>7.7588000000000001E-36</v>
      </c>
      <c r="G14" s="132">
        <v>8.6558000000000003E-30</v>
      </c>
      <c r="H14" s="134">
        <v>1.2250999999999999E-28</v>
      </c>
      <c r="I14" s="135">
        <v>1.3556999999999999E-27</v>
      </c>
      <c r="J14" s="135">
        <v>1.2094999999999999E-26</v>
      </c>
      <c r="K14" s="134">
        <v>8.9431000000000004E-26</v>
      </c>
      <c r="L14" s="135">
        <v>5.5738999999999996E-25</v>
      </c>
      <c r="M14" s="134">
        <v>2.9985000000000001E-24</v>
      </c>
      <c r="N14" s="134">
        <v>1.4124E-23</v>
      </c>
      <c r="O14" s="135">
        <v>5.9069000000000006E-23</v>
      </c>
      <c r="P14" s="134">
        <v>6.8385000000000006E-21</v>
      </c>
      <c r="Q14" s="134">
        <v>2.4507000000000001E-19</v>
      </c>
      <c r="R14" s="135">
        <v>3.8469999999999996E-18</v>
      </c>
      <c r="S14" s="134">
        <v>3.3061E-17</v>
      </c>
      <c r="T14" s="133">
        <v>1.8061999999999999E-16</v>
      </c>
    </row>
    <row r="15" spans="1:20" x14ac:dyDescent="0.35">
      <c r="A15" s="127" t="s">
        <v>1</v>
      </c>
      <c r="B15" s="132">
        <v>0.2</v>
      </c>
      <c r="C15" s="133">
        <v>0.2</v>
      </c>
      <c r="D15" s="132">
        <v>0.2</v>
      </c>
      <c r="E15" s="132">
        <v>0.2</v>
      </c>
      <c r="F15" s="133">
        <v>0.2</v>
      </c>
      <c r="G15" s="132">
        <v>0.2</v>
      </c>
      <c r="H15" s="132">
        <v>0.2</v>
      </c>
      <c r="I15" s="133">
        <v>0.2</v>
      </c>
      <c r="J15" s="132">
        <v>0.2</v>
      </c>
      <c r="K15" s="132">
        <v>0.2</v>
      </c>
      <c r="L15" s="133">
        <v>0.2</v>
      </c>
      <c r="M15" s="132">
        <v>0.2</v>
      </c>
      <c r="N15" s="132">
        <v>0.2</v>
      </c>
      <c r="O15" s="133">
        <v>0.2</v>
      </c>
      <c r="P15" s="132">
        <v>0.2</v>
      </c>
      <c r="Q15" s="132">
        <v>0.2</v>
      </c>
      <c r="R15" s="133">
        <v>0.2</v>
      </c>
      <c r="S15" s="132">
        <v>0.2</v>
      </c>
      <c r="T15" s="132">
        <v>0.2</v>
      </c>
    </row>
    <row r="16" spans="1:20" x14ac:dyDescent="0.35">
      <c r="A16" s="123" t="s">
        <v>85</v>
      </c>
      <c r="B16" s="134">
        <v>0</v>
      </c>
      <c r="C16" s="135">
        <v>0</v>
      </c>
      <c r="D16" s="134">
        <v>0</v>
      </c>
      <c r="E16" s="134">
        <v>0</v>
      </c>
      <c r="F16" s="135">
        <v>0</v>
      </c>
      <c r="G16" s="134">
        <v>0</v>
      </c>
      <c r="H16" s="134">
        <v>0</v>
      </c>
      <c r="I16" s="135">
        <v>5.1747999999999999E-35</v>
      </c>
      <c r="J16" s="134">
        <v>0</v>
      </c>
      <c r="K16" s="134">
        <v>0</v>
      </c>
      <c r="L16" s="135">
        <v>0</v>
      </c>
      <c r="M16" s="134">
        <v>4.9085999999999998E-29</v>
      </c>
      <c r="N16" s="134">
        <v>7.8558000000000003E-22</v>
      </c>
      <c r="O16" s="135">
        <v>3.6916000000000003E-17</v>
      </c>
      <c r="P16" s="134">
        <v>6.1864999999999999E-12</v>
      </c>
      <c r="Q16" s="134">
        <v>3.3754000000000002E-11</v>
      </c>
      <c r="R16" s="135">
        <v>9.8782999999999994E-11</v>
      </c>
      <c r="S16" s="134">
        <v>3.9090000000000001E-10</v>
      </c>
      <c r="T16" s="134">
        <v>2.8993000000000001E-9</v>
      </c>
    </row>
    <row r="17" spans="1:20" x14ac:dyDescent="0.35">
      <c r="A17" s="127" t="s">
        <v>86</v>
      </c>
      <c r="B17" s="132">
        <v>0</v>
      </c>
      <c r="C17" s="133">
        <v>0</v>
      </c>
      <c r="D17" s="132">
        <v>0</v>
      </c>
      <c r="E17" s="132">
        <v>0</v>
      </c>
      <c r="F17" s="133">
        <v>0</v>
      </c>
      <c r="G17" s="132">
        <v>0</v>
      </c>
      <c r="H17" s="132">
        <v>0</v>
      </c>
      <c r="I17" s="133">
        <v>0</v>
      </c>
      <c r="J17" s="132">
        <v>0</v>
      </c>
      <c r="K17" s="132">
        <v>0</v>
      </c>
      <c r="L17" s="133">
        <v>0</v>
      </c>
      <c r="M17" s="132">
        <v>1.4803E-34</v>
      </c>
      <c r="N17" s="132">
        <v>1.4866999999999999E-27</v>
      </c>
      <c r="O17" s="133">
        <v>4.4685000000000002E-23</v>
      </c>
      <c r="P17" s="132">
        <v>1.4711999999999999E-18</v>
      </c>
      <c r="Q17" s="132">
        <v>1.9296000000000001E-18</v>
      </c>
      <c r="R17" s="133">
        <v>1.5774E-18</v>
      </c>
      <c r="S17" s="133">
        <v>1.9562E-18</v>
      </c>
      <c r="T17" s="132">
        <v>4.9766999999999999E-18</v>
      </c>
    </row>
    <row r="18" spans="1:20" x14ac:dyDescent="0.35">
      <c r="A18" s="127" t="s">
        <v>28</v>
      </c>
      <c r="B18" s="132">
        <v>-18.62</v>
      </c>
      <c r="C18" s="133">
        <v>-18.61</v>
      </c>
      <c r="D18" s="133">
        <v>-18.61</v>
      </c>
      <c r="E18" s="134">
        <v>-18.63</v>
      </c>
      <c r="F18" s="135">
        <v>-18.649999999999999</v>
      </c>
      <c r="G18" s="134">
        <v>-18.77</v>
      </c>
      <c r="H18" s="132">
        <v>-18.809999999999999</v>
      </c>
      <c r="I18" s="133">
        <v>-18.84</v>
      </c>
      <c r="J18" s="132">
        <v>-18.88</v>
      </c>
      <c r="K18" s="134">
        <v>-18.93</v>
      </c>
      <c r="L18" s="135">
        <v>-18.97</v>
      </c>
      <c r="M18" s="134">
        <v>-19.010000000000002</v>
      </c>
      <c r="N18" s="134">
        <v>-19.05</v>
      </c>
      <c r="O18" s="135">
        <v>-19.09</v>
      </c>
      <c r="P18" s="135">
        <v>-19.260000000000002</v>
      </c>
      <c r="Q18" s="134">
        <v>-19.43</v>
      </c>
      <c r="R18" s="135">
        <v>-19.59</v>
      </c>
      <c r="S18" s="134">
        <v>-19.739999999999998</v>
      </c>
      <c r="T18" s="134">
        <v>-19.88</v>
      </c>
    </row>
    <row r="19" spans="1:20" x14ac:dyDescent="0.35">
      <c r="A19" s="123" t="s">
        <v>6</v>
      </c>
      <c r="B19" s="134">
        <v>-16.29</v>
      </c>
      <c r="C19" s="135">
        <v>-15.52</v>
      </c>
      <c r="D19" s="134">
        <v>-14.86</v>
      </c>
      <c r="E19" s="134">
        <v>-14.3</v>
      </c>
      <c r="F19" s="135">
        <v>-13.17</v>
      </c>
      <c r="G19" s="134">
        <v>-7.9130000000000003</v>
      </c>
      <c r="H19" s="134">
        <v>-6.851</v>
      </c>
      <c r="I19" s="135">
        <v>-5.867</v>
      </c>
      <c r="J19" s="134">
        <v>-4.9489999999999998</v>
      </c>
      <c r="K19" s="134">
        <v>-4.0949999999999998</v>
      </c>
      <c r="L19" s="135">
        <v>-4.1500000000000004</v>
      </c>
      <c r="M19" s="134">
        <v>-4.2</v>
      </c>
      <c r="N19" s="134">
        <v>-4.2489999999999997</v>
      </c>
      <c r="O19" s="135">
        <v>-4.2990000000000004</v>
      </c>
      <c r="P19" s="134">
        <v>-4.4989999999999997</v>
      </c>
      <c r="Q19" s="134">
        <v>-4.6959999999999997</v>
      </c>
      <c r="R19" s="135">
        <v>-4.8869999999999996</v>
      </c>
      <c r="S19" s="134">
        <v>-5.0709999999999997</v>
      </c>
      <c r="T19" s="134">
        <v>-5.2489999999999997</v>
      </c>
    </row>
    <row r="20" spans="1:20" x14ac:dyDescent="0.35">
      <c r="A20" s="125" t="s">
        <v>7</v>
      </c>
      <c r="B20" s="136">
        <v>-23.52</v>
      </c>
      <c r="C20" s="137">
        <v>-22.18</v>
      </c>
      <c r="D20" s="136">
        <v>-21.02</v>
      </c>
      <c r="E20" s="136">
        <v>-20.010000000000002</v>
      </c>
      <c r="F20" s="137">
        <v>-19.77</v>
      </c>
      <c r="G20" s="136">
        <v>-20.97</v>
      </c>
      <c r="H20" s="136">
        <v>-21.27</v>
      </c>
      <c r="I20" s="137">
        <v>-21.58</v>
      </c>
      <c r="J20" s="136">
        <v>-21.88</v>
      </c>
      <c r="K20" s="136">
        <v>-22.18</v>
      </c>
      <c r="L20" s="137">
        <v>-22.49</v>
      </c>
      <c r="M20" s="136">
        <v>-22.79</v>
      </c>
      <c r="N20" s="136">
        <v>-23.08</v>
      </c>
      <c r="O20" s="137">
        <v>-23.37</v>
      </c>
      <c r="P20" s="136">
        <v>-24.51</v>
      </c>
      <c r="Q20" s="136">
        <v>-25.6</v>
      </c>
      <c r="R20" s="137">
        <v>-26.65</v>
      </c>
      <c r="S20" s="136">
        <v>-27.65</v>
      </c>
      <c r="T20" s="136">
        <v>-28.62</v>
      </c>
    </row>
  </sheetData>
  <conditionalFormatting sqref="B1:T20">
    <cfRule type="expression" dxfId="0" priority="1">
      <formula>ISNUMBER(B1)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12</vt:i4>
      </vt:variant>
    </vt:vector>
  </HeadingPairs>
  <TitlesOfParts>
    <vt:vector size="21" baseType="lpstr">
      <vt:lpstr>Values</vt:lpstr>
      <vt:lpstr>ALL</vt:lpstr>
      <vt:lpstr>FLUID</vt:lpstr>
      <vt:lpstr>SOLID</vt:lpstr>
      <vt:lpstr>EVALUATION</vt:lpstr>
      <vt:lpstr>data</vt:lpstr>
      <vt:lpstr>A</vt:lpstr>
      <vt:lpstr>F</vt:lpstr>
      <vt:lpstr>S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2021-03-07T17:20:29Z</dcterms:modified>
</cp:coreProperties>
</file>