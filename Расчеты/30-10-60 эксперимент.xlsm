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23B5D044-5032-4F6D-8464-F218E45F7849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Gibbs-EVAL" sheetId="8" r:id="rId5"/>
    <sheet name="Mass-EVAL" sheetId="14" r:id="rId6"/>
    <sheet name="data" sheetId="7" r:id="rId7"/>
  </sheets>
  <functionGroups builtInGroupCount="19"/>
  <definedNames>
    <definedName name="H.Ar" localSheetId="1">ALL!$F$34:$BR$34</definedName>
    <definedName name="H.Ar" localSheetId="2">FLUID!$F$34:$BR$34</definedName>
    <definedName name="H.Ar" localSheetId="3">SOLID!$F$34:$BR$34</definedName>
    <definedName name="H.Ga" localSheetId="1">ALL!$F$35:$BR$35</definedName>
    <definedName name="H.Ga" localSheetId="2">FLUID!$F$35:$BR$35</definedName>
    <definedName name="H.Ga" localSheetId="3">SOLID!$F$35:$BR$35</definedName>
    <definedName name="H.Ge" localSheetId="1">ALL!$F$36:$BR$36</definedName>
    <definedName name="H.Ge" localSheetId="2">FLUID!$F$36:$BR$36</definedName>
    <definedName name="H.Ge" localSheetId="3">SOLID!$F$36:$BR$36</definedName>
    <definedName name="H.Se" localSheetId="1">ALL!$F$37:$BR$37</definedName>
    <definedName name="H.Se" localSheetId="2">FLUID!$F$37:$BR$37</definedName>
    <definedName name="H.Se" localSheetId="3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1" l="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F35" i="11"/>
  <c r="F36" i="11"/>
  <c r="F37" i="11"/>
  <c r="F34" i="11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96" i="8"/>
  <c r="B96" i="8"/>
  <c r="H66" i="8"/>
  <c r="P66" i="8"/>
  <c r="X66" i="8"/>
  <c r="AF66" i="8"/>
  <c r="BO66" i="8"/>
  <c r="BP66" i="8"/>
  <c r="BQ66" i="8"/>
  <c r="BR66" i="8"/>
  <c r="BS66" i="8"/>
  <c r="BT66" i="8"/>
  <c r="I34" i="8"/>
  <c r="J34" i="8"/>
  <c r="Q34" i="8"/>
  <c r="R34" i="8"/>
  <c r="Y34" i="8"/>
  <c r="Z34" i="8"/>
  <c r="AG34" i="8"/>
  <c r="AH34" i="8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8" i="11"/>
  <c r="H47" i="11"/>
  <c r="M64" i="11"/>
  <c r="P46" i="11"/>
  <c r="U62" i="11"/>
  <c r="AF46" i="11"/>
  <c r="AN46" i="11"/>
  <c r="AJ3" i="8" s="1"/>
  <c r="AS46" i="11"/>
  <c r="AT48" i="11"/>
  <c r="AU46" i="11"/>
  <c r="AQ3" i="8" s="1"/>
  <c r="AV46" i="11"/>
  <c r="AR3" i="8" s="1"/>
  <c r="AW46" i="11"/>
  <c r="AS3" i="8" s="1"/>
  <c r="BA46" i="11"/>
  <c r="AW3" i="8" s="1"/>
  <c r="BB50" i="11"/>
  <c r="AX7" i="8" s="1"/>
  <c r="BC46" i="11"/>
  <c r="AY3" i="8" s="1"/>
  <c r="BD46" i="11"/>
  <c r="AZ3" i="8" s="1"/>
  <c r="BE46" i="11"/>
  <c r="BA3" i="8" s="1"/>
  <c r="BI46" i="11"/>
  <c r="BE3" i="8" s="1"/>
  <c r="BJ52" i="11"/>
  <c r="BF9" i="8" s="1"/>
  <c r="BK46" i="11"/>
  <c r="BG3" i="8" s="1"/>
  <c r="BL46" i="11"/>
  <c r="BH3" i="8" s="1"/>
  <c r="BQ47" i="11"/>
  <c r="BM4" i="8" s="1"/>
  <c r="BR51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AM46" i="11"/>
  <c r="AO46" i="11"/>
  <c r="AK3" i="8" s="1"/>
  <c r="AP46" i="11"/>
  <c r="AL3" i="8" s="1"/>
  <c r="AX46" i="11"/>
  <c r="AT3" i="8" s="1"/>
  <c r="BF46" i="11"/>
  <c r="BB3" i="8" s="1"/>
  <c r="BH46" i="11"/>
  <c r="BD3" i="8" s="1"/>
  <c r="BM46" i="11"/>
  <c r="BI3" i="8" s="1"/>
  <c r="BN46" i="11"/>
  <c r="BJ3" i="8" s="1"/>
  <c r="BP46" i="11"/>
  <c r="AM47" i="11"/>
  <c r="AI4" i="8" s="1"/>
  <c r="AO47" i="11"/>
  <c r="AK4" i="8" s="1"/>
  <c r="AP47" i="11"/>
  <c r="AL4" i="8" s="1"/>
  <c r="AS47" i="11"/>
  <c r="AO4" i="8" s="1"/>
  <c r="AU47" i="11"/>
  <c r="AQ4" i="8" s="1"/>
  <c r="AW47" i="11"/>
  <c r="AS4" i="8" s="1"/>
  <c r="AX47" i="11"/>
  <c r="BE47" i="11"/>
  <c r="BA4" i="8" s="1"/>
  <c r="BF47" i="11"/>
  <c r="BB4" i="8" s="1"/>
  <c r="BJ47" i="11"/>
  <c r="BF4" i="8" s="1"/>
  <c r="BM47" i="11"/>
  <c r="BI4" i="8" s="1"/>
  <c r="BN47" i="11"/>
  <c r="BJ4" i="8" s="1"/>
  <c r="AM48" i="11"/>
  <c r="AI5" i="8" s="1"/>
  <c r="AN48" i="11"/>
  <c r="AJ5" i="8" s="1"/>
  <c r="AO48" i="11"/>
  <c r="AP48" i="11"/>
  <c r="AL5" i="8" s="1"/>
  <c r="AS48" i="11"/>
  <c r="AO5" i="8" s="1"/>
  <c r="AU48" i="11"/>
  <c r="AQ5" i="8" s="1"/>
  <c r="AW48" i="11"/>
  <c r="AS5" i="8" s="1"/>
  <c r="AX48" i="11"/>
  <c r="AT5" i="8" s="1"/>
  <c r="BA48" i="11"/>
  <c r="AW5" i="8" s="1"/>
  <c r="BC48" i="11"/>
  <c r="AY5" i="8" s="1"/>
  <c r="BE48" i="11"/>
  <c r="BA5" i="8" s="1"/>
  <c r="BF48" i="11"/>
  <c r="BJ48" i="11"/>
  <c r="BF5" i="8" s="1"/>
  <c r="BK48" i="11"/>
  <c r="BG5" i="8" s="1"/>
  <c r="BM48" i="11"/>
  <c r="BI5" i="8" s="1"/>
  <c r="BN48" i="11"/>
  <c r="BJ5" i="8" s="1"/>
  <c r="BQ48" i="11"/>
  <c r="BM5" i="8" s="1"/>
  <c r="BR48" i="11"/>
  <c r="BN5" i="8" s="1"/>
  <c r="AM49" i="11"/>
  <c r="AN49" i="11"/>
  <c r="AJ6" i="8" s="1"/>
  <c r="AO49" i="11"/>
  <c r="AK6" i="8" s="1"/>
  <c r="AP49" i="11"/>
  <c r="AL6" i="8" s="1"/>
  <c r="AS49" i="11"/>
  <c r="AO6" i="8" s="1"/>
  <c r="AU49" i="11"/>
  <c r="AQ6" i="8" s="1"/>
  <c r="AV49" i="11"/>
  <c r="AR6" i="8" s="1"/>
  <c r="AW49" i="11"/>
  <c r="AS6" i="8" s="1"/>
  <c r="AX49" i="11"/>
  <c r="BA49" i="11"/>
  <c r="AW6" i="8" s="1"/>
  <c r="BC49" i="11"/>
  <c r="AY6" i="8" s="1"/>
  <c r="BD49" i="11"/>
  <c r="AZ6" i="8" s="1"/>
  <c r="BE49" i="11"/>
  <c r="BA6" i="8" s="1"/>
  <c r="BF49" i="11"/>
  <c r="BB6" i="8" s="1"/>
  <c r="BI49" i="11"/>
  <c r="BE6" i="8" s="1"/>
  <c r="BJ49" i="11"/>
  <c r="BF6" i="8" s="1"/>
  <c r="BK49" i="11"/>
  <c r="BL49" i="11"/>
  <c r="BH6" i="8" s="1"/>
  <c r="BM49" i="11"/>
  <c r="BI6" i="8" s="1"/>
  <c r="BN49" i="11"/>
  <c r="BJ6" i="8" s="1"/>
  <c r="BQ49" i="11"/>
  <c r="BM6" i="8" s="1"/>
  <c r="BR49" i="11"/>
  <c r="BN6" i="8" s="1"/>
  <c r="AM50" i="11"/>
  <c r="AI7" i="8" s="1"/>
  <c r="AN50" i="11"/>
  <c r="AJ7" i="8" s="1"/>
  <c r="AO50" i="11"/>
  <c r="AP50" i="11"/>
  <c r="AL7" i="8" s="1"/>
  <c r="AS50" i="11"/>
  <c r="AO7" i="8" s="1"/>
  <c r="AU50" i="11"/>
  <c r="AQ7" i="8" s="1"/>
  <c r="AV50" i="11"/>
  <c r="AR7" i="8" s="1"/>
  <c r="AW50" i="11"/>
  <c r="AS7" i="8" s="1"/>
  <c r="AX50" i="11"/>
  <c r="AT7" i="8" s="1"/>
  <c r="BA50" i="11"/>
  <c r="AW7" i="8" s="1"/>
  <c r="BC50" i="11"/>
  <c r="BD50" i="11"/>
  <c r="AZ7" i="8" s="1"/>
  <c r="BE50" i="11"/>
  <c r="BA7" i="8" s="1"/>
  <c r="BF50" i="11"/>
  <c r="BB7" i="8" s="1"/>
  <c r="BI50" i="11"/>
  <c r="BE7" i="8" s="1"/>
  <c r="BJ50" i="11"/>
  <c r="BF7" i="8" s="1"/>
  <c r="BK50" i="11"/>
  <c r="BG7" i="8" s="1"/>
  <c r="BL50" i="11"/>
  <c r="BH7" i="8" s="1"/>
  <c r="BM50" i="11"/>
  <c r="BN50" i="11"/>
  <c r="BJ7" i="8" s="1"/>
  <c r="BQ50" i="11"/>
  <c r="BR50" i="11"/>
  <c r="BN7" i="8" s="1"/>
  <c r="AM51" i="11"/>
  <c r="AI8" i="8" s="1"/>
  <c r="AN51" i="11"/>
  <c r="AJ8" i="8" s="1"/>
  <c r="AO51" i="11"/>
  <c r="AK8" i="8" s="1"/>
  <c r="AP51" i="11"/>
  <c r="AL8" i="8" s="1"/>
  <c r="AS51" i="11"/>
  <c r="AT51" i="11"/>
  <c r="AU51" i="11"/>
  <c r="AQ8" i="8" s="1"/>
  <c r="AV51" i="11"/>
  <c r="AR8" i="8" s="1"/>
  <c r="AW51" i="11"/>
  <c r="AS8" i="8" s="1"/>
  <c r="AX51" i="11"/>
  <c r="AT8" i="8" s="1"/>
  <c r="BA51" i="11"/>
  <c r="AW8" i="8" s="1"/>
  <c r="BB51" i="11"/>
  <c r="AX8" i="8" s="1"/>
  <c r="BC51" i="11"/>
  <c r="BD51" i="11"/>
  <c r="AZ8" i="8" s="1"/>
  <c r="BE51" i="11"/>
  <c r="BA8" i="8" s="1"/>
  <c r="BF51" i="11"/>
  <c r="BB8" i="8" s="1"/>
  <c r="BI51" i="11"/>
  <c r="BE8" i="8" s="1"/>
  <c r="BJ51" i="11"/>
  <c r="BF8" i="8" s="1"/>
  <c r="BK51" i="11"/>
  <c r="BG8" i="8" s="1"/>
  <c r="BL51" i="11"/>
  <c r="BH8" i="8" s="1"/>
  <c r="BM51" i="11"/>
  <c r="BN51" i="11"/>
  <c r="BJ8" i="8" s="1"/>
  <c r="BQ51" i="11"/>
  <c r="AM52" i="11"/>
  <c r="AI9" i="8" s="1"/>
  <c r="AN52" i="11"/>
  <c r="AJ9" i="8" s="1"/>
  <c r="AO52" i="11"/>
  <c r="AK9" i="8" s="1"/>
  <c r="AP52" i="11"/>
  <c r="AL9" i="8" s="1"/>
  <c r="AS52" i="11"/>
  <c r="AO9" i="8" s="1"/>
  <c r="AT52" i="11"/>
  <c r="AU52" i="11"/>
  <c r="AQ9" i="8" s="1"/>
  <c r="AV52" i="11"/>
  <c r="AR9" i="8" s="1"/>
  <c r="AW52" i="11"/>
  <c r="AS9" i="8" s="1"/>
  <c r="AX52" i="11"/>
  <c r="AT9" i="8" s="1"/>
  <c r="BA52" i="11"/>
  <c r="AW9" i="8" s="1"/>
  <c r="BB52" i="11"/>
  <c r="AX9" i="8" s="1"/>
  <c r="BC52" i="11"/>
  <c r="AY9" i="8" s="1"/>
  <c r="BD52" i="11"/>
  <c r="AZ9" i="8" s="1"/>
  <c r="BE52" i="11"/>
  <c r="BA9" i="8" s="1"/>
  <c r="BF52" i="11"/>
  <c r="BB9" i="8" s="1"/>
  <c r="BI52" i="11"/>
  <c r="BE9" i="8" s="1"/>
  <c r="BK52" i="11"/>
  <c r="BG9" i="8" s="1"/>
  <c r="BL52" i="11"/>
  <c r="BH9" i="8" s="1"/>
  <c r="BM52" i="11"/>
  <c r="BI9" i="8" s="1"/>
  <c r="BN52" i="11"/>
  <c r="BJ9" i="8" s="1"/>
  <c r="BQ52" i="11"/>
  <c r="BR52" i="11"/>
  <c r="BN9" i="8" s="1"/>
  <c r="AM53" i="11"/>
  <c r="AI10" i="8" s="1"/>
  <c r="AN53" i="11"/>
  <c r="AJ10" i="8" s="1"/>
  <c r="AO53" i="11"/>
  <c r="AK10" i="8" s="1"/>
  <c r="AP53" i="11"/>
  <c r="AL10" i="8" s="1"/>
  <c r="AS53" i="11"/>
  <c r="AO10" i="8" s="1"/>
  <c r="AT53" i="11"/>
  <c r="AP10" i="8" s="1"/>
  <c r="AU53" i="11"/>
  <c r="AQ10" i="8" s="1"/>
  <c r="AV53" i="11"/>
  <c r="AR10" i="8" s="1"/>
  <c r="AW53" i="11"/>
  <c r="AS10" i="8" s="1"/>
  <c r="AX53" i="11"/>
  <c r="AT10" i="8" s="1"/>
  <c r="AZ53" i="11"/>
  <c r="AV10" i="8" s="1"/>
  <c r="BA53" i="11"/>
  <c r="AW10" i="8" s="1"/>
  <c r="BB53" i="11"/>
  <c r="AX10" i="8" s="1"/>
  <c r="BC53" i="11"/>
  <c r="AY10" i="8" s="1"/>
  <c r="BD53" i="11"/>
  <c r="AZ10" i="8" s="1"/>
  <c r="BE53" i="11"/>
  <c r="BA10" i="8" s="1"/>
  <c r="BF53" i="11"/>
  <c r="BB10" i="8" s="1"/>
  <c r="BH53" i="11"/>
  <c r="BD10" i="8" s="1"/>
  <c r="BI53" i="11"/>
  <c r="BE10" i="8" s="1"/>
  <c r="BJ53" i="11"/>
  <c r="BF10" i="8" s="1"/>
  <c r="BK53" i="11"/>
  <c r="BG10" i="8" s="1"/>
  <c r="BL53" i="11"/>
  <c r="BH10" i="8" s="1"/>
  <c r="BM53" i="11"/>
  <c r="BN53" i="11"/>
  <c r="BJ10" i="8" s="1"/>
  <c r="BP53" i="11"/>
  <c r="BL10" i="8" s="1"/>
  <c r="BQ53" i="11"/>
  <c r="BM10" i="8" s="1"/>
  <c r="BR53" i="11"/>
  <c r="BN10" i="8" s="1"/>
  <c r="AM54" i="11"/>
  <c r="AI11" i="8" s="1"/>
  <c r="AN54" i="11"/>
  <c r="AJ11" i="8" s="1"/>
  <c r="AO54" i="11"/>
  <c r="AK11" i="8" s="1"/>
  <c r="AP54" i="11"/>
  <c r="AR54" i="11"/>
  <c r="AN11" i="8" s="1"/>
  <c r="AS54" i="11"/>
  <c r="AT54" i="11"/>
  <c r="AP11" i="8" s="1"/>
  <c r="AU54" i="11"/>
  <c r="AQ11" i="8" s="1"/>
  <c r="AV54" i="11"/>
  <c r="AR11" i="8" s="1"/>
  <c r="AW54" i="11"/>
  <c r="AS11" i="8" s="1"/>
  <c r="AX54" i="11"/>
  <c r="AT11" i="8" s="1"/>
  <c r="AZ54" i="11"/>
  <c r="BA54" i="11"/>
  <c r="AW11" i="8" s="1"/>
  <c r="BB54" i="11"/>
  <c r="AX11" i="8" s="1"/>
  <c r="BC54" i="11"/>
  <c r="AY11" i="8" s="1"/>
  <c r="BD54" i="11"/>
  <c r="AZ11" i="8" s="1"/>
  <c r="BE54" i="11"/>
  <c r="BA11" i="8" s="1"/>
  <c r="BF54" i="11"/>
  <c r="BB11" i="8" s="1"/>
  <c r="BH54" i="11"/>
  <c r="BD11" i="8" s="1"/>
  <c r="BI54" i="11"/>
  <c r="BJ54" i="11"/>
  <c r="BF11" i="8" s="1"/>
  <c r="BK54" i="11"/>
  <c r="BL54" i="11"/>
  <c r="BH11" i="8" s="1"/>
  <c r="BM54" i="11"/>
  <c r="BI11" i="8" s="1"/>
  <c r="BN54" i="11"/>
  <c r="BJ11" i="8" s="1"/>
  <c r="BP54" i="11"/>
  <c r="BL11" i="8" s="1"/>
  <c r="BQ54" i="11"/>
  <c r="BM11" i="8" s="1"/>
  <c r="BR54" i="11"/>
  <c r="AM55" i="11"/>
  <c r="AI12" i="8" s="1"/>
  <c r="AN55" i="11"/>
  <c r="AJ12" i="8" s="1"/>
  <c r="AO55" i="11"/>
  <c r="AK12" i="8" s="1"/>
  <c r="AP55" i="11"/>
  <c r="AL12" i="8" s="1"/>
  <c r="AR55" i="11"/>
  <c r="AN12" i="8" s="1"/>
  <c r="AS55" i="11"/>
  <c r="AO12" i="8" s="1"/>
  <c r="AT55" i="11"/>
  <c r="AP12" i="8" s="1"/>
  <c r="AU55" i="11"/>
  <c r="AQ12" i="8" s="1"/>
  <c r="AV55" i="11"/>
  <c r="AR12" i="8" s="1"/>
  <c r="AW55" i="11"/>
  <c r="AX55" i="11"/>
  <c r="AT12" i="8" s="1"/>
  <c r="AZ55" i="11"/>
  <c r="AV12" i="8" s="1"/>
  <c r="BA55" i="11"/>
  <c r="AW12" i="8" s="1"/>
  <c r="BB55" i="11"/>
  <c r="AX12" i="8" s="1"/>
  <c r="BC55" i="11"/>
  <c r="AY12" i="8" s="1"/>
  <c r="BD55" i="11"/>
  <c r="AZ12" i="8" s="1"/>
  <c r="BE55" i="11"/>
  <c r="BA12" i="8" s="1"/>
  <c r="BF55" i="11"/>
  <c r="BB12" i="8" s="1"/>
  <c r="BH55" i="11"/>
  <c r="BD12" i="8" s="1"/>
  <c r="BI55" i="11"/>
  <c r="BE12" i="8" s="1"/>
  <c r="BJ55" i="11"/>
  <c r="BF12" i="8" s="1"/>
  <c r="BK55" i="11"/>
  <c r="BG12" i="8" s="1"/>
  <c r="BL55" i="11"/>
  <c r="BH12" i="8" s="1"/>
  <c r="BM55" i="11"/>
  <c r="BN55" i="11"/>
  <c r="BJ12" i="8" s="1"/>
  <c r="BP55" i="11"/>
  <c r="BL12" i="8" s="1"/>
  <c r="BQ55" i="11"/>
  <c r="BM12" i="8" s="1"/>
  <c r="BR55" i="11"/>
  <c r="BN12" i="8" s="1"/>
  <c r="AM56" i="11"/>
  <c r="AI13" i="8" s="1"/>
  <c r="AN56" i="11"/>
  <c r="AJ13" i="8" s="1"/>
  <c r="AO56" i="11"/>
  <c r="AK13" i="8" s="1"/>
  <c r="AP56" i="11"/>
  <c r="AR56" i="11"/>
  <c r="AN13" i="8" s="1"/>
  <c r="AS56" i="11"/>
  <c r="AT56" i="11"/>
  <c r="AP13" i="8" s="1"/>
  <c r="AU56" i="11"/>
  <c r="AQ13" i="8" s="1"/>
  <c r="AV56" i="11"/>
  <c r="AR13" i="8" s="1"/>
  <c r="AW56" i="11"/>
  <c r="AS13" i="8" s="1"/>
  <c r="AX56" i="11"/>
  <c r="AT13" i="8" s="1"/>
  <c r="AZ56" i="11"/>
  <c r="BA56" i="11"/>
  <c r="BB56" i="11"/>
  <c r="BC56" i="11"/>
  <c r="AY13" i="8" s="1"/>
  <c r="BD56" i="11"/>
  <c r="AZ13" i="8" s="1"/>
  <c r="BE56" i="11"/>
  <c r="BA13" i="8" s="1"/>
  <c r="BF56" i="11"/>
  <c r="BB13" i="8" s="1"/>
  <c r="BH56" i="11"/>
  <c r="BD13" i="8" s="1"/>
  <c r="BI56" i="11"/>
  <c r="BJ56" i="11"/>
  <c r="BF13" i="8" s="1"/>
  <c r="BK56" i="11"/>
  <c r="BG13" i="8" s="1"/>
  <c r="BL56" i="11"/>
  <c r="BH13" i="8" s="1"/>
  <c r="BM56" i="11"/>
  <c r="BI13" i="8" s="1"/>
  <c r="BN56" i="11"/>
  <c r="BJ13" i="8" s="1"/>
  <c r="BP56" i="11"/>
  <c r="BL13" i="8" s="1"/>
  <c r="BQ56" i="11"/>
  <c r="BM13" i="8" s="1"/>
  <c r="BR56" i="11"/>
  <c r="AM57" i="11"/>
  <c r="AI14" i="8" s="1"/>
  <c r="AN57" i="11"/>
  <c r="AJ14" i="8" s="1"/>
  <c r="AO57" i="11"/>
  <c r="AK14" i="8" s="1"/>
  <c r="AP57" i="11"/>
  <c r="AL14" i="8" s="1"/>
  <c r="AR57" i="11"/>
  <c r="AN14" i="8" s="1"/>
  <c r="AS57" i="11"/>
  <c r="AO14" i="8" s="1"/>
  <c r="AT57" i="11"/>
  <c r="AP14" i="8" s="1"/>
  <c r="AU57" i="11"/>
  <c r="AQ14" i="8" s="1"/>
  <c r="AV57" i="11"/>
  <c r="AR14" i="8" s="1"/>
  <c r="AW57" i="11"/>
  <c r="AS14" i="8" s="1"/>
  <c r="AX57" i="11"/>
  <c r="AT14" i="8" s="1"/>
  <c r="AZ57" i="11"/>
  <c r="AV14" i="8" s="1"/>
  <c r="BA57" i="11"/>
  <c r="AW14" i="8" s="1"/>
  <c r="BB57" i="11"/>
  <c r="AX14" i="8" s="1"/>
  <c r="BC57" i="11"/>
  <c r="AY14" i="8" s="1"/>
  <c r="BD57" i="11"/>
  <c r="AZ14" i="8" s="1"/>
  <c r="BE57" i="11"/>
  <c r="BF57" i="11"/>
  <c r="BB14" i="8" s="1"/>
  <c r="BH57" i="11"/>
  <c r="BD14" i="8" s="1"/>
  <c r="BI57" i="11"/>
  <c r="BE14" i="8" s="1"/>
  <c r="BJ57" i="11"/>
  <c r="BF14" i="8" s="1"/>
  <c r="BK57" i="11"/>
  <c r="BG14" i="8" s="1"/>
  <c r="BL57" i="11"/>
  <c r="BH14" i="8" s="1"/>
  <c r="BM57" i="11"/>
  <c r="BN57" i="11"/>
  <c r="BJ14" i="8" s="1"/>
  <c r="BP57" i="11"/>
  <c r="BL14" i="8" s="1"/>
  <c r="BQ57" i="11"/>
  <c r="BM14" i="8" s="1"/>
  <c r="BR57" i="11"/>
  <c r="BN14" i="8" s="1"/>
  <c r="AM58" i="11"/>
  <c r="AI15" i="8" s="1"/>
  <c r="AN58" i="11"/>
  <c r="AJ15" i="8" s="1"/>
  <c r="AO58" i="11"/>
  <c r="AK15" i="8" s="1"/>
  <c r="AP58" i="11"/>
  <c r="AR58" i="11"/>
  <c r="AN15" i="8" s="1"/>
  <c r="AS58" i="11"/>
  <c r="AT58" i="11"/>
  <c r="AP15" i="8" s="1"/>
  <c r="AU58" i="11"/>
  <c r="AQ15" i="8" s="1"/>
  <c r="AV58" i="11"/>
  <c r="AR15" i="8" s="1"/>
  <c r="AW58" i="11"/>
  <c r="AS15" i="8" s="1"/>
  <c r="AX58" i="11"/>
  <c r="AT15" i="8" s="1"/>
  <c r="AZ58" i="11"/>
  <c r="BA58" i="11"/>
  <c r="AW15" i="8" s="1"/>
  <c r="BB58" i="11"/>
  <c r="AX15" i="8" s="1"/>
  <c r="BC58" i="11"/>
  <c r="AY15" i="8" s="1"/>
  <c r="BD58" i="11"/>
  <c r="AZ15" i="8" s="1"/>
  <c r="BE58" i="11"/>
  <c r="BA15" i="8" s="1"/>
  <c r="BF58" i="11"/>
  <c r="BB15" i="8" s="1"/>
  <c r="BH58" i="11"/>
  <c r="BD15" i="8" s="1"/>
  <c r="BI58" i="11"/>
  <c r="BJ58" i="11"/>
  <c r="BF15" i="8" s="1"/>
  <c r="BK58" i="11"/>
  <c r="BL58" i="11"/>
  <c r="BH15" i="8" s="1"/>
  <c r="BM58" i="11"/>
  <c r="BI15" i="8" s="1"/>
  <c r="BN58" i="11"/>
  <c r="BJ15" i="8" s="1"/>
  <c r="BP58" i="11"/>
  <c r="BL15" i="8" s="1"/>
  <c r="BQ58" i="11"/>
  <c r="BM15" i="8" s="1"/>
  <c r="BR58" i="11"/>
  <c r="AM59" i="11"/>
  <c r="AI16" i="8" s="1"/>
  <c r="AN59" i="11"/>
  <c r="AJ16" i="8" s="1"/>
  <c r="AO59" i="11"/>
  <c r="AK16" i="8" s="1"/>
  <c r="AP59" i="11"/>
  <c r="AL16" i="8" s="1"/>
  <c r="AR59" i="11"/>
  <c r="AN16" i="8" s="1"/>
  <c r="AS59" i="11"/>
  <c r="AO16" i="8" s="1"/>
  <c r="AT59" i="11"/>
  <c r="AP16" i="8" s="1"/>
  <c r="AU59" i="11"/>
  <c r="AQ16" i="8" s="1"/>
  <c r="AV59" i="11"/>
  <c r="AR16" i="8" s="1"/>
  <c r="AW59" i="11"/>
  <c r="AX59" i="11"/>
  <c r="AT16" i="8" s="1"/>
  <c r="AZ59" i="11"/>
  <c r="AV16" i="8" s="1"/>
  <c r="BA59" i="11"/>
  <c r="AW16" i="8" s="1"/>
  <c r="BB59" i="11"/>
  <c r="AX16" i="8" s="1"/>
  <c r="BC59" i="11"/>
  <c r="AY16" i="8" s="1"/>
  <c r="BD59" i="11"/>
  <c r="AZ16" i="8" s="1"/>
  <c r="BE59" i="11"/>
  <c r="BA16" i="8" s="1"/>
  <c r="BF59" i="11"/>
  <c r="BB16" i="8" s="1"/>
  <c r="BH59" i="11"/>
  <c r="BD16" i="8" s="1"/>
  <c r="BI59" i="11"/>
  <c r="BE16" i="8" s="1"/>
  <c r="BJ59" i="11"/>
  <c r="BF16" i="8" s="1"/>
  <c r="BK59" i="11"/>
  <c r="BG16" i="8" s="1"/>
  <c r="BL59" i="11"/>
  <c r="BH16" i="8" s="1"/>
  <c r="BM59" i="11"/>
  <c r="BN59" i="11"/>
  <c r="BJ16" i="8" s="1"/>
  <c r="BP59" i="11"/>
  <c r="BL16" i="8" s="1"/>
  <c r="BQ59" i="11"/>
  <c r="BM16" i="8" s="1"/>
  <c r="BR59" i="11"/>
  <c r="BN16" i="8" s="1"/>
  <c r="AM60" i="11"/>
  <c r="AI17" i="8" s="1"/>
  <c r="AN60" i="11"/>
  <c r="AJ17" i="8" s="1"/>
  <c r="AO60" i="11"/>
  <c r="AK17" i="8" s="1"/>
  <c r="AP60" i="11"/>
  <c r="AR60" i="11"/>
  <c r="AN17" i="8" s="1"/>
  <c r="AS60" i="11"/>
  <c r="AT60" i="11"/>
  <c r="AP17" i="8" s="1"/>
  <c r="AU60" i="11"/>
  <c r="AQ17" i="8" s="1"/>
  <c r="AV60" i="11"/>
  <c r="AR17" i="8" s="1"/>
  <c r="AW60" i="11"/>
  <c r="AS17" i="8" s="1"/>
  <c r="AX60" i="11"/>
  <c r="AT17" i="8" s="1"/>
  <c r="AZ60" i="11"/>
  <c r="BA60" i="11"/>
  <c r="AW17" i="8" s="1"/>
  <c r="BB60" i="11"/>
  <c r="AX17" i="8" s="1"/>
  <c r="BC60" i="11"/>
  <c r="AY17" i="8" s="1"/>
  <c r="BD60" i="11"/>
  <c r="AZ17" i="8" s="1"/>
  <c r="BE60" i="11"/>
  <c r="BA17" i="8" s="1"/>
  <c r="BF60" i="11"/>
  <c r="BB17" i="8" s="1"/>
  <c r="BH60" i="11"/>
  <c r="BD17" i="8" s="1"/>
  <c r="BI60" i="11"/>
  <c r="BJ60" i="11"/>
  <c r="BF17" i="8" s="1"/>
  <c r="BK60" i="11"/>
  <c r="BG17" i="8" s="1"/>
  <c r="BL60" i="11"/>
  <c r="BH17" i="8" s="1"/>
  <c r="BM60" i="11"/>
  <c r="BI17" i="8" s="1"/>
  <c r="BN60" i="11"/>
  <c r="BJ17" i="8" s="1"/>
  <c r="BP60" i="11"/>
  <c r="BL17" i="8" s="1"/>
  <c r="BQ60" i="11"/>
  <c r="BM17" i="8" s="1"/>
  <c r="BR60" i="11"/>
  <c r="AM61" i="11"/>
  <c r="AI18" i="8" s="1"/>
  <c r="AN61" i="11"/>
  <c r="AJ18" i="8" s="1"/>
  <c r="AO61" i="11"/>
  <c r="AK18" i="8" s="1"/>
  <c r="AP61" i="11"/>
  <c r="AL18" i="8" s="1"/>
  <c r="AR61" i="11"/>
  <c r="AN18" i="8" s="1"/>
  <c r="AS61" i="11"/>
  <c r="AO18" i="8" s="1"/>
  <c r="AT61" i="11"/>
  <c r="AP18" i="8" s="1"/>
  <c r="AU61" i="11"/>
  <c r="AQ18" i="8" s="1"/>
  <c r="AV61" i="11"/>
  <c r="AR18" i="8" s="1"/>
  <c r="AW61" i="11"/>
  <c r="AS18" i="8" s="1"/>
  <c r="AX61" i="11"/>
  <c r="AT18" i="8" s="1"/>
  <c r="AZ61" i="11"/>
  <c r="AV18" i="8" s="1"/>
  <c r="BA61" i="11"/>
  <c r="AW18" i="8" s="1"/>
  <c r="BB61" i="11"/>
  <c r="AX18" i="8" s="1"/>
  <c r="BC61" i="11"/>
  <c r="AY18" i="8" s="1"/>
  <c r="BD61" i="11"/>
  <c r="AZ18" i="8" s="1"/>
  <c r="BE61" i="11"/>
  <c r="BA18" i="8" s="1"/>
  <c r="BF61" i="11"/>
  <c r="BB18" i="8" s="1"/>
  <c r="BH61" i="11"/>
  <c r="BD18" i="8" s="1"/>
  <c r="BI61" i="11"/>
  <c r="BE18" i="8" s="1"/>
  <c r="BJ61" i="11"/>
  <c r="BF18" i="8" s="1"/>
  <c r="BK61" i="11"/>
  <c r="BG18" i="8" s="1"/>
  <c r="BL61" i="11"/>
  <c r="BH18" i="8" s="1"/>
  <c r="BM61" i="11"/>
  <c r="BI18" i="8" s="1"/>
  <c r="BN61" i="11"/>
  <c r="BJ18" i="8" s="1"/>
  <c r="BP61" i="11"/>
  <c r="BL18" i="8" s="1"/>
  <c r="BQ61" i="11"/>
  <c r="BM18" i="8" s="1"/>
  <c r="BR61" i="11"/>
  <c r="BN18" i="8" s="1"/>
  <c r="AM62" i="11"/>
  <c r="AI19" i="8" s="1"/>
  <c r="AN62" i="11"/>
  <c r="AJ19" i="8" s="1"/>
  <c r="AO62" i="11"/>
  <c r="AK19" i="8" s="1"/>
  <c r="AP62" i="11"/>
  <c r="AL19" i="8" s="1"/>
  <c r="AR62" i="11"/>
  <c r="AN19" i="8" s="1"/>
  <c r="AS62" i="11"/>
  <c r="AO19" i="8" s="1"/>
  <c r="AT62" i="11"/>
  <c r="AP19" i="8" s="1"/>
  <c r="AU62" i="11"/>
  <c r="AQ19" i="8" s="1"/>
  <c r="AV62" i="11"/>
  <c r="AR19" i="8" s="1"/>
  <c r="AW62" i="11"/>
  <c r="AS19" i="8" s="1"/>
  <c r="AX62" i="11"/>
  <c r="AT19" i="8" s="1"/>
  <c r="AZ62" i="11"/>
  <c r="AV19" i="8" s="1"/>
  <c r="BA62" i="11"/>
  <c r="AW19" i="8" s="1"/>
  <c r="BB62" i="11"/>
  <c r="AX19" i="8" s="1"/>
  <c r="BC62" i="11"/>
  <c r="AY19" i="8" s="1"/>
  <c r="BD62" i="11"/>
  <c r="AZ19" i="8" s="1"/>
  <c r="BE62" i="11"/>
  <c r="BA19" i="8" s="1"/>
  <c r="BF62" i="11"/>
  <c r="BB19" i="8" s="1"/>
  <c r="BH62" i="11"/>
  <c r="BD19" i="8" s="1"/>
  <c r="BI62" i="11"/>
  <c r="BE19" i="8" s="1"/>
  <c r="BJ62" i="11"/>
  <c r="BF19" i="8" s="1"/>
  <c r="BK62" i="11"/>
  <c r="BG19" i="8" s="1"/>
  <c r="BL62" i="11"/>
  <c r="BH19" i="8" s="1"/>
  <c r="BM62" i="11"/>
  <c r="BI19" i="8" s="1"/>
  <c r="BN62" i="11"/>
  <c r="BJ19" i="8" s="1"/>
  <c r="BP62" i="11"/>
  <c r="BL19" i="8" s="1"/>
  <c r="BQ62" i="11"/>
  <c r="BM19" i="8" s="1"/>
  <c r="BR62" i="11"/>
  <c r="BN19" i="8" s="1"/>
  <c r="AM63" i="11"/>
  <c r="AI20" i="8" s="1"/>
  <c r="AN63" i="11"/>
  <c r="AJ20" i="8" s="1"/>
  <c r="AO63" i="11"/>
  <c r="AK20" i="8" s="1"/>
  <c r="AP63" i="11"/>
  <c r="AL20" i="8" s="1"/>
  <c r="AR63" i="11"/>
  <c r="AN20" i="8" s="1"/>
  <c r="AS63" i="11"/>
  <c r="AO20" i="8" s="1"/>
  <c r="AT63" i="11"/>
  <c r="AP20" i="8" s="1"/>
  <c r="AU63" i="11"/>
  <c r="AQ20" i="8" s="1"/>
  <c r="AV63" i="11"/>
  <c r="AR20" i="8" s="1"/>
  <c r="AW63" i="11"/>
  <c r="AS20" i="8" s="1"/>
  <c r="AX63" i="11"/>
  <c r="AT20" i="8" s="1"/>
  <c r="AZ63" i="11"/>
  <c r="AV20" i="8" s="1"/>
  <c r="BA63" i="11"/>
  <c r="AW20" i="8" s="1"/>
  <c r="BB63" i="11"/>
  <c r="AX20" i="8" s="1"/>
  <c r="BC63" i="11"/>
  <c r="AY20" i="8" s="1"/>
  <c r="BD63" i="11"/>
  <c r="AZ20" i="8" s="1"/>
  <c r="BE63" i="11"/>
  <c r="BA20" i="8" s="1"/>
  <c r="BF63" i="11"/>
  <c r="BB20" i="8" s="1"/>
  <c r="BH63" i="11"/>
  <c r="BD20" i="8" s="1"/>
  <c r="BI63" i="11"/>
  <c r="BE20" i="8" s="1"/>
  <c r="BJ63" i="11"/>
  <c r="BF20" i="8" s="1"/>
  <c r="BK63" i="11"/>
  <c r="BG20" i="8" s="1"/>
  <c r="BL63" i="11"/>
  <c r="BH20" i="8" s="1"/>
  <c r="BM63" i="11"/>
  <c r="BI20" i="8" s="1"/>
  <c r="BN63" i="11"/>
  <c r="BJ20" i="8" s="1"/>
  <c r="BP63" i="11"/>
  <c r="BL20" i="8" s="1"/>
  <c r="BQ63" i="11"/>
  <c r="BM20" i="8" s="1"/>
  <c r="BR63" i="11"/>
  <c r="BN20" i="8" s="1"/>
  <c r="AM64" i="11"/>
  <c r="AI21" i="8" s="1"/>
  <c r="AN64" i="11"/>
  <c r="AJ21" i="8" s="1"/>
  <c r="AO64" i="11"/>
  <c r="AK21" i="8" s="1"/>
  <c r="AP64" i="11"/>
  <c r="AL21" i="8" s="1"/>
  <c r="AR64" i="11"/>
  <c r="AN21" i="8" s="1"/>
  <c r="AS64" i="11"/>
  <c r="AT64" i="11"/>
  <c r="AP21" i="8" s="1"/>
  <c r="AU64" i="11"/>
  <c r="AQ21" i="8" s="1"/>
  <c r="AV64" i="11"/>
  <c r="AR21" i="8" s="1"/>
  <c r="AW64" i="11"/>
  <c r="AS21" i="8" s="1"/>
  <c r="AX64" i="11"/>
  <c r="AT21" i="8" s="1"/>
  <c r="AZ64" i="11"/>
  <c r="BA64" i="11"/>
  <c r="AW21" i="8" s="1"/>
  <c r="BB64" i="11"/>
  <c r="AX21" i="8" s="1"/>
  <c r="BC64" i="11"/>
  <c r="AY21" i="8" s="1"/>
  <c r="BD64" i="11"/>
  <c r="AZ21" i="8" s="1"/>
  <c r="BE64" i="11"/>
  <c r="BA21" i="8" s="1"/>
  <c r="BF64" i="11"/>
  <c r="BB21" i="8" s="1"/>
  <c r="BH64" i="11"/>
  <c r="BD21" i="8" s="1"/>
  <c r="BI64" i="11"/>
  <c r="BJ64" i="11"/>
  <c r="BF21" i="8" s="1"/>
  <c r="BK64" i="11"/>
  <c r="BG21" i="8" s="1"/>
  <c r="BL64" i="11"/>
  <c r="BH21" i="8" s="1"/>
  <c r="BM64" i="11"/>
  <c r="BI21" i="8" s="1"/>
  <c r="BN64" i="11"/>
  <c r="BJ21" i="8" s="1"/>
  <c r="BP64" i="11"/>
  <c r="BL21" i="8" s="1"/>
  <c r="BQ64" i="11"/>
  <c r="BM21" i="8" s="1"/>
  <c r="BR64" i="11"/>
  <c r="BN21" i="8" s="1"/>
  <c r="AM65" i="11"/>
  <c r="AI22" i="8" s="1"/>
  <c r="AN65" i="11"/>
  <c r="AJ22" i="8" s="1"/>
  <c r="AO65" i="11"/>
  <c r="AK22" i="8" s="1"/>
  <c r="AP65" i="11"/>
  <c r="AL22" i="8" s="1"/>
  <c r="AR65" i="11"/>
  <c r="AN22" i="8" s="1"/>
  <c r="AS65" i="11"/>
  <c r="AO22" i="8" s="1"/>
  <c r="AT65" i="11"/>
  <c r="AP22" i="8" s="1"/>
  <c r="AU65" i="11"/>
  <c r="AQ22" i="8" s="1"/>
  <c r="AV65" i="11"/>
  <c r="AR22" i="8" s="1"/>
  <c r="AW65" i="11"/>
  <c r="AS22" i="8" s="1"/>
  <c r="AX65" i="11"/>
  <c r="AT22" i="8" s="1"/>
  <c r="AZ65" i="11"/>
  <c r="AV22" i="8" s="1"/>
  <c r="BA65" i="11"/>
  <c r="AW22" i="8" s="1"/>
  <c r="BB65" i="11"/>
  <c r="AX22" i="8" s="1"/>
  <c r="BC65" i="11"/>
  <c r="AY22" i="8" s="1"/>
  <c r="BD65" i="11"/>
  <c r="AZ22" i="8" s="1"/>
  <c r="BE65" i="11"/>
  <c r="BA22" i="8" s="1"/>
  <c r="BF65" i="11"/>
  <c r="BB22" i="8" s="1"/>
  <c r="BH65" i="11"/>
  <c r="BD22" i="8" s="1"/>
  <c r="BI65" i="11"/>
  <c r="BE22" i="8" s="1"/>
  <c r="BJ65" i="11"/>
  <c r="BF22" i="8" s="1"/>
  <c r="BK65" i="11"/>
  <c r="BG22" i="8" s="1"/>
  <c r="BL65" i="11"/>
  <c r="BH22" i="8" s="1"/>
  <c r="BM65" i="11"/>
  <c r="BI22" i="8" s="1"/>
  <c r="BN65" i="11"/>
  <c r="BJ22" i="8" s="1"/>
  <c r="BP65" i="11"/>
  <c r="BL22" i="8" s="1"/>
  <c r="BQ65" i="11"/>
  <c r="BM22" i="8" s="1"/>
  <c r="BR65" i="11"/>
  <c r="BN22" i="8" s="1"/>
  <c r="AM66" i="11"/>
  <c r="AI23" i="8" s="1"/>
  <c r="AN66" i="11"/>
  <c r="AJ23" i="8" s="1"/>
  <c r="AO66" i="11"/>
  <c r="AK23" i="8" s="1"/>
  <c r="AP66" i="11"/>
  <c r="AL23" i="8" s="1"/>
  <c r="AR66" i="11"/>
  <c r="AN23" i="8" s="1"/>
  <c r="AS66" i="11"/>
  <c r="AO23" i="8" s="1"/>
  <c r="AT66" i="11"/>
  <c r="AP23" i="8" s="1"/>
  <c r="AU66" i="11"/>
  <c r="AQ23" i="8" s="1"/>
  <c r="AV66" i="11"/>
  <c r="AR23" i="8" s="1"/>
  <c r="AW66" i="11"/>
  <c r="AS23" i="8" s="1"/>
  <c r="AX66" i="11"/>
  <c r="AT23" i="8" s="1"/>
  <c r="AZ66" i="11"/>
  <c r="AV23" i="8" s="1"/>
  <c r="BA66" i="11"/>
  <c r="AW23" i="8" s="1"/>
  <c r="BB66" i="11"/>
  <c r="AX23" i="8" s="1"/>
  <c r="BC66" i="11"/>
  <c r="AY23" i="8" s="1"/>
  <c r="BD66" i="11"/>
  <c r="AZ23" i="8" s="1"/>
  <c r="BE66" i="11"/>
  <c r="BA23" i="8" s="1"/>
  <c r="BF66" i="11"/>
  <c r="BB23" i="8" s="1"/>
  <c r="BH66" i="11"/>
  <c r="BD23" i="8" s="1"/>
  <c r="BI66" i="11"/>
  <c r="BE23" i="8" s="1"/>
  <c r="BJ66" i="11"/>
  <c r="BF23" i="8" s="1"/>
  <c r="BK66" i="11"/>
  <c r="BG23" i="8" s="1"/>
  <c r="BL66" i="11"/>
  <c r="BH23" i="8" s="1"/>
  <c r="BM66" i="11"/>
  <c r="BI23" i="8" s="1"/>
  <c r="BN66" i="11"/>
  <c r="BJ23" i="8" s="1"/>
  <c r="BP66" i="11"/>
  <c r="BL23" i="8" s="1"/>
  <c r="BQ66" i="11"/>
  <c r="BM23" i="8" s="1"/>
  <c r="BR66" i="11"/>
  <c r="BN23" i="8" s="1"/>
  <c r="AM67" i="11"/>
  <c r="AI24" i="8" s="1"/>
  <c r="AN67" i="11"/>
  <c r="AJ24" i="8" s="1"/>
  <c r="AO67" i="11"/>
  <c r="AK24" i="8" s="1"/>
  <c r="AP67" i="11"/>
  <c r="AL24" i="8" s="1"/>
  <c r="AR67" i="11"/>
  <c r="AN24" i="8" s="1"/>
  <c r="AS67" i="11"/>
  <c r="AO24" i="8" s="1"/>
  <c r="AT67" i="11"/>
  <c r="AP24" i="8" s="1"/>
  <c r="AU67" i="11"/>
  <c r="AQ24" i="8" s="1"/>
  <c r="AV67" i="11"/>
  <c r="AR24" i="8" s="1"/>
  <c r="AW67" i="11"/>
  <c r="AS24" i="8" s="1"/>
  <c r="AX67" i="11"/>
  <c r="AT24" i="8" s="1"/>
  <c r="AZ67" i="11"/>
  <c r="AV24" i="8" s="1"/>
  <c r="BA67" i="11"/>
  <c r="AW24" i="8" s="1"/>
  <c r="BB67" i="11"/>
  <c r="AX24" i="8" s="1"/>
  <c r="BC67" i="11"/>
  <c r="AY24" i="8" s="1"/>
  <c r="BD67" i="11"/>
  <c r="AZ24" i="8" s="1"/>
  <c r="BE67" i="11"/>
  <c r="BA24" i="8" s="1"/>
  <c r="BF67" i="11"/>
  <c r="BB24" i="8" s="1"/>
  <c r="BH67" i="11"/>
  <c r="BD24" i="8" s="1"/>
  <c r="BI67" i="11"/>
  <c r="BE24" i="8" s="1"/>
  <c r="BJ67" i="11"/>
  <c r="BF24" i="8" s="1"/>
  <c r="BK67" i="11"/>
  <c r="BG24" i="8" s="1"/>
  <c r="BL67" i="11"/>
  <c r="BH24" i="8" s="1"/>
  <c r="BM67" i="11"/>
  <c r="BI24" i="8" s="1"/>
  <c r="BN67" i="11"/>
  <c r="BJ24" i="8" s="1"/>
  <c r="BP67" i="11"/>
  <c r="BL24" i="8" s="1"/>
  <c r="BQ67" i="11"/>
  <c r="BM24" i="8" s="1"/>
  <c r="BR67" i="11"/>
  <c r="BN24" i="8" s="1"/>
  <c r="AM68" i="11"/>
  <c r="AI25" i="8" s="1"/>
  <c r="AN68" i="11"/>
  <c r="AJ25" i="8" s="1"/>
  <c r="AO68" i="11"/>
  <c r="AK25" i="8" s="1"/>
  <c r="AP68" i="11"/>
  <c r="AL25" i="8" s="1"/>
  <c r="AR68" i="11"/>
  <c r="AN25" i="8" s="1"/>
  <c r="AS68" i="11"/>
  <c r="AO25" i="8" s="1"/>
  <c r="AT68" i="11"/>
  <c r="AP25" i="8" s="1"/>
  <c r="AU68" i="11"/>
  <c r="AQ25" i="8" s="1"/>
  <c r="AV68" i="11"/>
  <c r="AR25" i="8" s="1"/>
  <c r="AW68" i="11"/>
  <c r="AS25" i="8" s="1"/>
  <c r="AX68" i="11"/>
  <c r="AT25" i="8" s="1"/>
  <c r="AZ68" i="11"/>
  <c r="AV25" i="8" s="1"/>
  <c r="BA68" i="11"/>
  <c r="AW25" i="8" s="1"/>
  <c r="BB68" i="11"/>
  <c r="AX25" i="8" s="1"/>
  <c r="BC68" i="11"/>
  <c r="AY25" i="8" s="1"/>
  <c r="BD68" i="11"/>
  <c r="AZ25" i="8" s="1"/>
  <c r="BE68" i="11"/>
  <c r="BA25" i="8" s="1"/>
  <c r="BF68" i="11"/>
  <c r="BB25" i="8" s="1"/>
  <c r="BH68" i="11"/>
  <c r="BD25" i="8" s="1"/>
  <c r="BI68" i="11"/>
  <c r="BE25" i="8" s="1"/>
  <c r="BJ68" i="11"/>
  <c r="BF25" i="8" s="1"/>
  <c r="BK68" i="11"/>
  <c r="BG25" i="8" s="1"/>
  <c r="BL68" i="11"/>
  <c r="BH25" i="8" s="1"/>
  <c r="BM68" i="11"/>
  <c r="BI25" i="8" s="1"/>
  <c r="BN68" i="11"/>
  <c r="BJ25" i="8" s="1"/>
  <c r="BP68" i="11"/>
  <c r="BL25" i="8" s="1"/>
  <c r="BQ68" i="11"/>
  <c r="BM25" i="8" s="1"/>
  <c r="BR68" i="11"/>
  <c r="BN25" i="8" s="1"/>
  <c r="AM69" i="11"/>
  <c r="AI26" i="8" s="1"/>
  <c r="AN69" i="11"/>
  <c r="AJ26" i="8" s="1"/>
  <c r="AO69" i="11"/>
  <c r="AK26" i="8" s="1"/>
  <c r="AP69" i="11"/>
  <c r="AL26" i="8" s="1"/>
  <c r="AR69" i="11"/>
  <c r="AN26" i="8" s="1"/>
  <c r="AS69" i="11"/>
  <c r="AO26" i="8" s="1"/>
  <c r="AT69" i="11"/>
  <c r="AP26" i="8" s="1"/>
  <c r="AU69" i="11"/>
  <c r="AQ26" i="8" s="1"/>
  <c r="AV69" i="11"/>
  <c r="AR26" i="8" s="1"/>
  <c r="AW69" i="11"/>
  <c r="AS26" i="8" s="1"/>
  <c r="AX69" i="11"/>
  <c r="AT26" i="8" s="1"/>
  <c r="AZ69" i="11"/>
  <c r="AV26" i="8" s="1"/>
  <c r="BA69" i="11"/>
  <c r="AW26" i="8" s="1"/>
  <c r="BB69" i="11"/>
  <c r="AX26" i="8" s="1"/>
  <c r="BC69" i="11"/>
  <c r="AY26" i="8" s="1"/>
  <c r="BD69" i="11"/>
  <c r="AZ26" i="8" s="1"/>
  <c r="BE69" i="11"/>
  <c r="BA26" i="8" s="1"/>
  <c r="BF69" i="11"/>
  <c r="BB26" i="8" s="1"/>
  <c r="BH69" i="11"/>
  <c r="BD26" i="8" s="1"/>
  <c r="BI69" i="11"/>
  <c r="BE26" i="8" s="1"/>
  <c r="BJ69" i="11"/>
  <c r="BF26" i="8" s="1"/>
  <c r="BK69" i="11"/>
  <c r="BG26" i="8" s="1"/>
  <c r="BL69" i="11"/>
  <c r="BH26" i="8" s="1"/>
  <c r="BM69" i="11"/>
  <c r="BI26" i="8" s="1"/>
  <c r="BN69" i="11"/>
  <c r="BJ26" i="8" s="1"/>
  <c r="BP69" i="11"/>
  <c r="BL26" i="8" s="1"/>
  <c r="BQ69" i="11"/>
  <c r="BM26" i="8" s="1"/>
  <c r="BR69" i="11"/>
  <c r="BN26" i="8" s="1"/>
  <c r="AM70" i="11"/>
  <c r="AI27" i="8" s="1"/>
  <c r="AN70" i="11"/>
  <c r="AJ27" i="8" s="1"/>
  <c r="AO70" i="11"/>
  <c r="AK27" i="8" s="1"/>
  <c r="AP70" i="11"/>
  <c r="AL27" i="8" s="1"/>
  <c r="AR70" i="11"/>
  <c r="AN27" i="8" s="1"/>
  <c r="AS70" i="11"/>
  <c r="AO27" i="8" s="1"/>
  <c r="AT70" i="11"/>
  <c r="AP27" i="8" s="1"/>
  <c r="AU70" i="11"/>
  <c r="AQ27" i="8" s="1"/>
  <c r="AV70" i="11"/>
  <c r="AR27" i="8" s="1"/>
  <c r="AW70" i="11"/>
  <c r="AS27" i="8" s="1"/>
  <c r="AX70" i="11"/>
  <c r="AT27" i="8" s="1"/>
  <c r="AZ70" i="11"/>
  <c r="AV27" i="8" s="1"/>
  <c r="BA70" i="11"/>
  <c r="AW27" i="8" s="1"/>
  <c r="BB70" i="11"/>
  <c r="AX27" i="8" s="1"/>
  <c r="BC70" i="11"/>
  <c r="AY27" i="8" s="1"/>
  <c r="BD70" i="11"/>
  <c r="AZ27" i="8" s="1"/>
  <c r="BE70" i="11"/>
  <c r="BA27" i="8" s="1"/>
  <c r="BF70" i="11"/>
  <c r="BB27" i="8" s="1"/>
  <c r="BH70" i="11"/>
  <c r="BD27" i="8" s="1"/>
  <c r="BI70" i="11"/>
  <c r="BE27" i="8" s="1"/>
  <c r="BJ70" i="11"/>
  <c r="BF27" i="8" s="1"/>
  <c r="BK70" i="11"/>
  <c r="BL70" i="11"/>
  <c r="BH27" i="8" s="1"/>
  <c r="BM70" i="11"/>
  <c r="BI27" i="8" s="1"/>
  <c r="BN70" i="11"/>
  <c r="BJ27" i="8" s="1"/>
  <c r="BP70" i="11"/>
  <c r="BL27" i="8" s="1"/>
  <c r="BQ70" i="11"/>
  <c r="BM27" i="8" s="1"/>
  <c r="BR70" i="11"/>
  <c r="BN27" i="8" s="1"/>
  <c r="AM71" i="11"/>
  <c r="AI28" i="8" s="1"/>
  <c r="AN71" i="11"/>
  <c r="AJ28" i="8" s="1"/>
  <c r="AO71" i="11"/>
  <c r="AK28" i="8" s="1"/>
  <c r="AP71" i="11"/>
  <c r="AL28" i="8" s="1"/>
  <c r="AR71" i="11"/>
  <c r="AN28" i="8" s="1"/>
  <c r="AS71" i="11"/>
  <c r="AO28" i="8" s="1"/>
  <c r="AT71" i="11"/>
  <c r="AP28" i="8" s="1"/>
  <c r="AU71" i="11"/>
  <c r="AQ28" i="8" s="1"/>
  <c r="AV71" i="11"/>
  <c r="AR28" i="8" s="1"/>
  <c r="AW71" i="11"/>
  <c r="AS28" i="8" s="1"/>
  <c r="AX71" i="11"/>
  <c r="AT28" i="8" s="1"/>
  <c r="AZ71" i="11"/>
  <c r="AV28" i="8" s="1"/>
  <c r="BA71" i="11"/>
  <c r="AW28" i="8" s="1"/>
  <c r="BB71" i="11"/>
  <c r="AX28" i="8" s="1"/>
  <c r="BC71" i="11"/>
  <c r="AY28" i="8" s="1"/>
  <c r="BD71" i="11"/>
  <c r="AZ28" i="8" s="1"/>
  <c r="BE71" i="11"/>
  <c r="BA28" i="8" s="1"/>
  <c r="BF71" i="11"/>
  <c r="BB28" i="8" s="1"/>
  <c r="BH71" i="11"/>
  <c r="BD28" i="8" s="1"/>
  <c r="BI71" i="11"/>
  <c r="BE28" i="8" s="1"/>
  <c r="BJ71" i="11"/>
  <c r="BF28" i="8" s="1"/>
  <c r="BK71" i="11"/>
  <c r="BG28" i="8" s="1"/>
  <c r="BL71" i="11"/>
  <c r="BH28" i="8" s="1"/>
  <c r="BM71" i="11"/>
  <c r="BN71" i="11"/>
  <c r="BJ28" i="8" s="1"/>
  <c r="BP71" i="11"/>
  <c r="BL28" i="8" s="1"/>
  <c r="BQ71" i="11"/>
  <c r="BM28" i="8" s="1"/>
  <c r="BR71" i="11"/>
  <c r="BN28" i="8" s="1"/>
  <c r="AM72" i="11"/>
  <c r="AI29" i="8" s="1"/>
  <c r="AN72" i="11"/>
  <c r="AJ29" i="8" s="1"/>
  <c r="AO72" i="11"/>
  <c r="AK29" i="8" s="1"/>
  <c r="AP72" i="11"/>
  <c r="AL29" i="8" s="1"/>
  <c r="AR72" i="11"/>
  <c r="AN29" i="8" s="1"/>
  <c r="AS72" i="11"/>
  <c r="AO29" i="8" s="1"/>
  <c r="AT72" i="11"/>
  <c r="AP29" i="8" s="1"/>
  <c r="AU72" i="11"/>
  <c r="AQ29" i="8" s="1"/>
  <c r="AV72" i="11"/>
  <c r="AR29" i="8" s="1"/>
  <c r="AW72" i="11"/>
  <c r="AS29" i="8" s="1"/>
  <c r="AX72" i="11"/>
  <c r="AT29" i="8" s="1"/>
  <c r="AZ72" i="11"/>
  <c r="AV29" i="8" s="1"/>
  <c r="BA72" i="11"/>
  <c r="AW29" i="8" s="1"/>
  <c r="BB72" i="11"/>
  <c r="AX29" i="8" s="1"/>
  <c r="BC72" i="11"/>
  <c r="AY29" i="8" s="1"/>
  <c r="BD72" i="11"/>
  <c r="AZ29" i="8" s="1"/>
  <c r="BE72" i="11"/>
  <c r="BA29" i="8" s="1"/>
  <c r="BF72" i="11"/>
  <c r="BB29" i="8" s="1"/>
  <c r="BH72" i="11"/>
  <c r="BD29" i="8" s="1"/>
  <c r="BI72" i="11"/>
  <c r="BE29" i="8" s="1"/>
  <c r="BJ72" i="11"/>
  <c r="BF29" i="8" s="1"/>
  <c r="BK72" i="11"/>
  <c r="BG29" i="8" s="1"/>
  <c r="BL72" i="11"/>
  <c r="BH29" i="8" s="1"/>
  <c r="BM72" i="11"/>
  <c r="BI29" i="8" s="1"/>
  <c r="BN72" i="11"/>
  <c r="BJ29" i="8" s="1"/>
  <c r="BP72" i="11"/>
  <c r="BL29" i="8" s="1"/>
  <c r="BQ72" i="11"/>
  <c r="BM29" i="8" s="1"/>
  <c r="BR72" i="11"/>
  <c r="BN29" i="8" s="1"/>
  <c r="AM73" i="11"/>
  <c r="AI30" i="8" s="1"/>
  <c r="AN73" i="11"/>
  <c r="AJ30" i="8" s="1"/>
  <c r="AO73" i="11"/>
  <c r="AK30" i="8" s="1"/>
  <c r="AP73" i="11"/>
  <c r="AL30" i="8" s="1"/>
  <c r="AR73" i="11"/>
  <c r="AN30" i="8" s="1"/>
  <c r="AS73" i="11"/>
  <c r="AO30" i="8" s="1"/>
  <c r="AT73" i="11"/>
  <c r="AP30" i="8" s="1"/>
  <c r="AU73" i="11"/>
  <c r="AQ30" i="8" s="1"/>
  <c r="AV73" i="11"/>
  <c r="AR30" i="8" s="1"/>
  <c r="AW73" i="11"/>
  <c r="AS30" i="8" s="1"/>
  <c r="AX73" i="11"/>
  <c r="AT30" i="8" s="1"/>
  <c r="AZ73" i="11"/>
  <c r="AV30" i="8" s="1"/>
  <c r="BA73" i="11"/>
  <c r="AW30" i="8" s="1"/>
  <c r="BB73" i="11"/>
  <c r="AX30" i="8" s="1"/>
  <c r="BC73" i="11"/>
  <c r="AY30" i="8" s="1"/>
  <c r="BD73" i="11"/>
  <c r="AZ30" i="8" s="1"/>
  <c r="BE73" i="11"/>
  <c r="BA30" i="8" s="1"/>
  <c r="BF73" i="11"/>
  <c r="BB30" i="8" s="1"/>
  <c r="BH73" i="11"/>
  <c r="BD30" i="8" s="1"/>
  <c r="BI73" i="11"/>
  <c r="BE30" i="8" s="1"/>
  <c r="BJ73" i="11"/>
  <c r="BF30" i="8" s="1"/>
  <c r="BK73" i="11"/>
  <c r="BG30" i="8" s="1"/>
  <c r="BL73" i="11"/>
  <c r="BH30" i="8" s="1"/>
  <c r="BM73" i="11"/>
  <c r="BN73" i="11"/>
  <c r="BJ30" i="8" s="1"/>
  <c r="BP73" i="11"/>
  <c r="BL30" i="8" s="1"/>
  <c r="BQ73" i="11"/>
  <c r="BM30" i="8" s="1"/>
  <c r="BR73" i="11"/>
  <c r="BN30" i="8" s="1"/>
  <c r="AM74" i="11"/>
  <c r="AI31" i="8" s="1"/>
  <c r="AN74" i="11"/>
  <c r="AJ31" i="8" s="1"/>
  <c r="AO74" i="11"/>
  <c r="AK31" i="8" s="1"/>
  <c r="AP74" i="11"/>
  <c r="AL31" i="8" s="1"/>
  <c r="AR74" i="11"/>
  <c r="AN31" i="8" s="1"/>
  <c r="AS74" i="11"/>
  <c r="AO31" i="8" s="1"/>
  <c r="AT74" i="11"/>
  <c r="AP31" i="8" s="1"/>
  <c r="AU74" i="11"/>
  <c r="AQ31" i="8" s="1"/>
  <c r="AV74" i="11"/>
  <c r="AR31" i="8" s="1"/>
  <c r="AW74" i="11"/>
  <c r="AS31" i="8" s="1"/>
  <c r="AX74" i="11"/>
  <c r="AT31" i="8" s="1"/>
  <c r="AZ74" i="11"/>
  <c r="AV31" i="8" s="1"/>
  <c r="BA74" i="11"/>
  <c r="AW31" i="8" s="1"/>
  <c r="BB74" i="11"/>
  <c r="AX31" i="8" s="1"/>
  <c r="BC74" i="11"/>
  <c r="AY31" i="8" s="1"/>
  <c r="BD74" i="11"/>
  <c r="AZ31" i="8" s="1"/>
  <c r="BE74" i="11"/>
  <c r="BA31" i="8" s="1"/>
  <c r="BF74" i="11"/>
  <c r="BB31" i="8" s="1"/>
  <c r="BH74" i="11"/>
  <c r="BD31" i="8" s="1"/>
  <c r="BI74" i="11"/>
  <c r="BE31" i="8" s="1"/>
  <c r="BJ74" i="11"/>
  <c r="BF31" i="8" s="1"/>
  <c r="BK74" i="11"/>
  <c r="BG31" i="8" s="1"/>
  <c r="BL74" i="11"/>
  <c r="BH31" i="8" s="1"/>
  <c r="BM74" i="11"/>
  <c r="BI31" i="8" s="1"/>
  <c r="BN74" i="11"/>
  <c r="BJ31" i="8" s="1"/>
  <c r="BP74" i="11"/>
  <c r="BL31" i="8" s="1"/>
  <c r="BQ74" i="11"/>
  <c r="BM31" i="8" s="1"/>
  <c r="BR74" i="11"/>
  <c r="BN31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N45" i="12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V45" i="12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AD45" i="12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L45" i="12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T4" i="8"/>
  <c r="AP5" i="8"/>
  <c r="BB5" i="8"/>
  <c r="AT6" i="8"/>
  <c r="AP9" i="8"/>
  <c r="AL11" i="8"/>
  <c r="BN11" i="8"/>
  <c r="AL13" i="8"/>
  <c r="AX13" i="8"/>
  <c r="BN13" i="8"/>
  <c r="AL15" i="8"/>
  <c r="BN15" i="8"/>
  <c r="AL17" i="8"/>
  <c r="BN17" i="8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AI3" i="8"/>
  <c r="AO3" i="8"/>
  <c r="BL3" i="8"/>
  <c r="BO3" i="8"/>
  <c r="BP3" i="8"/>
  <c r="BQ3" i="8"/>
  <c r="BR3" i="8"/>
  <c r="BS3" i="8"/>
  <c r="BT3" i="8"/>
  <c r="BO4" i="8"/>
  <c r="BP4" i="8"/>
  <c r="BQ4" i="8"/>
  <c r="BR4" i="8"/>
  <c r="BS4" i="8"/>
  <c r="BT4" i="8"/>
  <c r="AK5" i="8"/>
  <c r="BO5" i="8"/>
  <c r="BP5" i="8"/>
  <c r="BQ5" i="8"/>
  <c r="BR5" i="8"/>
  <c r="BS5" i="8"/>
  <c r="BT5" i="8"/>
  <c r="AI6" i="8"/>
  <c r="BG6" i="8"/>
  <c r="BO6" i="8"/>
  <c r="BP6" i="8"/>
  <c r="BQ6" i="8"/>
  <c r="BR6" i="8"/>
  <c r="BS6" i="8"/>
  <c r="BT6" i="8"/>
  <c r="AK7" i="8"/>
  <c r="AY7" i="8"/>
  <c r="BI7" i="8"/>
  <c r="BM7" i="8"/>
  <c r="BO7" i="8"/>
  <c r="BP7" i="8"/>
  <c r="BQ7" i="8"/>
  <c r="BR7" i="8"/>
  <c r="BS7" i="8"/>
  <c r="BT7" i="8"/>
  <c r="AO8" i="8"/>
  <c r="AP8" i="8"/>
  <c r="AY8" i="8"/>
  <c r="BI8" i="8"/>
  <c r="BM8" i="8"/>
  <c r="BN8" i="8"/>
  <c r="BO8" i="8"/>
  <c r="BP8" i="8"/>
  <c r="BQ8" i="8"/>
  <c r="BR8" i="8"/>
  <c r="BS8" i="8"/>
  <c r="BT8" i="8"/>
  <c r="BM9" i="8"/>
  <c r="BO9" i="8"/>
  <c r="BP9" i="8"/>
  <c r="BQ9" i="8"/>
  <c r="BR9" i="8"/>
  <c r="BS9" i="8"/>
  <c r="BT9" i="8"/>
  <c r="BI10" i="8"/>
  <c r="BO10" i="8"/>
  <c r="BP10" i="8"/>
  <c r="BQ10" i="8"/>
  <c r="BR10" i="8"/>
  <c r="BS10" i="8"/>
  <c r="BT10" i="8"/>
  <c r="AO11" i="8"/>
  <c r="AV11" i="8"/>
  <c r="BE11" i="8"/>
  <c r="BG11" i="8"/>
  <c r="BO11" i="8"/>
  <c r="BP11" i="8"/>
  <c r="BQ11" i="8"/>
  <c r="BR11" i="8"/>
  <c r="BS11" i="8"/>
  <c r="BT11" i="8"/>
  <c r="AS12" i="8"/>
  <c r="BI12" i="8"/>
  <c r="BO12" i="8"/>
  <c r="BP12" i="8"/>
  <c r="BQ12" i="8"/>
  <c r="BR12" i="8"/>
  <c r="BS12" i="8"/>
  <c r="BT12" i="8"/>
  <c r="AO13" i="8"/>
  <c r="AV13" i="8"/>
  <c r="AW13" i="8"/>
  <c r="BE13" i="8"/>
  <c r="BO13" i="8"/>
  <c r="BP13" i="8"/>
  <c r="BQ13" i="8"/>
  <c r="BR13" i="8"/>
  <c r="BS13" i="8"/>
  <c r="BT13" i="8"/>
  <c r="BA14" i="8"/>
  <c r="BI14" i="8"/>
  <c r="BO14" i="8"/>
  <c r="BP14" i="8"/>
  <c r="BQ14" i="8"/>
  <c r="BR14" i="8"/>
  <c r="BS14" i="8"/>
  <c r="BT14" i="8"/>
  <c r="AO15" i="8"/>
  <c r="AV15" i="8"/>
  <c r="BE15" i="8"/>
  <c r="BG15" i="8"/>
  <c r="BO15" i="8"/>
  <c r="BP15" i="8"/>
  <c r="BQ15" i="8"/>
  <c r="BR15" i="8"/>
  <c r="BS15" i="8"/>
  <c r="BT15" i="8"/>
  <c r="AS16" i="8"/>
  <c r="BI16" i="8"/>
  <c r="BO16" i="8"/>
  <c r="BP16" i="8"/>
  <c r="BQ16" i="8"/>
  <c r="BR16" i="8"/>
  <c r="BS16" i="8"/>
  <c r="BT16" i="8"/>
  <c r="AO17" i="8"/>
  <c r="AV17" i="8"/>
  <c r="BE17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AO21" i="8"/>
  <c r="AV21" i="8"/>
  <c r="BE21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G27" i="8"/>
  <c r="BO27" i="8"/>
  <c r="BP27" i="8"/>
  <c r="BQ27" i="8"/>
  <c r="BR27" i="8"/>
  <c r="BS27" i="8"/>
  <c r="BT27" i="8"/>
  <c r="BI28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I30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BL48" i="11" l="1"/>
  <c r="BH5" i="8" s="1"/>
  <c r="BR47" i="11"/>
  <c r="BN4" i="8" s="1"/>
  <c r="BI48" i="11"/>
  <c r="BE5" i="8" s="1"/>
  <c r="BK47" i="11"/>
  <c r="BG4" i="8" s="1"/>
  <c r="BC47" i="11"/>
  <c r="AY4" i="8" s="1"/>
  <c r="BD48" i="11"/>
  <c r="AZ5" i="8" s="1"/>
  <c r="BI47" i="11"/>
  <c r="BE4" i="8" s="1"/>
  <c r="BQ46" i="11"/>
  <c r="BM3" i="8" s="1"/>
  <c r="AV47" i="11"/>
  <c r="AR4" i="8" s="1"/>
  <c r="BA47" i="11"/>
  <c r="AW4" i="8" s="1"/>
  <c r="AV48" i="11"/>
  <c r="AR5" i="8" s="1"/>
  <c r="BD47" i="11"/>
  <c r="AZ4" i="8" s="1"/>
  <c r="BO51" i="11"/>
  <c r="BK8" i="8" s="1"/>
  <c r="BO69" i="11"/>
  <c r="BK26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G52" i="11"/>
  <c r="BC9" i="8" s="1"/>
  <c r="BG70" i="11"/>
  <c r="BC27" i="8" s="1"/>
  <c r="BG71" i="11"/>
  <c r="BC28" i="8" s="1"/>
  <c r="BG72" i="11"/>
  <c r="BC29" i="8" s="1"/>
  <c r="BG73" i="11"/>
  <c r="BC30" i="8" s="1"/>
  <c r="BG74" i="11"/>
  <c r="BC31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Q70" i="11"/>
  <c r="AM27" i="8" s="1"/>
  <c r="AQ71" i="11"/>
  <c r="AM28" i="8" s="1"/>
  <c r="AQ72" i="11"/>
  <c r="AM29" i="8" s="1"/>
  <c r="AQ73" i="11"/>
  <c r="AM30" i="8" s="1"/>
  <c r="AQ74" i="11"/>
  <c r="AM31" i="8" s="1"/>
  <c r="BL47" i="11"/>
  <c r="BH4" i="8" s="1"/>
  <c r="AT47" i="11"/>
  <c r="AP4" i="8" s="1"/>
  <c r="AZ46" i="11"/>
  <c r="AV3" i="8" s="1"/>
  <c r="AR46" i="11"/>
  <c r="AN3" i="8" s="1"/>
  <c r="BO47" i="11"/>
  <c r="BK4" i="8" s="1"/>
  <c r="BO48" i="11"/>
  <c r="BK5" i="8" s="1"/>
  <c r="BO49" i="11"/>
  <c r="BK6" i="8" s="1"/>
  <c r="BO50" i="11"/>
  <c r="BK7" i="8" s="1"/>
  <c r="BO46" i="11"/>
  <c r="BK3" i="8" s="1"/>
  <c r="BO53" i="11"/>
  <c r="BK10" i="8" s="1"/>
  <c r="BO54" i="11"/>
  <c r="BK11" i="8" s="1"/>
  <c r="BO55" i="11"/>
  <c r="BK12" i="8" s="1"/>
  <c r="BO56" i="11"/>
  <c r="BK13" i="8" s="1"/>
  <c r="BO57" i="11"/>
  <c r="BK14" i="8" s="1"/>
  <c r="BO58" i="11"/>
  <c r="BK15" i="8" s="1"/>
  <c r="BO59" i="11"/>
  <c r="BK16" i="8" s="1"/>
  <c r="BO60" i="11"/>
  <c r="BK17" i="8" s="1"/>
  <c r="BO61" i="11"/>
  <c r="BK18" i="8" s="1"/>
  <c r="BO62" i="11"/>
  <c r="BK19" i="8" s="1"/>
  <c r="BO63" i="11"/>
  <c r="BK20" i="8" s="1"/>
  <c r="BO64" i="11"/>
  <c r="BK21" i="8" s="1"/>
  <c r="BO65" i="11"/>
  <c r="BK22" i="8" s="1"/>
  <c r="BO66" i="11"/>
  <c r="BK23" i="8" s="1"/>
  <c r="BO67" i="11"/>
  <c r="BK24" i="8" s="1"/>
  <c r="BO68" i="11"/>
  <c r="BK25" i="8" s="1"/>
  <c r="BO52" i="11"/>
  <c r="BK9" i="8" s="1"/>
  <c r="BG47" i="11"/>
  <c r="BC4" i="8" s="1"/>
  <c r="BG48" i="11"/>
  <c r="BC5" i="8" s="1"/>
  <c r="BG49" i="11"/>
  <c r="BC6" i="8" s="1"/>
  <c r="BG50" i="11"/>
  <c r="BC7" i="8" s="1"/>
  <c r="BG46" i="11"/>
  <c r="BC3" i="8" s="1"/>
  <c r="BG51" i="11"/>
  <c r="BC8" i="8" s="1"/>
  <c r="BG53" i="11"/>
  <c r="BC10" i="8" s="1"/>
  <c r="BG54" i="11"/>
  <c r="BC11" i="8" s="1"/>
  <c r="BG55" i="11"/>
  <c r="BC12" i="8" s="1"/>
  <c r="BG56" i="11"/>
  <c r="BC13" i="8" s="1"/>
  <c r="BG57" i="11"/>
  <c r="BC14" i="8" s="1"/>
  <c r="BG58" i="11"/>
  <c r="BC15" i="8" s="1"/>
  <c r="BG59" i="11"/>
  <c r="BC16" i="8" s="1"/>
  <c r="BG60" i="11"/>
  <c r="BC17" i="8" s="1"/>
  <c r="BG61" i="11"/>
  <c r="BC18" i="8" s="1"/>
  <c r="BG62" i="11"/>
  <c r="BC19" i="8" s="1"/>
  <c r="BG63" i="11"/>
  <c r="BC20" i="8" s="1"/>
  <c r="BG64" i="11"/>
  <c r="BC21" i="8" s="1"/>
  <c r="BG65" i="11"/>
  <c r="BC22" i="8" s="1"/>
  <c r="BG66" i="11"/>
  <c r="BC23" i="8" s="1"/>
  <c r="BG67" i="11"/>
  <c r="BC24" i="8" s="1"/>
  <c r="BG68" i="11"/>
  <c r="BC25" i="8" s="1"/>
  <c r="BG69" i="11"/>
  <c r="BC26" i="8" s="1"/>
  <c r="AY47" i="11"/>
  <c r="AU4" i="8" s="1"/>
  <c r="AY48" i="11"/>
  <c r="AU5" i="8" s="1"/>
  <c r="AY49" i="11"/>
  <c r="AU6" i="8" s="1"/>
  <c r="AY50" i="11"/>
  <c r="AU7" i="8" s="1"/>
  <c r="AY46" i="11"/>
  <c r="AU3" i="8" s="1"/>
  <c r="AY51" i="11"/>
  <c r="AU8" i="8" s="1"/>
  <c r="AY53" i="11"/>
  <c r="AU10" i="8" s="1"/>
  <c r="AY54" i="11"/>
  <c r="AU11" i="8" s="1"/>
  <c r="AY55" i="11"/>
  <c r="AU12" i="8" s="1"/>
  <c r="AY56" i="11"/>
  <c r="AU13" i="8" s="1"/>
  <c r="AY57" i="11"/>
  <c r="AU14" i="8" s="1"/>
  <c r="AY58" i="11"/>
  <c r="AU15" i="8" s="1"/>
  <c r="AY59" i="11"/>
  <c r="AU16" i="8" s="1"/>
  <c r="AY60" i="11"/>
  <c r="AU17" i="8" s="1"/>
  <c r="AY61" i="11"/>
  <c r="AU18" i="8" s="1"/>
  <c r="AY62" i="11"/>
  <c r="AU19" i="8" s="1"/>
  <c r="AY63" i="11"/>
  <c r="AU20" i="8" s="1"/>
  <c r="AY64" i="11"/>
  <c r="AU21" i="8" s="1"/>
  <c r="AY65" i="11"/>
  <c r="AU22" i="8" s="1"/>
  <c r="AY66" i="11"/>
  <c r="AU23" i="8" s="1"/>
  <c r="AY67" i="11"/>
  <c r="AU24" i="8" s="1"/>
  <c r="AY68" i="11"/>
  <c r="AU25" i="8" s="1"/>
  <c r="AY69" i="11"/>
  <c r="AU26" i="8" s="1"/>
  <c r="AQ47" i="11"/>
  <c r="AM4" i="8" s="1"/>
  <c r="AQ48" i="11"/>
  <c r="AM5" i="8" s="1"/>
  <c r="AQ49" i="11"/>
  <c r="AM6" i="8" s="1"/>
  <c r="AQ50" i="11"/>
  <c r="AM7" i="8" s="1"/>
  <c r="AQ46" i="11"/>
  <c r="AM3" i="8" s="1"/>
  <c r="AQ54" i="11"/>
  <c r="AM11" i="8" s="1"/>
  <c r="AQ55" i="11"/>
  <c r="AM12" i="8" s="1"/>
  <c r="AQ56" i="11"/>
  <c r="AM13" i="8" s="1"/>
  <c r="AQ57" i="11"/>
  <c r="AM14" i="8" s="1"/>
  <c r="AQ58" i="11"/>
  <c r="AM15" i="8" s="1"/>
  <c r="AQ59" i="11"/>
  <c r="AM16" i="8" s="1"/>
  <c r="AQ60" i="11"/>
  <c r="AM17" i="8" s="1"/>
  <c r="AQ61" i="11"/>
  <c r="AM18" i="8" s="1"/>
  <c r="AQ62" i="11"/>
  <c r="AM19" i="8" s="1"/>
  <c r="AQ63" i="11"/>
  <c r="AM20" i="8" s="1"/>
  <c r="AQ64" i="11"/>
  <c r="AM21" i="8" s="1"/>
  <c r="AQ65" i="11"/>
  <c r="AM22" i="8" s="1"/>
  <c r="AQ66" i="11"/>
  <c r="AM23" i="8" s="1"/>
  <c r="AQ67" i="11"/>
  <c r="AM24" i="8" s="1"/>
  <c r="AQ68" i="11"/>
  <c r="AM25" i="8" s="1"/>
  <c r="AQ69" i="11"/>
  <c r="AM26" i="8" s="1"/>
  <c r="AQ51" i="11"/>
  <c r="AM8" i="8" s="1"/>
  <c r="AQ53" i="11"/>
  <c r="AM10" i="8" s="1"/>
  <c r="AQ52" i="11"/>
  <c r="AM9" i="8" s="1"/>
  <c r="AY52" i="11"/>
  <c r="AU9" i="8" s="1"/>
  <c r="AT50" i="11"/>
  <c r="AP7" i="8" s="1"/>
  <c r="AT49" i="11"/>
  <c r="AP6" i="8" s="1"/>
  <c r="BR46" i="11"/>
  <c r="BN3" i="8" s="1"/>
  <c r="BJ46" i="11"/>
  <c r="BF3" i="8" s="1"/>
  <c r="BB46" i="11"/>
  <c r="AX3" i="8" s="1"/>
  <c r="AT46" i="11"/>
  <c r="AP3" i="8" s="1"/>
  <c r="BB49" i="11"/>
  <c r="AX6" i="8" s="1"/>
  <c r="BB48" i="11"/>
  <c r="AX5" i="8" s="1"/>
  <c r="BB47" i="11"/>
  <c r="AX4" i="8" s="1"/>
  <c r="BP47" i="11"/>
  <c r="BL4" i="8" s="1"/>
  <c r="BP48" i="11"/>
  <c r="BL5" i="8" s="1"/>
  <c r="BP49" i="11"/>
  <c r="BL6" i="8" s="1"/>
  <c r="BP50" i="11"/>
  <c r="BL7" i="8" s="1"/>
  <c r="BP51" i="11"/>
  <c r="BL8" i="8" s="1"/>
  <c r="BP52" i="11"/>
  <c r="BL9" i="8" s="1"/>
  <c r="BH47" i="11"/>
  <c r="BD4" i="8" s="1"/>
  <c r="BH48" i="11"/>
  <c r="BD5" i="8" s="1"/>
  <c r="BH49" i="11"/>
  <c r="BD6" i="8" s="1"/>
  <c r="BH50" i="11"/>
  <c r="BD7" i="8" s="1"/>
  <c r="BH51" i="11"/>
  <c r="BD8" i="8" s="1"/>
  <c r="BH52" i="11"/>
  <c r="BD9" i="8" s="1"/>
  <c r="AZ47" i="11"/>
  <c r="AV4" i="8" s="1"/>
  <c r="AZ48" i="11"/>
  <c r="AV5" i="8" s="1"/>
  <c r="AZ49" i="11"/>
  <c r="AV6" i="8" s="1"/>
  <c r="AZ50" i="11"/>
  <c r="AV7" i="8" s="1"/>
  <c r="AZ51" i="11"/>
  <c r="AV8" i="8" s="1"/>
  <c r="AZ52" i="11"/>
  <c r="AV9" i="8" s="1"/>
  <c r="AR47" i="11"/>
  <c r="AN4" i="8" s="1"/>
  <c r="AR48" i="11"/>
  <c r="AN5" i="8" s="1"/>
  <c r="AR49" i="11"/>
  <c r="AN6" i="8" s="1"/>
  <c r="AR50" i="11"/>
  <c r="AN7" i="8" s="1"/>
  <c r="AR51" i="11"/>
  <c r="AN8" i="8" s="1"/>
  <c r="AR52" i="11"/>
  <c r="AN9" i="8" s="1"/>
  <c r="AR53" i="11"/>
  <c r="AN10" i="8" s="1"/>
  <c r="AN47" i="11"/>
  <c r="AJ4" i="8" s="1"/>
  <c r="Q46" i="11"/>
  <c r="X46" i="11"/>
  <c r="G74" i="11"/>
  <c r="I47" i="11"/>
  <c r="L55" i="11"/>
  <c r="AG46" i="11"/>
  <c r="X65" i="11"/>
  <c r="G46" i="11"/>
  <c r="H46" i="11"/>
  <c r="L46" i="11"/>
  <c r="K47" i="11"/>
  <c r="Y62" i="11"/>
  <c r="I74" i="11"/>
  <c r="K46" i="11"/>
  <c r="AG48" i="11"/>
  <c r="Y58" i="11"/>
  <c r="Q68" i="11"/>
  <c r="Y60" i="11"/>
  <c r="Q72" i="11"/>
  <c r="Y66" i="11"/>
  <c r="Q70" i="11"/>
  <c r="Q56" i="11"/>
  <c r="I51" i="11"/>
  <c r="I54" i="11"/>
  <c r="Q50" i="11"/>
  <c r="Q66" i="11"/>
  <c r="AG56" i="11"/>
  <c r="Y64" i="11"/>
  <c r="I72" i="11"/>
  <c r="I70" i="11"/>
  <c r="I68" i="11"/>
  <c r="I66" i="11"/>
  <c r="Q64" i="11"/>
  <c r="Q62" i="11"/>
  <c r="Q60" i="11"/>
  <c r="Q58" i="11"/>
  <c r="AG55" i="11"/>
  <c r="AG53" i="11"/>
  <c r="Q48" i="11"/>
  <c r="AG73" i="11"/>
  <c r="AG71" i="11"/>
  <c r="AG69" i="11"/>
  <c r="AG67" i="11"/>
  <c r="AG65" i="11"/>
  <c r="I64" i="11"/>
  <c r="I62" i="11"/>
  <c r="I60" i="11"/>
  <c r="I58" i="11"/>
  <c r="Y55" i="11"/>
  <c r="Q53" i="11"/>
  <c r="Y47" i="11"/>
  <c r="G58" i="11"/>
  <c r="Y73" i="11"/>
  <c r="Y71" i="11"/>
  <c r="Y69" i="11"/>
  <c r="Y67" i="11"/>
  <c r="Y65" i="11"/>
  <c r="AG63" i="11"/>
  <c r="AG61" i="11"/>
  <c r="AG59" i="11"/>
  <c r="AG57" i="11"/>
  <c r="Q55" i="11"/>
  <c r="I53" i="11"/>
  <c r="Q73" i="11"/>
  <c r="Q71" i="11"/>
  <c r="Q69" i="11"/>
  <c r="Q67" i="11"/>
  <c r="Y63" i="11"/>
  <c r="Y61" i="11"/>
  <c r="Y59" i="11"/>
  <c r="Y57" i="11"/>
  <c r="I55" i="11"/>
  <c r="Q52" i="11"/>
  <c r="M46" i="11"/>
  <c r="AG74" i="11"/>
  <c r="I73" i="11"/>
  <c r="I71" i="11"/>
  <c r="I69" i="11"/>
  <c r="I67" i="11"/>
  <c r="Q65" i="11"/>
  <c r="Q63" i="11"/>
  <c r="Q61" i="11"/>
  <c r="Q59" i="11"/>
  <c r="Q57" i="11"/>
  <c r="AG54" i="11"/>
  <c r="Y51" i="11"/>
  <c r="I46" i="11"/>
  <c r="Y52" i="11"/>
  <c r="Y74" i="11"/>
  <c r="AG72" i="11"/>
  <c r="AG70" i="11"/>
  <c r="AG68" i="11"/>
  <c r="AG66" i="11"/>
  <c r="I65" i="11"/>
  <c r="I63" i="11"/>
  <c r="I61" i="11"/>
  <c r="I59" i="11"/>
  <c r="I57" i="11"/>
  <c r="Y54" i="11"/>
  <c r="Q74" i="11"/>
  <c r="Y72" i="11"/>
  <c r="Y70" i="11"/>
  <c r="Y68" i="11"/>
  <c r="AG64" i="11"/>
  <c r="AG62" i="11"/>
  <c r="AG60" i="11"/>
  <c r="AG58" i="11"/>
  <c r="Q54" i="11"/>
  <c r="J46" i="11"/>
  <c r="G72" i="11"/>
  <c r="AF60" i="11"/>
  <c r="X64" i="11"/>
  <c r="H73" i="11"/>
  <c r="H71" i="11"/>
  <c r="AF61" i="11"/>
  <c r="G60" i="11"/>
  <c r="H72" i="11"/>
  <c r="AF62" i="11"/>
  <c r="AF63" i="11"/>
  <c r="AF64" i="11"/>
  <c r="AF65" i="11"/>
  <c r="AF66" i="11"/>
  <c r="AF67" i="11"/>
  <c r="AF68" i="11"/>
  <c r="AF69" i="11"/>
  <c r="AF59" i="11"/>
  <c r="AF70" i="11"/>
  <c r="AF71" i="11"/>
  <c r="AF72" i="11"/>
  <c r="AF73" i="11"/>
  <c r="AF58" i="11"/>
  <c r="X54" i="11"/>
  <c r="X66" i="11"/>
  <c r="X67" i="11"/>
  <c r="X53" i="11"/>
  <c r="X68" i="11"/>
  <c r="X69" i="11"/>
  <c r="X63" i="11"/>
  <c r="X70" i="11"/>
  <c r="X71" i="11"/>
  <c r="X72" i="11"/>
  <c r="X73" i="11"/>
  <c r="X57" i="11"/>
  <c r="X58" i="11"/>
  <c r="X59" i="11"/>
  <c r="X74" i="11"/>
  <c r="X50" i="11"/>
  <c r="X60" i="11"/>
  <c r="X61" i="11"/>
  <c r="X56" i="11"/>
  <c r="X62" i="11"/>
  <c r="P70" i="11"/>
  <c r="P71" i="11"/>
  <c r="P54" i="11"/>
  <c r="P72" i="11"/>
  <c r="P73" i="11"/>
  <c r="P57" i="11"/>
  <c r="P58" i="11"/>
  <c r="P59" i="11"/>
  <c r="P74" i="11"/>
  <c r="P67" i="11"/>
  <c r="P50" i="11"/>
  <c r="P52" i="11"/>
  <c r="P60" i="11"/>
  <c r="P61" i="11"/>
  <c r="P56" i="11"/>
  <c r="P62" i="11"/>
  <c r="P63" i="11"/>
  <c r="P66" i="11"/>
  <c r="P55" i="11"/>
  <c r="P64" i="11"/>
  <c r="P65" i="11"/>
  <c r="P48" i="11"/>
  <c r="H57" i="11"/>
  <c r="H58" i="11"/>
  <c r="H59" i="11"/>
  <c r="H74" i="11"/>
  <c r="H49" i="11"/>
  <c r="H60" i="11"/>
  <c r="H61" i="11"/>
  <c r="H51" i="11"/>
  <c r="H52" i="11"/>
  <c r="H62" i="11"/>
  <c r="H63" i="11"/>
  <c r="H55" i="11"/>
  <c r="H56" i="11"/>
  <c r="H64" i="11"/>
  <c r="H65" i="11"/>
  <c r="H54" i="11"/>
  <c r="H66" i="11"/>
  <c r="H67" i="11"/>
  <c r="H53" i="11"/>
  <c r="H68" i="11"/>
  <c r="H69" i="11"/>
  <c r="H70" i="11"/>
  <c r="AF74" i="11"/>
  <c r="X55" i="11"/>
  <c r="P68" i="11"/>
  <c r="P53" i="11"/>
  <c r="P69" i="11"/>
  <c r="G70" i="11"/>
  <c r="G68" i="11"/>
  <c r="G66" i="11"/>
  <c r="G54" i="11"/>
  <c r="G64" i="11"/>
  <c r="G56" i="11"/>
  <c r="G50" i="11"/>
  <c r="G62" i="11"/>
  <c r="G52" i="11"/>
  <c r="AI48" i="11"/>
  <c r="AH62" i="11"/>
  <c r="R70" i="11"/>
  <c r="AF51" i="11"/>
  <c r="AH55" i="11"/>
  <c r="AF52" i="11"/>
  <c r="X51" i="11"/>
  <c r="H50" i="11"/>
  <c r="H48" i="11"/>
  <c r="AF57" i="11"/>
  <c r="AF56" i="11"/>
  <c r="AF55" i="11"/>
  <c r="AF54" i="11"/>
  <c r="X52" i="11"/>
  <c r="P51" i="11"/>
  <c r="AF53" i="11"/>
  <c r="AF49" i="11"/>
  <c r="P49" i="11"/>
  <c r="AF50" i="11"/>
  <c r="AC52" i="11"/>
  <c r="AH51" i="11"/>
  <c r="Z66" i="11"/>
  <c r="R48" i="11"/>
  <c r="J50" i="11"/>
  <c r="R65" i="11"/>
  <c r="R60" i="11"/>
  <c r="AH57" i="11"/>
  <c r="J55" i="11"/>
  <c r="R52" i="11"/>
  <c r="AI49" i="11"/>
  <c r="AA59" i="11"/>
  <c r="K68" i="11"/>
  <c r="J52" i="11"/>
  <c r="AH72" i="11"/>
  <c r="Z63" i="11"/>
  <c r="J53" i="11"/>
  <c r="R46" i="11"/>
  <c r="Z73" i="11"/>
  <c r="Z56" i="11"/>
  <c r="J64" i="11"/>
  <c r="J59" i="11"/>
  <c r="AH53" i="11"/>
  <c r="R49" i="11"/>
  <c r="Z60" i="11"/>
  <c r="J74" i="11"/>
  <c r="J69" i="11"/>
  <c r="R67" i="11"/>
  <c r="AH64" i="11"/>
  <c r="Z61" i="11"/>
  <c r="R47" i="11"/>
  <c r="AH47" i="11"/>
  <c r="AH74" i="11"/>
  <c r="Z71" i="11"/>
  <c r="R74" i="11"/>
  <c r="J73" i="11"/>
  <c r="AH71" i="11"/>
  <c r="AA68" i="11"/>
  <c r="J68" i="11"/>
  <c r="AH66" i="11"/>
  <c r="Z65" i="11"/>
  <c r="R64" i="11"/>
  <c r="J63" i="11"/>
  <c r="AH61" i="11"/>
  <c r="R59" i="11"/>
  <c r="R55" i="11"/>
  <c r="R53" i="11"/>
  <c r="R50" i="11"/>
  <c r="AA47" i="11"/>
  <c r="U65" i="11"/>
  <c r="R72" i="11"/>
  <c r="J71" i="11"/>
  <c r="AH69" i="11"/>
  <c r="Z68" i="11"/>
  <c r="J66" i="11"/>
  <c r="AI64" i="11"/>
  <c r="R62" i="11"/>
  <c r="J61" i="11"/>
  <c r="AH59" i="11"/>
  <c r="Z58" i="11"/>
  <c r="R57" i="11"/>
  <c r="Z54" i="11"/>
  <c r="Z52" i="11"/>
  <c r="J51" i="11"/>
  <c r="Z49" i="11"/>
  <c r="Z48" i="11"/>
  <c r="Z47" i="11"/>
  <c r="J72" i="11"/>
  <c r="AH70" i="11"/>
  <c r="Z69" i="11"/>
  <c r="R68" i="11"/>
  <c r="AH67" i="11"/>
  <c r="J62" i="11"/>
  <c r="AH60" i="11"/>
  <c r="R58" i="11"/>
  <c r="J57" i="11"/>
  <c r="R56" i="11"/>
  <c r="R54" i="11"/>
  <c r="Z51" i="11"/>
  <c r="AH50" i="11"/>
  <c r="K49" i="11"/>
  <c r="J47" i="11"/>
  <c r="Z74" i="11"/>
  <c r="R73" i="11"/>
  <c r="J70" i="11"/>
  <c r="AH68" i="11"/>
  <c r="J67" i="11"/>
  <c r="AH65" i="11"/>
  <c r="Z64" i="11"/>
  <c r="R63" i="11"/>
  <c r="J60" i="11"/>
  <c r="Z59" i="11"/>
  <c r="Z55" i="11"/>
  <c r="J49" i="11"/>
  <c r="J48" i="11"/>
  <c r="AH46" i="11"/>
  <c r="Z72" i="11"/>
  <c r="R71" i="11"/>
  <c r="R66" i="11"/>
  <c r="J65" i="11"/>
  <c r="Z62" i="11"/>
  <c r="R61" i="11"/>
  <c r="AH58" i="11"/>
  <c r="Z57" i="11"/>
  <c r="AH54" i="11"/>
  <c r="Z53" i="11"/>
  <c r="AH52" i="11"/>
  <c r="K52" i="11"/>
  <c r="Z50" i="11"/>
  <c r="Z46" i="11"/>
  <c r="AH73" i="11"/>
  <c r="Z70" i="11"/>
  <c r="R69" i="11"/>
  <c r="Z67" i="11"/>
  <c r="AH63" i="11"/>
  <c r="J58" i="11"/>
  <c r="AH56" i="11"/>
  <c r="J56" i="11"/>
  <c r="J54" i="11"/>
  <c r="R51" i="11"/>
  <c r="AH49" i="11"/>
  <c r="AH48" i="11"/>
  <c r="AK60" i="11"/>
  <c r="AC71" i="11"/>
  <c r="U72" i="11"/>
  <c r="M66" i="11"/>
  <c r="AK68" i="11"/>
  <c r="AK63" i="11"/>
  <c r="M59" i="11"/>
  <c r="AI47" i="11"/>
  <c r="AA48" i="11"/>
  <c r="S49" i="11"/>
  <c r="K62" i="11"/>
  <c r="AC62" i="11"/>
  <c r="S65" i="11"/>
  <c r="AI74" i="11"/>
  <c r="S74" i="11"/>
  <c r="AA71" i="11"/>
  <c r="K71" i="11"/>
  <c r="AA70" i="11"/>
  <c r="K70" i="11"/>
  <c r="AA61" i="11"/>
  <c r="K61" i="11"/>
  <c r="AI57" i="11"/>
  <c r="S57" i="11"/>
  <c r="AI56" i="11"/>
  <c r="AI53" i="11"/>
  <c r="K51" i="11"/>
  <c r="AK57" i="11"/>
  <c r="AC64" i="11"/>
  <c r="U67" i="11"/>
  <c r="M47" i="11"/>
  <c r="S72" i="11"/>
  <c r="AI73" i="11"/>
  <c r="S73" i="11"/>
  <c r="AI72" i="11"/>
  <c r="AA69" i="11"/>
  <c r="K69" i="11"/>
  <c r="AI65" i="11"/>
  <c r="AA60" i="11"/>
  <c r="K60" i="11"/>
  <c r="AA51" i="11"/>
  <c r="AF47" i="11"/>
  <c r="AI46" i="11"/>
  <c r="AI71" i="11"/>
  <c r="AA67" i="11"/>
  <c r="K67" i="11"/>
  <c r="AA66" i="11"/>
  <c r="AI63" i="11"/>
  <c r="S63" i="11"/>
  <c r="AI62" i="11"/>
  <c r="S62" i="11"/>
  <c r="K59" i="11"/>
  <c r="AA58" i="11"/>
  <c r="K58" i="11"/>
  <c r="K56" i="11"/>
  <c r="AA55" i="11"/>
  <c r="K55" i="11"/>
  <c r="AA54" i="11"/>
  <c r="K54" i="11"/>
  <c r="K53" i="11"/>
  <c r="AA52" i="11"/>
  <c r="AA46" i="11"/>
  <c r="S64" i="11"/>
  <c r="AA74" i="11"/>
  <c r="K74" i="11"/>
  <c r="S71" i="11"/>
  <c r="AI70" i="11"/>
  <c r="S70" i="11"/>
  <c r="K66" i="11"/>
  <c r="AI61" i="11"/>
  <c r="S61" i="11"/>
  <c r="AA57" i="11"/>
  <c r="K57" i="11"/>
  <c r="AA56" i="11"/>
  <c r="AA53" i="11"/>
  <c r="AI50" i="11"/>
  <c r="K48" i="11"/>
  <c r="AA73" i="11"/>
  <c r="K73" i="11"/>
  <c r="AA72" i="11"/>
  <c r="AI69" i="11"/>
  <c r="S69" i="11"/>
  <c r="AA65" i="11"/>
  <c r="AI60" i="11"/>
  <c r="S60" i="11"/>
  <c r="S51" i="11"/>
  <c r="AA49" i="11"/>
  <c r="S47" i="11"/>
  <c r="S46" i="11"/>
  <c r="S48" i="11"/>
  <c r="K72" i="11"/>
  <c r="AI68" i="11"/>
  <c r="S68" i="11"/>
  <c r="K65" i="11"/>
  <c r="AA64" i="11"/>
  <c r="K64" i="11"/>
  <c r="AI59" i="11"/>
  <c r="S59" i="11"/>
  <c r="S52" i="11"/>
  <c r="AI51" i="11"/>
  <c r="K50" i="11"/>
  <c r="S50" i="11"/>
  <c r="AI67" i="11"/>
  <c r="S67" i="11"/>
  <c r="AI66" i="11"/>
  <c r="S66" i="11"/>
  <c r="AA63" i="11"/>
  <c r="K63" i="11"/>
  <c r="AA62" i="11"/>
  <c r="AI58" i="11"/>
  <c r="S58" i="11"/>
  <c r="S56" i="11"/>
  <c r="AI55" i="11"/>
  <c r="S55" i="11"/>
  <c r="AI54" i="11"/>
  <c r="S54" i="11"/>
  <c r="S53" i="11"/>
  <c r="AI52" i="11"/>
  <c r="AA50" i="11"/>
  <c r="P47" i="11"/>
  <c r="M73" i="11"/>
  <c r="U70" i="11"/>
  <c r="AC69" i="11"/>
  <c r="AK66" i="11"/>
  <c r="AK56" i="11"/>
  <c r="AC74" i="11"/>
  <c r="AK73" i="11"/>
  <c r="M71" i="11"/>
  <c r="U68" i="11"/>
  <c r="AC67" i="11"/>
  <c r="AK64" i="11"/>
  <c r="AK54" i="11"/>
  <c r="AC72" i="11"/>
  <c r="AK71" i="11"/>
  <c r="M69" i="11"/>
  <c r="U66" i="11"/>
  <c r="AC65" i="11"/>
  <c r="AK59" i="11"/>
  <c r="M74" i="11"/>
  <c r="U73" i="11"/>
  <c r="AC70" i="11"/>
  <c r="AK69" i="11"/>
  <c r="M67" i="11"/>
  <c r="AC57" i="11"/>
  <c r="U53" i="11"/>
  <c r="AK74" i="11"/>
  <c r="M72" i="11"/>
  <c r="U71" i="11"/>
  <c r="AC68" i="11"/>
  <c r="AK67" i="11"/>
  <c r="M65" i="11"/>
  <c r="U63" i="11"/>
  <c r="AC60" i="11"/>
  <c r="U58" i="11"/>
  <c r="M55" i="11"/>
  <c r="AC50" i="11"/>
  <c r="AK72" i="11"/>
  <c r="M70" i="11"/>
  <c r="U69" i="11"/>
  <c r="AC66" i="11"/>
  <c r="AK65" i="11"/>
  <c r="U74" i="11"/>
  <c r="AC73" i="11"/>
  <c r="AK70" i="11"/>
  <c r="M68" i="11"/>
  <c r="AK61" i="11"/>
  <c r="M54" i="11"/>
  <c r="X49" i="11"/>
  <c r="X48" i="11"/>
  <c r="AK49" i="11"/>
  <c r="AF48" i="11"/>
  <c r="X47" i="11"/>
  <c r="AC46" i="11"/>
  <c r="AK51" i="11"/>
  <c r="M49" i="11"/>
  <c r="AJ67" i="11"/>
  <c r="AB62" i="11"/>
  <c r="T74" i="11"/>
  <c r="L70" i="11"/>
  <c r="T59" i="11"/>
  <c r="L54" i="11"/>
  <c r="L71" i="11"/>
  <c r="AG52" i="11"/>
  <c r="Y50" i="11"/>
  <c r="I50" i="11"/>
  <c r="AG47" i="11"/>
  <c r="Q47" i="11"/>
  <c r="AK53" i="11"/>
  <c r="AC47" i="11"/>
  <c r="U48" i="11"/>
  <c r="M51" i="11"/>
  <c r="AJ66" i="11"/>
  <c r="AB63" i="11"/>
  <c r="T58" i="11"/>
  <c r="Y49" i="11"/>
  <c r="Y53" i="11"/>
  <c r="AG51" i="11"/>
  <c r="Q51" i="11"/>
  <c r="AG50" i="11"/>
  <c r="I49" i="11"/>
  <c r="Y48" i="11"/>
  <c r="I48" i="11"/>
  <c r="Y46" i="11"/>
  <c r="Y56" i="11"/>
  <c r="I56" i="11"/>
  <c r="I52" i="11"/>
  <c r="AG49" i="11"/>
  <c r="Q49" i="11"/>
  <c r="U64" i="11"/>
  <c r="AC63" i="11"/>
  <c r="AK62" i="11"/>
  <c r="M62" i="11"/>
  <c r="U61" i="11"/>
  <c r="U56" i="11"/>
  <c r="AC55" i="11"/>
  <c r="M52" i="11"/>
  <c r="U51" i="11"/>
  <c r="AC48" i="11"/>
  <c r="AK47" i="11"/>
  <c r="M60" i="11"/>
  <c r="U59" i="11"/>
  <c r="AC58" i="11"/>
  <c r="M57" i="11"/>
  <c r="U54" i="11"/>
  <c r="AK52" i="11"/>
  <c r="M50" i="11"/>
  <c r="U49" i="11"/>
  <c r="AC53" i="11"/>
  <c r="AK50" i="11"/>
  <c r="M48" i="11"/>
  <c r="U47" i="11"/>
  <c r="U46" i="11"/>
  <c r="M63" i="11"/>
  <c r="AC61" i="11"/>
  <c r="AC56" i="11"/>
  <c r="AK55" i="11"/>
  <c r="U52" i="11"/>
  <c r="AC51" i="11"/>
  <c r="AK48" i="11"/>
  <c r="AK46" i="11"/>
  <c r="U60" i="11"/>
  <c r="AC59" i="11"/>
  <c r="AK58" i="11"/>
  <c r="M58" i="11"/>
  <c r="U57" i="11"/>
  <c r="AC54" i="11"/>
  <c r="M53" i="11"/>
  <c r="U50" i="11"/>
  <c r="AC49" i="11"/>
  <c r="M61" i="11"/>
  <c r="M56" i="11"/>
  <c r="U55" i="11"/>
  <c r="AJ56" i="11"/>
  <c r="AB46" i="11"/>
  <c r="T48" i="11"/>
  <c r="L60" i="11"/>
  <c r="AJ50" i="11"/>
  <c r="AJ51" i="11"/>
  <c r="AB47" i="11"/>
  <c r="L74" i="11"/>
  <c r="AJ71" i="11"/>
  <c r="AJ70" i="11"/>
  <c r="AB67" i="11"/>
  <c r="AB66" i="11"/>
  <c r="T63" i="11"/>
  <c r="T62" i="11"/>
  <c r="L59" i="11"/>
  <c r="L58" i="11"/>
  <c r="AJ55" i="11"/>
  <c r="AJ54" i="11"/>
  <c r="AB51" i="11"/>
  <c r="AB50" i="11"/>
  <c r="T47" i="11"/>
  <c r="L73" i="11"/>
  <c r="L72" i="11"/>
  <c r="AJ69" i="11"/>
  <c r="AJ68" i="11"/>
  <c r="AB65" i="11"/>
  <c r="AB64" i="11"/>
  <c r="T61" i="11"/>
  <c r="T60" i="11"/>
  <c r="L57" i="11"/>
  <c r="L56" i="11"/>
  <c r="AJ53" i="11"/>
  <c r="AJ52" i="11"/>
  <c r="AB49" i="11"/>
  <c r="AB48" i="11"/>
  <c r="T73" i="11"/>
  <c r="T72" i="11"/>
  <c r="L69" i="11"/>
  <c r="L68" i="11"/>
  <c r="AJ65" i="11"/>
  <c r="AJ64" i="11"/>
  <c r="AB61" i="11"/>
  <c r="AB60" i="11"/>
  <c r="T57" i="11"/>
  <c r="T56" i="11"/>
  <c r="L53" i="11"/>
  <c r="L52" i="11"/>
  <c r="AJ49" i="11"/>
  <c r="AJ48" i="11"/>
  <c r="AJ46" i="11"/>
  <c r="AB74" i="11"/>
  <c r="T71" i="11"/>
  <c r="T70" i="11"/>
  <c r="L67" i="11"/>
  <c r="L66" i="11"/>
  <c r="AJ63" i="11"/>
  <c r="AJ62" i="11"/>
  <c r="AB59" i="11"/>
  <c r="AB58" i="11"/>
  <c r="T55" i="11"/>
  <c r="T54" i="11"/>
  <c r="L51" i="11"/>
  <c r="L50" i="11"/>
  <c r="AJ47" i="11"/>
  <c r="T46" i="11"/>
  <c r="AB73" i="11"/>
  <c r="AB72" i="11"/>
  <c r="T69" i="11"/>
  <c r="T68" i="11"/>
  <c r="L65" i="11"/>
  <c r="L64" i="11"/>
  <c r="AJ61" i="11"/>
  <c r="AJ60" i="11"/>
  <c r="AB57" i="11"/>
  <c r="AB56" i="11"/>
  <c r="T53" i="11"/>
  <c r="T52" i="11"/>
  <c r="L49" i="11"/>
  <c r="L48" i="11"/>
  <c r="AJ74" i="11"/>
  <c r="AB71" i="11"/>
  <c r="AB70" i="11"/>
  <c r="T67" i="11"/>
  <c r="T66" i="11"/>
  <c r="L63" i="11"/>
  <c r="L62" i="11"/>
  <c r="AJ59" i="11"/>
  <c r="AJ58" i="11"/>
  <c r="AB55" i="11"/>
  <c r="AB54" i="11"/>
  <c r="T51" i="11"/>
  <c r="T50" i="11"/>
  <c r="L47" i="11"/>
  <c r="AJ73" i="11"/>
  <c r="AJ72" i="11"/>
  <c r="AB69" i="11"/>
  <c r="AB68" i="11"/>
  <c r="T65" i="11"/>
  <c r="T64" i="11"/>
  <c r="L61" i="11"/>
  <c r="AJ57" i="11"/>
  <c r="AB53" i="11"/>
  <c r="AB52" i="11"/>
  <c r="T49" i="11"/>
  <c r="AE47" i="11"/>
  <c r="W47" i="11"/>
  <c r="O47" i="11"/>
  <c r="G47" i="11"/>
  <c r="O74" i="11"/>
  <c r="O72" i="11"/>
  <c r="O70" i="11"/>
  <c r="O68" i="11"/>
  <c r="O66" i="11"/>
  <c r="O64" i="11"/>
  <c r="O62" i="11"/>
  <c r="O60" i="11"/>
  <c r="O58" i="11"/>
  <c r="O56" i="11"/>
  <c r="O54" i="11"/>
  <c r="O52" i="11"/>
  <c r="O50" i="11"/>
  <c r="O48" i="11"/>
  <c r="O46" i="11"/>
  <c r="V73" i="11"/>
  <c r="W74" i="11"/>
  <c r="W72" i="11"/>
  <c r="W70" i="11"/>
  <c r="W68" i="11"/>
  <c r="W66" i="11"/>
  <c r="W64" i="11"/>
  <c r="W62" i="11"/>
  <c r="W60" i="11"/>
  <c r="W58" i="11"/>
  <c r="W56" i="11"/>
  <c r="W54" i="11"/>
  <c r="W52" i="11"/>
  <c r="W50" i="11"/>
  <c r="W48" i="11"/>
  <c r="W46" i="11"/>
  <c r="AE74" i="11"/>
  <c r="AE72" i="11"/>
  <c r="AE70" i="11"/>
  <c r="AE68" i="11"/>
  <c r="AE66" i="11"/>
  <c r="AE64" i="11"/>
  <c r="AE62" i="11"/>
  <c r="AE60" i="11"/>
  <c r="AE58" i="11"/>
  <c r="AE56" i="11"/>
  <c r="AE54" i="11"/>
  <c r="AE52" i="11"/>
  <c r="AE50" i="11"/>
  <c r="AE48" i="11"/>
  <c r="AE46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O73" i="11"/>
  <c r="O71" i="11"/>
  <c r="O69" i="11"/>
  <c r="O67" i="11"/>
  <c r="O65" i="11"/>
  <c r="O63" i="11"/>
  <c r="O61" i="11"/>
  <c r="O59" i="11"/>
  <c r="O57" i="11"/>
  <c r="O55" i="11"/>
  <c r="O53" i="11"/>
  <c r="O51" i="11"/>
  <c r="O49" i="11"/>
  <c r="W73" i="11"/>
  <c r="W71" i="11"/>
  <c r="W69" i="11"/>
  <c r="W67" i="11"/>
  <c r="W65" i="11"/>
  <c r="W63" i="11"/>
  <c r="W61" i="11"/>
  <c r="W59" i="11"/>
  <c r="W57" i="11"/>
  <c r="W55" i="11"/>
  <c r="W53" i="11"/>
  <c r="W51" i="11"/>
  <c r="W49" i="11"/>
  <c r="AE73" i="11"/>
  <c r="AE71" i="11"/>
  <c r="AE69" i="11"/>
  <c r="AE67" i="11"/>
  <c r="AE65" i="11"/>
  <c r="AE63" i="11"/>
  <c r="AE61" i="11"/>
  <c r="AE59" i="11"/>
  <c r="AE57" i="11"/>
  <c r="AE55" i="11"/>
  <c r="AE53" i="11"/>
  <c r="AE51" i="11"/>
  <c r="AE49" i="11"/>
  <c r="AD72" i="11"/>
  <c r="N50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50" i="11"/>
  <c r="AL49" i="11"/>
  <c r="AL48" i="11"/>
  <c r="AL47" i="11"/>
  <c r="AL46" i="11"/>
  <c r="AL74" i="11"/>
  <c r="AD74" i="11"/>
  <c r="V74" i="11"/>
  <c r="N74" i="11"/>
  <c r="AL73" i="11"/>
  <c r="AD73" i="11"/>
  <c r="N73" i="11"/>
  <c r="AL72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50" i="11"/>
  <c r="V49" i="11"/>
  <c r="V48" i="11"/>
  <c r="V47" i="11"/>
  <c r="V46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50" i="11"/>
  <c r="AD49" i="11"/>
  <c r="AD48" i="11"/>
  <c r="AD47" i="11"/>
  <c r="AD46" i="11"/>
  <c r="N51" i="11"/>
  <c r="N46" i="11"/>
  <c r="N47" i="11"/>
  <c r="N49" i="11"/>
  <c r="N48" i="11"/>
  <c r="D35" i="4"/>
  <c r="D36" i="4"/>
  <c r="D37" i="4"/>
  <c r="G37" i="4" l="1"/>
  <c r="O37" i="4"/>
  <c r="W37" i="4"/>
  <c r="AE37" i="4"/>
  <c r="AM37" i="4"/>
  <c r="AU37" i="4"/>
  <c r="BC37" i="4"/>
  <c r="BK37" i="4"/>
  <c r="AB37" i="4"/>
  <c r="H37" i="4"/>
  <c r="P37" i="4"/>
  <c r="X37" i="4"/>
  <c r="AF37" i="4"/>
  <c r="AN37" i="4"/>
  <c r="AV37" i="4"/>
  <c r="BD37" i="4"/>
  <c r="BL37" i="4"/>
  <c r="L37" i="4"/>
  <c r="I37" i="4"/>
  <c r="Q37" i="4"/>
  <c r="Y37" i="4"/>
  <c r="AG37" i="4"/>
  <c r="AO37" i="4"/>
  <c r="AW37" i="4"/>
  <c r="BE37" i="4"/>
  <c r="BM37" i="4"/>
  <c r="F37" i="4"/>
  <c r="T37" i="4"/>
  <c r="BP37" i="4"/>
  <c r="J37" i="4"/>
  <c r="R37" i="4"/>
  <c r="Z37" i="4"/>
  <c r="AH37" i="4"/>
  <c r="AP37" i="4"/>
  <c r="AX37" i="4"/>
  <c r="BF37" i="4"/>
  <c r="BN37" i="4"/>
  <c r="AJ37" i="4"/>
  <c r="K37" i="4"/>
  <c r="S37" i="4"/>
  <c r="AA37" i="4"/>
  <c r="AI37" i="4"/>
  <c r="AQ37" i="4"/>
  <c r="AY37" i="4"/>
  <c r="BG37" i="4"/>
  <c r="BO37" i="4"/>
  <c r="AR37" i="4"/>
  <c r="M37" i="4"/>
  <c r="U37" i="4"/>
  <c r="AC37" i="4"/>
  <c r="AK37" i="4"/>
  <c r="AS37" i="4"/>
  <c r="BA37" i="4"/>
  <c r="BI37" i="4"/>
  <c r="BQ37" i="4"/>
  <c r="AZ37" i="4"/>
  <c r="N37" i="4"/>
  <c r="V37" i="4"/>
  <c r="AD37" i="4"/>
  <c r="AL37" i="4"/>
  <c r="AT37" i="4"/>
  <c r="BB37" i="4"/>
  <c r="BJ37" i="4"/>
  <c r="BR37" i="4"/>
  <c r="BH37" i="4"/>
  <c r="G36" i="4"/>
  <c r="O36" i="4"/>
  <c r="W36" i="4"/>
  <c r="AE36" i="4"/>
  <c r="AM36" i="4"/>
  <c r="AU36" i="4"/>
  <c r="BC36" i="4"/>
  <c r="BK36" i="4"/>
  <c r="T36" i="4"/>
  <c r="H36" i="4"/>
  <c r="P36" i="4"/>
  <c r="X36" i="4"/>
  <c r="AF36" i="4"/>
  <c r="AN36" i="4"/>
  <c r="AV36" i="4"/>
  <c r="BD36" i="4"/>
  <c r="BL36" i="4"/>
  <c r="F36" i="4"/>
  <c r="L36" i="4"/>
  <c r="I36" i="4"/>
  <c r="Q36" i="4"/>
  <c r="Y36" i="4"/>
  <c r="AG36" i="4"/>
  <c r="AO36" i="4"/>
  <c r="AW36" i="4"/>
  <c r="BE36" i="4"/>
  <c r="BM36" i="4"/>
  <c r="AR36" i="4"/>
  <c r="J36" i="4"/>
  <c r="R36" i="4"/>
  <c r="Z36" i="4"/>
  <c r="AH36" i="4"/>
  <c r="AP36" i="4"/>
  <c r="AX36" i="4"/>
  <c r="BF36" i="4"/>
  <c r="BN36" i="4"/>
  <c r="AB36" i="4"/>
  <c r="K36" i="4"/>
  <c r="S36" i="4"/>
  <c r="AA36" i="4"/>
  <c r="AI36" i="4"/>
  <c r="AQ36" i="4"/>
  <c r="AY36" i="4"/>
  <c r="BG36" i="4"/>
  <c r="BO36" i="4"/>
  <c r="AJ36" i="4"/>
  <c r="BP36" i="4"/>
  <c r="M36" i="4"/>
  <c r="U36" i="4"/>
  <c r="AC36" i="4"/>
  <c r="AK36" i="4"/>
  <c r="AS36" i="4"/>
  <c r="BA36" i="4"/>
  <c r="BI36" i="4"/>
  <c r="BQ36" i="4"/>
  <c r="AZ36" i="4"/>
  <c r="N36" i="4"/>
  <c r="V36" i="4"/>
  <c r="AD36" i="4"/>
  <c r="AL36" i="4"/>
  <c r="AT36" i="4"/>
  <c r="BB36" i="4"/>
  <c r="BJ36" i="4"/>
  <c r="BR36" i="4"/>
  <c r="BH36" i="4"/>
  <c r="G35" i="4"/>
  <c r="O35" i="4"/>
  <c r="W35" i="4"/>
  <c r="AE35" i="4"/>
  <c r="AM35" i="4"/>
  <c r="AU35" i="4"/>
  <c r="BC35" i="4"/>
  <c r="BK35" i="4"/>
  <c r="F35" i="4"/>
  <c r="AB35" i="4"/>
  <c r="H35" i="4"/>
  <c r="P35" i="4"/>
  <c r="X35" i="4"/>
  <c r="AF35" i="4"/>
  <c r="AN35" i="4"/>
  <c r="AV35" i="4"/>
  <c r="BD35" i="4"/>
  <c r="BL35" i="4"/>
  <c r="AJ35" i="4"/>
  <c r="I35" i="4"/>
  <c r="Q35" i="4"/>
  <c r="Y35" i="4"/>
  <c r="AG35" i="4"/>
  <c r="AO35" i="4"/>
  <c r="AW35" i="4"/>
  <c r="BE35" i="4"/>
  <c r="BM35" i="4"/>
  <c r="L35" i="4"/>
  <c r="BP35" i="4"/>
  <c r="J35" i="4"/>
  <c r="R35" i="4"/>
  <c r="Z35" i="4"/>
  <c r="AH35" i="4"/>
  <c r="AP35" i="4"/>
  <c r="AX35" i="4"/>
  <c r="BF35" i="4"/>
  <c r="BN35" i="4"/>
  <c r="T35" i="4"/>
  <c r="K35" i="4"/>
  <c r="S35" i="4"/>
  <c r="AA35" i="4"/>
  <c r="AI35" i="4"/>
  <c r="AQ35" i="4"/>
  <c r="AY35" i="4"/>
  <c r="BG35" i="4"/>
  <c r="BO35" i="4"/>
  <c r="BH35" i="4"/>
  <c r="M35" i="4"/>
  <c r="U35" i="4"/>
  <c r="AC35" i="4"/>
  <c r="AK35" i="4"/>
  <c r="AS35" i="4"/>
  <c r="BA35" i="4"/>
  <c r="BI35" i="4"/>
  <c r="BQ35" i="4"/>
  <c r="AZ35" i="4"/>
  <c r="N35" i="4"/>
  <c r="V35" i="4"/>
  <c r="AD35" i="4"/>
  <c r="AL35" i="4"/>
  <c r="AT35" i="4"/>
  <c r="BB35" i="4"/>
  <c r="BJ35" i="4"/>
  <c r="BR35" i="4"/>
  <c r="AR35" i="4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91" i="12" l="1"/>
  <c r="A46" i="8"/>
  <c r="G37" i="12"/>
  <c r="O37" i="12"/>
  <c r="W37" i="12"/>
  <c r="AE37" i="12"/>
  <c r="AM37" i="12"/>
  <c r="AU37" i="12"/>
  <c r="BC37" i="12"/>
  <c r="BK37" i="12"/>
  <c r="H37" i="12"/>
  <c r="P37" i="12"/>
  <c r="X37" i="12"/>
  <c r="AF37" i="12"/>
  <c r="AN37" i="12"/>
  <c r="AV37" i="12"/>
  <c r="BD37" i="12"/>
  <c r="BL37" i="12"/>
  <c r="I37" i="12"/>
  <c r="Q37" i="12"/>
  <c r="Y37" i="12"/>
  <c r="AG37" i="12"/>
  <c r="AO37" i="12"/>
  <c r="AW37" i="12"/>
  <c r="BE37" i="12"/>
  <c r="BM37" i="12"/>
  <c r="F37" i="12"/>
  <c r="J37" i="12"/>
  <c r="R37" i="12"/>
  <c r="Z37" i="12"/>
  <c r="AH37" i="12"/>
  <c r="AP37" i="12"/>
  <c r="AX37" i="12"/>
  <c r="BF37" i="12"/>
  <c r="BN37" i="12"/>
  <c r="AD37" i="12"/>
  <c r="BJ37" i="12"/>
  <c r="K37" i="12"/>
  <c r="S37" i="12"/>
  <c r="AA37" i="12"/>
  <c r="AI37" i="12"/>
  <c r="AQ37" i="12"/>
  <c r="AY37" i="12"/>
  <c r="BG37" i="12"/>
  <c r="BO37" i="12"/>
  <c r="V37" i="12"/>
  <c r="AT37" i="12"/>
  <c r="BR37" i="12"/>
  <c r="L37" i="12"/>
  <c r="T37" i="12"/>
  <c r="AB37" i="12"/>
  <c r="AJ37" i="12"/>
  <c r="AR37" i="12"/>
  <c r="AZ37" i="12"/>
  <c r="BH37" i="12"/>
  <c r="BP37" i="12"/>
  <c r="AL37" i="12"/>
  <c r="M37" i="12"/>
  <c r="U37" i="12"/>
  <c r="AC37" i="12"/>
  <c r="AK37" i="12"/>
  <c r="AS37" i="12"/>
  <c r="BA37" i="12"/>
  <c r="BI37" i="12"/>
  <c r="BQ37" i="12"/>
  <c r="N37" i="12"/>
  <c r="BB37" i="12"/>
  <c r="E84" i="12"/>
  <c r="A39" i="8"/>
  <c r="E92" i="12"/>
  <c r="A47" i="8"/>
  <c r="E100" i="12"/>
  <c r="A55" i="8"/>
  <c r="E108" i="12"/>
  <c r="A63" i="8"/>
  <c r="E99" i="12"/>
  <c r="A54" i="8"/>
  <c r="E85" i="12"/>
  <c r="A40" i="8"/>
  <c r="E93" i="12"/>
  <c r="A48" i="8"/>
  <c r="E101" i="12"/>
  <c r="A56" i="8"/>
  <c r="E107" i="12"/>
  <c r="A62" i="8"/>
  <c r="E86" i="12"/>
  <c r="A41" i="8"/>
  <c r="E94" i="12"/>
  <c r="A49" i="8"/>
  <c r="E102" i="12"/>
  <c r="A57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I36" i="12"/>
  <c r="Q36" i="12"/>
  <c r="Y36" i="12"/>
  <c r="AG36" i="12"/>
  <c r="AO36" i="12"/>
  <c r="AW36" i="12"/>
  <c r="BE36" i="12"/>
  <c r="BM36" i="12"/>
  <c r="J36" i="12"/>
  <c r="R36" i="12"/>
  <c r="Z36" i="12"/>
  <c r="AH36" i="12"/>
  <c r="AP36" i="12"/>
  <c r="AX36" i="12"/>
  <c r="BF36" i="12"/>
  <c r="BN36" i="12"/>
  <c r="AL36" i="12"/>
  <c r="BR36" i="12"/>
  <c r="K36" i="12"/>
  <c r="S36" i="12"/>
  <c r="AA36" i="12"/>
  <c r="AI36" i="12"/>
  <c r="AQ36" i="12"/>
  <c r="AY36" i="12"/>
  <c r="BG36" i="12"/>
  <c r="BO36" i="12"/>
  <c r="AD36" i="12"/>
  <c r="BB36" i="12"/>
  <c r="L36" i="12"/>
  <c r="T36" i="12"/>
  <c r="AB36" i="12"/>
  <c r="AJ36" i="12"/>
  <c r="AR36" i="12"/>
  <c r="AZ36" i="12"/>
  <c r="BH36" i="12"/>
  <c r="BP36" i="12"/>
  <c r="V36" i="12"/>
  <c r="BJ36" i="12"/>
  <c r="M36" i="12"/>
  <c r="U36" i="12"/>
  <c r="AC36" i="12"/>
  <c r="AK36" i="12"/>
  <c r="AS36" i="12"/>
  <c r="BA36" i="12"/>
  <c r="BI36" i="12"/>
  <c r="BQ36" i="12"/>
  <c r="N36" i="12"/>
  <c r="AT36" i="12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E83" i="12"/>
  <c r="A38" i="8"/>
  <c r="G34" i="12"/>
  <c r="O34" i="12"/>
  <c r="W34" i="12"/>
  <c r="AE34" i="12"/>
  <c r="AM34" i="12"/>
  <c r="AU34" i="12"/>
  <c r="BC34" i="12"/>
  <c r="BK34" i="12"/>
  <c r="H34" i="12"/>
  <c r="P34" i="12"/>
  <c r="X34" i="12"/>
  <c r="AF34" i="12"/>
  <c r="AN34" i="12"/>
  <c r="AV34" i="12"/>
  <c r="BD34" i="12"/>
  <c r="BL34" i="12"/>
  <c r="I34" i="12"/>
  <c r="Q34" i="12"/>
  <c r="Y34" i="12"/>
  <c r="AG34" i="12"/>
  <c r="AO34" i="12"/>
  <c r="AW34" i="12"/>
  <c r="BE34" i="12"/>
  <c r="BM34" i="12"/>
  <c r="J34" i="12"/>
  <c r="R34" i="12"/>
  <c r="Z34" i="12"/>
  <c r="AH34" i="12"/>
  <c r="AP34" i="12"/>
  <c r="AX34" i="12"/>
  <c r="BF34" i="12"/>
  <c r="BN34" i="12"/>
  <c r="F34" i="12"/>
  <c r="AL34" i="12"/>
  <c r="AT34" i="12"/>
  <c r="K34" i="12"/>
  <c r="S34" i="12"/>
  <c r="AA34" i="12"/>
  <c r="AI34" i="12"/>
  <c r="AQ34" i="12"/>
  <c r="AY34" i="12"/>
  <c r="BG34" i="12"/>
  <c r="BO34" i="12"/>
  <c r="AD34" i="12"/>
  <c r="BB34" i="12"/>
  <c r="L34" i="12"/>
  <c r="T34" i="12"/>
  <c r="AB34" i="12"/>
  <c r="AJ34" i="12"/>
  <c r="AR34" i="12"/>
  <c r="AZ34" i="12"/>
  <c r="BH34" i="12"/>
  <c r="BP34" i="12"/>
  <c r="V34" i="12"/>
  <c r="BR34" i="12"/>
  <c r="M34" i="12"/>
  <c r="U34" i="12"/>
  <c r="AC34" i="12"/>
  <c r="AK34" i="12"/>
  <c r="AS34" i="12"/>
  <c r="BA34" i="12"/>
  <c r="BI34" i="12"/>
  <c r="BQ34" i="12"/>
  <c r="N34" i="12"/>
  <c r="BJ34" i="12"/>
  <c r="E81" i="12"/>
  <c r="A36" i="8"/>
  <c r="E89" i="12"/>
  <c r="A44" i="8"/>
  <c r="E97" i="12"/>
  <c r="A52" i="8"/>
  <c r="E105" i="12"/>
  <c r="A60" i="8"/>
  <c r="G35" i="12"/>
  <c r="O35" i="12"/>
  <c r="W35" i="12"/>
  <c r="AE35" i="12"/>
  <c r="AM35" i="12"/>
  <c r="AU35" i="12"/>
  <c r="BC35" i="12"/>
  <c r="BK35" i="12"/>
  <c r="F35" i="12"/>
  <c r="H35" i="12"/>
  <c r="H41" i="12" s="1"/>
  <c r="P35" i="12"/>
  <c r="X35" i="12"/>
  <c r="AF35" i="12"/>
  <c r="AN35" i="12"/>
  <c r="AV35" i="12"/>
  <c r="BD35" i="12"/>
  <c r="BL35" i="12"/>
  <c r="I35" i="12"/>
  <c r="Q35" i="12"/>
  <c r="Y35" i="12"/>
  <c r="AG35" i="12"/>
  <c r="AO35" i="12"/>
  <c r="AW35" i="12"/>
  <c r="BE35" i="12"/>
  <c r="BM35" i="12"/>
  <c r="J35" i="12"/>
  <c r="R35" i="12"/>
  <c r="Z35" i="12"/>
  <c r="AH35" i="12"/>
  <c r="AP35" i="12"/>
  <c r="AX35" i="12"/>
  <c r="BF35" i="12"/>
  <c r="BN35" i="12"/>
  <c r="N35" i="12"/>
  <c r="AL35" i="12"/>
  <c r="BR35" i="12"/>
  <c r="K35" i="12"/>
  <c r="S35" i="12"/>
  <c r="AA35" i="12"/>
  <c r="AI35" i="12"/>
  <c r="AQ35" i="12"/>
  <c r="AY35" i="12"/>
  <c r="AY41" i="12" s="1"/>
  <c r="BG35" i="12"/>
  <c r="BO35" i="12"/>
  <c r="V35" i="12"/>
  <c r="BJ35" i="12"/>
  <c r="L35" i="12"/>
  <c r="T35" i="12"/>
  <c r="AB35" i="12"/>
  <c r="AJ35" i="12"/>
  <c r="AJ41" i="12" s="1"/>
  <c r="AR35" i="12"/>
  <c r="AR41" i="12" s="1"/>
  <c r="AZ35" i="12"/>
  <c r="BH35" i="12"/>
  <c r="BP35" i="12"/>
  <c r="AT35" i="12"/>
  <c r="M35" i="12"/>
  <c r="U35" i="12"/>
  <c r="AC35" i="12"/>
  <c r="AK35" i="12"/>
  <c r="AS35" i="12"/>
  <c r="BA35" i="12"/>
  <c r="BI35" i="12"/>
  <c r="BQ35" i="12"/>
  <c r="BQ41" i="12" s="1"/>
  <c r="AD35" i="12"/>
  <c r="BB35" i="12"/>
  <c r="E82" i="12"/>
  <c r="A37" i="8"/>
  <c r="E90" i="12"/>
  <c r="A45" i="8"/>
  <c r="E98" i="12"/>
  <c r="A53" i="8"/>
  <c r="E106" i="12"/>
  <c r="A61" i="8"/>
  <c r="AN41" i="11"/>
  <c r="AV41" i="11"/>
  <c r="BD41" i="11"/>
  <c r="BL41" i="11"/>
  <c r="AO41" i="11"/>
  <c r="AW41" i="11"/>
  <c r="BE41" i="11"/>
  <c r="BM41" i="11"/>
  <c r="AP41" i="11"/>
  <c r="AX41" i="11"/>
  <c r="BF41" i="11"/>
  <c r="BN41" i="11"/>
  <c r="AQ41" i="11"/>
  <c r="AY41" i="11"/>
  <c r="BG41" i="11"/>
  <c r="BO41" i="11"/>
  <c r="AR41" i="11"/>
  <c r="AZ41" i="11"/>
  <c r="BH41" i="11"/>
  <c r="BP41" i="11"/>
  <c r="G41" i="11"/>
  <c r="AS41" i="11"/>
  <c r="BA41" i="11"/>
  <c r="BI41" i="11"/>
  <c r="BQ41" i="11"/>
  <c r="H41" i="11"/>
  <c r="AT41" i="11"/>
  <c r="BB41" i="11"/>
  <c r="BJ41" i="11"/>
  <c r="BR41" i="11"/>
  <c r="BK41" i="11"/>
  <c r="AM41" i="11"/>
  <c r="AU41" i="11"/>
  <c r="BC41" i="11"/>
  <c r="AC41" i="11"/>
  <c r="V41" i="11"/>
  <c r="AA41" i="11"/>
  <c r="I41" i="11"/>
  <c r="AJ41" i="11"/>
  <c r="AB41" i="11"/>
  <c r="Q41" i="11"/>
  <c r="Y41" i="11"/>
  <c r="AL41" i="11"/>
  <c r="AI41" i="11"/>
  <c r="U41" i="11"/>
  <c r="T41" i="11"/>
  <c r="AE41" i="11"/>
  <c r="AK41" i="11"/>
  <c r="AD41" i="11"/>
  <c r="S41" i="11"/>
  <c r="M41" i="11"/>
  <c r="L41" i="11"/>
  <c r="O41" i="11"/>
  <c r="N41" i="11"/>
  <c r="AF41" i="11"/>
  <c r="AG41" i="11"/>
  <c r="W41" i="11"/>
  <c r="X41" i="11"/>
  <c r="Z41" i="11"/>
  <c r="K41" i="11"/>
  <c r="R41" i="11"/>
  <c r="AH41" i="11"/>
  <c r="P41" i="11"/>
  <c r="J41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AX41" i="12"/>
  <c r="BF41" i="12"/>
  <c r="BC41" i="12"/>
  <c r="BD41" i="12"/>
  <c r="L41" i="12"/>
  <c r="T41" i="12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106" i="11" s="1"/>
  <c r="A25" i="8"/>
  <c r="A17" i="8"/>
  <c r="A9" i="8"/>
  <c r="A32" i="8"/>
  <c r="A24" i="8"/>
  <c r="A16" i="8"/>
  <c r="A8" i="8"/>
  <c r="A31" i="8"/>
  <c r="A23" i="8"/>
  <c r="A15" i="8"/>
  <c r="A7" i="8"/>
  <c r="A30" i="8"/>
  <c r="A22" i="8"/>
  <c r="A14" i="8"/>
  <c r="A6" i="8"/>
  <c r="A29" i="8"/>
  <c r="A21" i="8"/>
  <c r="A13" i="8"/>
  <c r="A5" i="8"/>
  <c r="A28" i="8"/>
  <c r="A20" i="8"/>
  <c r="A12" i="8"/>
  <c r="A4" i="8"/>
  <c r="A27" i="8"/>
  <c r="A19" i="8"/>
  <c r="A11" i="8"/>
  <c r="A3" i="8"/>
  <c r="A26" i="8"/>
  <c r="A18" i="8"/>
  <c r="A10" i="8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2" i="11"/>
  <c r="F8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E122" i="11" s="1" a="1"/>
  <c r="U41" i="12" l="1"/>
  <c r="BG41" i="12"/>
  <c r="AL41" i="12"/>
  <c r="P41" i="12"/>
  <c r="AB41" i="12"/>
  <c r="BE41" i="12"/>
  <c r="N41" i="12"/>
  <c r="AQ41" i="12"/>
  <c r="BL41" i="12"/>
  <c r="M41" i="12"/>
  <c r="AI41" i="12"/>
  <c r="BK41" i="12"/>
  <c r="BJ41" i="12"/>
  <c r="AC41" i="12"/>
  <c r="BN41" i="12"/>
  <c r="BM41" i="12"/>
  <c r="G41" i="12"/>
  <c r="X41" i="12"/>
  <c r="J74" i="12"/>
  <c r="F63" i="8" s="1"/>
  <c r="I41" i="12"/>
  <c r="AK41" i="12"/>
  <c r="AP41" i="12"/>
  <c r="BJ74" i="12"/>
  <c r="BF63" i="8" s="1"/>
  <c r="BH41" i="12"/>
  <c r="AD41" i="12"/>
  <c r="Z41" i="12"/>
  <c r="Y41" i="12"/>
  <c r="AT41" i="12"/>
  <c r="AH41" i="12"/>
  <c r="AO41" i="12"/>
  <c r="AN41" i="12"/>
  <c r="L74" i="12"/>
  <c r="H63" i="8" s="1"/>
  <c r="F80" i="11"/>
  <c r="F108" i="11"/>
  <c r="BA41" i="12"/>
  <c r="S41" i="12"/>
  <c r="AZ41" i="12"/>
  <c r="BO41" i="12"/>
  <c r="R41" i="12"/>
  <c r="Q41" i="12"/>
  <c r="W41" i="12"/>
  <c r="AS41" i="12"/>
  <c r="V41" i="12"/>
  <c r="K41" i="12"/>
  <c r="AF41" i="12"/>
  <c r="AE41" i="12"/>
  <c r="F88" i="11"/>
  <c r="F91" i="11"/>
  <c r="F90" i="11"/>
  <c r="F89" i="11"/>
  <c r="F95" i="11"/>
  <c r="F107" i="11"/>
  <c r="F84" i="11"/>
  <c r="F100" i="11"/>
  <c r="F81" i="11"/>
  <c r="F98" i="11"/>
  <c r="F93" i="11"/>
  <c r="F87" i="11"/>
  <c r="F86" i="11"/>
  <c r="F85" i="11"/>
  <c r="AL72" i="12"/>
  <c r="AH61" i="8" s="1"/>
  <c r="P72" i="12"/>
  <c r="L61" i="8" s="1"/>
  <c r="BP41" i="12"/>
  <c r="BB41" i="12"/>
  <c r="AG41" i="12"/>
  <c r="AM41" i="12"/>
  <c r="BI41" i="12"/>
  <c r="BR41" i="12"/>
  <c r="AA41" i="12"/>
  <c r="AW41" i="12"/>
  <c r="AV41" i="12"/>
  <c r="AU41" i="12"/>
  <c r="O72" i="12"/>
  <c r="K61" i="8" s="1"/>
  <c r="V72" i="12"/>
  <c r="R61" i="8" s="1"/>
  <c r="AA74" i="12"/>
  <c r="W63" i="8" s="1"/>
  <c r="O41" i="12"/>
  <c r="AA72" i="12"/>
  <c r="W61" i="8" s="1"/>
  <c r="AQ74" i="12"/>
  <c r="AM63" i="8" s="1"/>
  <c r="J41" i="12"/>
  <c r="AW74" i="12"/>
  <c r="AS63" i="8" s="1"/>
  <c r="AO68" i="12"/>
  <c r="AK57" i="8" s="1"/>
  <c r="BH68" i="12"/>
  <c r="BD57" i="8" s="1"/>
  <c r="K68" i="12"/>
  <c r="G57" i="8" s="1"/>
  <c r="AH72" i="12"/>
  <c r="AD61" i="8" s="1"/>
  <c r="AG74" i="12"/>
  <c r="AC63" i="8" s="1"/>
  <c r="AZ74" i="12"/>
  <c r="AV63" i="8" s="1"/>
  <c r="BO72" i="12"/>
  <c r="BK61" i="8" s="1"/>
  <c r="AT70" i="12"/>
  <c r="AP59" i="8" s="1"/>
  <c r="Z72" i="12"/>
  <c r="V61" i="8" s="1"/>
  <c r="Y70" i="12"/>
  <c r="U59" i="8" s="1"/>
  <c r="X68" i="12"/>
  <c r="T57" i="8" s="1"/>
  <c r="W72" i="12"/>
  <c r="S61" i="8" s="1"/>
  <c r="AC70" i="12"/>
  <c r="Y59" i="8" s="1"/>
  <c r="AR70" i="12"/>
  <c r="AN59" i="8" s="1"/>
  <c r="BG62" i="12"/>
  <c r="BC51" i="8" s="1"/>
  <c r="AL70" i="12"/>
  <c r="AH59" i="8" s="1"/>
  <c r="R70" i="12"/>
  <c r="N59" i="8" s="1"/>
  <c r="Q66" i="12"/>
  <c r="M55" i="8" s="1"/>
  <c r="O66" i="12"/>
  <c r="K55" i="8" s="1"/>
  <c r="BJ72" i="12"/>
  <c r="BF61" i="8" s="1"/>
  <c r="U74" i="12"/>
  <c r="Q63" i="8" s="1"/>
  <c r="AJ68" i="12"/>
  <c r="AF57" i="8" s="1"/>
  <c r="AY68" i="12"/>
  <c r="AU57" i="8" s="1"/>
  <c r="J72" i="12"/>
  <c r="F61" i="8" s="1"/>
  <c r="I66" i="12"/>
  <c r="E55" i="8" s="1"/>
  <c r="H60" i="12"/>
  <c r="D49" i="8" s="1"/>
  <c r="G64" i="12"/>
  <c r="C53" i="8" s="1"/>
  <c r="N74" i="12"/>
  <c r="J63" i="8" s="1"/>
  <c r="M70" i="12"/>
  <c r="I59" i="8" s="1"/>
  <c r="AB74" i="12"/>
  <c r="X63" i="8" s="1"/>
  <c r="AQ62" i="12"/>
  <c r="AM51" i="8" s="1"/>
  <c r="BN64" i="12"/>
  <c r="BJ53" i="8" s="1"/>
  <c r="BM74" i="12"/>
  <c r="BI63" i="8" s="1"/>
  <c r="BL70" i="12"/>
  <c r="BH59" i="8" s="1"/>
  <c r="BK64" i="12"/>
  <c r="BG53" i="8" s="1"/>
  <c r="Q74" i="12"/>
  <c r="M63" i="8" s="1"/>
  <c r="BL74" i="12"/>
  <c r="BH63" i="8" s="1"/>
  <c r="S72" i="12"/>
  <c r="O61" i="8" s="1"/>
  <c r="BQ70" i="12"/>
  <c r="BM59" i="8" s="1"/>
  <c r="BR60" i="12"/>
  <c r="BN49" i="8" s="1"/>
  <c r="T74" i="12"/>
  <c r="P63" i="8" s="1"/>
  <c r="AI72" i="12"/>
  <c r="AE61" i="8" s="1"/>
  <c r="BF72" i="12"/>
  <c r="BB61" i="8" s="1"/>
  <c r="BE68" i="12"/>
  <c r="BA57" i="8" s="1"/>
  <c r="BD72" i="12"/>
  <c r="AZ61" i="8" s="1"/>
  <c r="BC70" i="12"/>
  <c r="AY59" i="8" s="1"/>
  <c r="K74" i="12"/>
  <c r="G63" i="8" s="1"/>
  <c r="AS74" i="12"/>
  <c r="AO63" i="8" s="1"/>
  <c r="AD72" i="12"/>
  <c r="Z61" i="8" s="1"/>
  <c r="AG72" i="12"/>
  <c r="AC61" i="8" s="1"/>
  <c r="AF72" i="12"/>
  <c r="AB61" i="8" s="1"/>
  <c r="AE74" i="12"/>
  <c r="AA63" i="8" s="1"/>
  <c r="M74" i="12"/>
  <c r="I63" i="8" s="1"/>
  <c r="BI49" i="12"/>
  <c r="BE38" i="8" s="1"/>
  <c r="BI63" i="12"/>
  <c r="BE52" i="8" s="1"/>
  <c r="BI59" i="12"/>
  <c r="BE48" i="8" s="1"/>
  <c r="BI51" i="12"/>
  <c r="BE40" i="8" s="1"/>
  <c r="BI55" i="12"/>
  <c r="BE44" i="8" s="1"/>
  <c r="BI47" i="12"/>
  <c r="BE36" i="8" s="1"/>
  <c r="BI57" i="12"/>
  <c r="BE46" i="8" s="1"/>
  <c r="BI69" i="12"/>
  <c r="BE58" i="8" s="1"/>
  <c r="BI67" i="12"/>
  <c r="BE56" i="8" s="1"/>
  <c r="BI71" i="12"/>
  <c r="BE60" i="8" s="1"/>
  <c r="BI54" i="12"/>
  <c r="BE43" i="8" s="1"/>
  <c r="BI61" i="12"/>
  <c r="BE50" i="8" s="1"/>
  <c r="BI48" i="12"/>
  <c r="BE37" i="8" s="1"/>
  <c r="BI46" i="12"/>
  <c r="BE35" i="8" s="1"/>
  <c r="BI53" i="12"/>
  <c r="BE42" i="8" s="1"/>
  <c r="BI65" i="12"/>
  <c r="BE54" i="8" s="1"/>
  <c r="BI73" i="12"/>
  <c r="BE62" i="8" s="1"/>
  <c r="BI58" i="12"/>
  <c r="BE47" i="8" s="1"/>
  <c r="BI52" i="12"/>
  <c r="BE41" i="8" s="1"/>
  <c r="BI56" i="12"/>
  <c r="BE45" i="8" s="1"/>
  <c r="BI62" i="12"/>
  <c r="BE51" i="8" s="1"/>
  <c r="BI60" i="12"/>
  <c r="BE49" i="8" s="1"/>
  <c r="BI50" i="12"/>
  <c r="BE39" i="8" s="1"/>
  <c r="BI64" i="12"/>
  <c r="BE53" i="8" s="1"/>
  <c r="BI66" i="12"/>
  <c r="BE55" i="8" s="1"/>
  <c r="V53" i="12"/>
  <c r="R42" i="8" s="1"/>
  <c r="V47" i="12"/>
  <c r="R36" i="8" s="1"/>
  <c r="V49" i="12"/>
  <c r="R38" i="8" s="1"/>
  <c r="V59" i="12"/>
  <c r="R48" i="8" s="1"/>
  <c r="V51" i="12"/>
  <c r="R40" i="8" s="1"/>
  <c r="V61" i="12"/>
  <c r="R50" i="8" s="1"/>
  <c r="V65" i="12"/>
  <c r="R54" i="8" s="1"/>
  <c r="V63" i="12"/>
  <c r="R52" i="8" s="1"/>
  <c r="V73" i="12"/>
  <c r="R62" i="8" s="1"/>
  <c r="V46" i="12"/>
  <c r="R35" i="8" s="1"/>
  <c r="V48" i="12"/>
  <c r="R37" i="8" s="1"/>
  <c r="V50" i="12"/>
  <c r="R39" i="8" s="1"/>
  <c r="V55" i="12"/>
  <c r="R44" i="8" s="1"/>
  <c r="V57" i="12"/>
  <c r="R46" i="8" s="1"/>
  <c r="V69" i="12"/>
  <c r="R58" i="8" s="1"/>
  <c r="V67" i="12"/>
  <c r="R56" i="8" s="1"/>
  <c r="V71" i="12"/>
  <c r="R60" i="8" s="1"/>
  <c r="V54" i="12"/>
  <c r="R43" i="8" s="1"/>
  <c r="V56" i="12"/>
  <c r="R45" i="8" s="1"/>
  <c r="V60" i="12"/>
  <c r="R49" i="8" s="1"/>
  <c r="V58" i="12"/>
  <c r="R47" i="8" s="1"/>
  <c r="V64" i="12"/>
  <c r="R53" i="8" s="1"/>
  <c r="V52" i="12"/>
  <c r="R41" i="8" s="1"/>
  <c r="V62" i="12"/>
  <c r="R51" i="8" s="1"/>
  <c r="L49" i="12"/>
  <c r="H38" i="8" s="1"/>
  <c r="L51" i="12"/>
  <c r="H40" i="8" s="1"/>
  <c r="L53" i="12"/>
  <c r="H42" i="8" s="1"/>
  <c r="L47" i="12"/>
  <c r="H36" i="8" s="1"/>
  <c r="L55" i="12"/>
  <c r="H44" i="8" s="1"/>
  <c r="L63" i="12"/>
  <c r="H52" i="8" s="1"/>
  <c r="L57" i="12"/>
  <c r="H46" i="8" s="1"/>
  <c r="L46" i="12"/>
  <c r="H35" i="8" s="1"/>
  <c r="L59" i="12"/>
  <c r="H48" i="8" s="1"/>
  <c r="L48" i="12"/>
  <c r="H37" i="8" s="1"/>
  <c r="L61" i="12"/>
  <c r="H50" i="8" s="1"/>
  <c r="L67" i="12"/>
  <c r="H56" i="8" s="1"/>
  <c r="L65" i="12"/>
  <c r="H54" i="8" s="1"/>
  <c r="L71" i="12"/>
  <c r="H60" i="8" s="1"/>
  <c r="L73" i="12"/>
  <c r="H62" i="8" s="1"/>
  <c r="L69" i="12"/>
  <c r="H58" i="8" s="1"/>
  <c r="L58" i="12"/>
  <c r="H47" i="8" s="1"/>
  <c r="L60" i="12"/>
  <c r="H49" i="8" s="1"/>
  <c r="L52" i="12"/>
  <c r="H41" i="8" s="1"/>
  <c r="L50" i="12"/>
  <c r="H39" i="8" s="1"/>
  <c r="L56" i="12"/>
  <c r="H45" i="8" s="1"/>
  <c r="L62" i="12"/>
  <c r="H51" i="8" s="1"/>
  <c r="L54" i="12"/>
  <c r="H43" i="8" s="1"/>
  <c r="L64" i="12"/>
  <c r="H53" i="8" s="1"/>
  <c r="AA57" i="12"/>
  <c r="W46" i="8" s="1"/>
  <c r="AA49" i="12"/>
  <c r="W38" i="8" s="1"/>
  <c r="AA47" i="12"/>
  <c r="W36" i="8" s="1"/>
  <c r="AA59" i="12"/>
  <c r="W48" i="8" s="1"/>
  <c r="AA61" i="12"/>
  <c r="W50" i="8" s="1"/>
  <c r="AA53" i="12"/>
  <c r="W42" i="8" s="1"/>
  <c r="AA51" i="12"/>
  <c r="W40" i="8" s="1"/>
  <c r="AA50" i="12"/>
  <c r="W39" i="8" s="1"/>
  <c r="AA71" i="12"/>
  <c r="W60" i="8" s="1"/>
  <c r="AA55" i="12"/>
  <c r="W44" i="8" s="1"/>
  <c r="AA63" i="12"/>
  <c r="W52" i="8" s="1"/>
  <c r="AA65" i="12"/>
  <c r="W54" i="8" s="1"/>
  <c r="AA69" i="12"/>
  <c r="W58" i="8" s="1"/>
  <c r="AA46" i="12"/>
  <c r="W35" i="8" s="1"/>
  <c r="AA67" i="12"/>
  <c r="W56" i="8" s="1"/>
  <c r="AA73" i="12"/>
  <c r="W62" i="8" s="1"/>
  <c r="AA60" i="12"/>
  <c r="W49" i="8" s="1"/>
  <c r="AA64" i="12"/>
  <c r="W53" i="8" s="1"/>
  <c r="AA68" i="12"/>
  <c r="W57" i="8" s="1"/>
  <c r="AA48" i="12"/>
  <c r="W37" i="8" s="1"/>
  <c r="AA54" i="12"/>
  <c r="W43" i="8" s="1"/>
  <c r="AA56" i="12"/>
  <c r="W45" i="8" s="1"/>
  <c r="AA58" i="12"/>
  <c r="W47" i="8" s="1"/>
  <c r="AA52" i="12"/>
  <c r="W41" i="8" s="1"/>
  <c r="AX65" i="12"/>
  <c r="AT54" i="8" s="1"/>
  <c r="AX57" i="12"/>
  <c r="AT46" i="8" s="1"/>
  <c r="AX53" i="12"/>
  <c r="AT42" i="8" s="1"/>
  <c r="AX49" i="12"/>
  <c r="AT38" i="8" s="1"/>
  <c r="AX61" i="12"/>
  <c r="AT50" i="8" s="1"/>
  <c r="AX63" i="12"/>
  <c r="AT52" i="8" s="1"/>
  <c r="AX55" i="12"/>
  <c r="AT44" i="8" s="1"/>
  <c r="AX51" i="12"/>
  <c r="AT40" i="8" s="1"/>
  <c r="AX47" i="12"/>
  <c r="AT36" i="8" s="1"/>
  <c r="AX69" i="12"/>
  <c r="AT58" i="8" s="1"/>
  <c r="AX71" i="12"/>
  <c r="AT60" i="8" s="1"/>
  <c r="AX59" i="12"/>
  <c r="AT48" i="8" s="1"/>
  <c r="AX50" i="12"/>
  <c r="AT39" i="8" s="1"/>
  <c r="AX67" i="12"/>
  <c r="AT56" i="8" s="1"/>
  <c r="AX73" i="12"/>
  <c r="AT62" i="8" s="1"/>
  <c r="AX46" i="12"/>
  <c r="AT35" i="8" s="1"/>
  <c r="AX48" i="12"/>
  <c r="AT37" i="8" s="1"/>
  <c r="AX54" i="12"/>
  <c r="AT43" i="8" s="1"/>
  <c r="AX52" i="12"/>
  <c r="AT41" i="8" s="1"/>
  <c r="AX58" i="12"/>
  <c r="AT47" i="8" s="1"/>
  <c r="AX62" i="12"/>
  <c r="AT51" i="8" s="1"/>
  <c r="AX64" i="12"/>
  <c r="AT53" i="8" s="1"/>
  <c r="AX60" i="12"/>
  <c r="AT49" i="8" s="1"/>
  <c r="AX56" i="12"/>
  <c r="AT45" i="8" s="1"/>
  <c r="AW49" i="12"/>
  <c r="AS38" i="8" s="1"/>
  <c r="AW51" i="12"/>
  <c r="AS40" i="8" s="1"/>
  <c r="AW53" i="12"/>
  <c r="AS42" i="8" s="1"/>
  <c r="AW57" i="12"/>
  <c r="AS46" i="8" s="1"/>
  <c r="AW47" i="12"/>
  <c r="AS36" i="8" s="1"/>
  <c r="AW63" i="12"/>
  <c r="AS52" i="8" s="1"/>
  <c r="AW54" i="12"/>
  <c r="AS43" i="8" s="1"/>
  <c r="AW48" i="12"/>
  <c r="AS37" i="8" s="1"/>
  <c r="AW59" i="12"/>
  <c r="AS48" i="8" s="1"/>
  <c r="AW67" i="12"/>
  <c r="AS56" i="8" s="1"/>
  <c r="AW69" i="12"/>
  <c r="AS58" i="8" s="1"/>
  <c r="AW46" i="12"/>
  <c r="AS35" i="8" s="1"/>
  <c r="AW61" i="12"/>
  <c r="AS50" i="8" s="1"/>
  <c r="AW65" i="12"/>
  <c r="AS54" i="8" s="1"/>
  <c r="AW71" i="12"/>
  <c r="AS60" i="8" s="1"/>
  <c r="AW55" i="12"/>
  <c r="AS44" i="8" s="1"/>
  <c r="AW73" i="12"/>
  <c r="AS62" i="8" s="1"/>
  <c r="AW52" i="12"/>
  <c r="AS41" i="8" s="1"/>
  <c r="AW60" i="12"/>
  <c r="AS49" i="8" s="1"/>
  <c r="AW62" i="12"/>
  <c r="AS51" i="8" s="1"/>
  <c r="AW56" i="12"/>
  <c r="AS45" i="8" s="1"/>
  <c r="AW58" i="12"/>
  <c r="AS47" i="8" s="1"/>
  <c r="AW68" i="12"/>
  <c r="AS57" i="8" s="1"/>
  <c r="AW66" i="12"/>
  <c r="AS55" i="8" s="1"/>
  <c r="AW50" i="12"/>
  <c r="AS39" i="8" s="1"/>
  <c r="AW64" i="12"/>
  <c r="AS53" i="8" s="1"/>
  <c r="AV51" i="12"/>
  <c r="AR40" i="8" s="1"/>
  <c r="AV47" i="12"/>
  <c r="AR36" i="8" s="1"/>
  <c r="AV53" i="12"/>
  <c r="AR42" i="8" s="1"/>
  <c r="AV61" i="12"/>
  <c r="AR50" i="8" s="1"/>
  <c r="AV49" i="12"/>
  <c r="AR38" i="8" s="1"/>
  <c r="AV57" i="12"/>
  <c r="AR46" i="8" s="1"/>
  <c r="AV63" i="12"/>
  <c r="AR52" i="8" s="1"/>
  <c r="AV65" i="12"/>
  <c r="AR54" i="8" s="1"/>
  <c r="AV67" i="12"/>
  <c r="AR56" i="8" s="1"/>
  <c r="AV46" i="12"/>
  <c r="AR35" i="8" s="1"/>
  <c r="AV50" i="12"/>
  <c r="AR39" i="8" s="1"/>
  <c r="AV55" i="12"/>
  <c r="AR44" i="8" s="1"/>
  <c r="AV59" i="12"/>
  <c r="AR48" i="8" s="1"/>
  <c r="AV69" i="12"/>
  <c r="AR58" i="8" s="1"/>
  <c r="AV71" i="12"/>
  <c r="AR60" i="8" s="1"/>
  <c r="AV73" i="12"/>
  <c r="AR62" i="8" s="1"/>
  <c r="AV52" i="12"/>
  <c r="AR41" i="8" s="1"/>
  <c r="AV54" i="12"/>
  <c r="AR43" i="8" s="1"/>
  <c r="AV70" i="12"/>
  <c r="AR59" i="8" s="1"/>
  <c r="AV48" i="12"/>
  <c r="AR37" i="8" s="1"/>
  <c r="AV56" i="12"/>
  <c r="AR45" i="8" s="1"/>
  <c r="AV62" i="12"/>
  <c r="AR51" i="8" s="1"/>
  <c r="AV58" i="12"/>
  <c r="AR47" i="8" s="1"/>
  <c r="AV64" i="12"/>
  <c r="AR53" i="8" s="1"/>
  <c r="AV60" i="12"/>
  <c r="AR49" i="8" s="1"/>
  <c r="AV66" i="12"/>
  <c r="AR55" i="8" s="1"/>
  <c r="AU47" i="12"/>
  <c r="AQ36" i="8" s="1"/>
  <c r="AU57" i="12"/>
  <c r="AQ46" i="8" s="1"/>
  <c r="AU63" i="12"/>
  <c r="AQ52" i="8" s="1"/>
  <c r="AU51" i="12"/>
  <c r="AQ40" i="8" s="1"/>
  <c r="AU55" i="12"/>
  <c r="AQ44" i="8" s="1"/>
  <c r="AU59" i="12"/>
  <c r="AQ48" i="8" s="1"/>
  <c r="AU49" i="12"/>
  <c r="AQ38" i="8" s="1"/>
  <c r="AU53" i="12"/>
  <c r="AQ42" i="8" s="1"/>
  <c r="AU61" i="12"/>
  <c r="AQ50" i="8" s="1"/>
  <c r="AU65" i="12"/>
  <c r="AQ54" i="8" s="1"/>
  <c r="AU71" i="12"/>
  <c r="AQ60" i="8" s="1"/>
  <c r="AU46" i="12"/>
  <c r="AQ35" i="8" s="1"/>
  <c r="AU69" i="12"/>
  <c r="AQ58" i="8" s="1"/>
  <c r="AU52" i="12"/>
  <c r="AQ41" i="8" s="1"/>
  <c r="AU67" i="12"/>
  <c r="AQ56" i="8" s="1"/>
  <c r="AU48" i="12"/>
  <c r="AQ37" i="8" s="1"/>
  <c r="AU73" i="12"/>
  <c r="AQ62" i="8" s="1"/>
  <c r="AU56" i="12"/>
  <c r="AQ45" i="8" s="1"/>
  <c r="AU58" i="12"/>
  <c r="AQ47" i="8" s="1"/>
  <c r="AU50" i="12"/>
  <c r="AQ39" i="8" s="1"/>
  <c r="AU64" i="12"/>
  <c r="AQ53" i="8" s="1"/>
  <c r="AU54" i="12"/>
  <c r="AQ43" i="8" s="1"/>
  <c r="AU68" i="12"/>
  <c r="AQ57" i="8" s="1"/>
  <c r="R74" i="12"/>
  <c r="N63" i="8" s="1"/>
  <c r="G74" i="12"/>
  <c r="C63" i="8" s="1"/>
  <c r="I74" i="12"/>
  <c r="E63" i="8" s="1"/>
  <c r="BK74" i="12"/>
  <c r="BG63" i="8" s="1"/>
  <c r="O74" i="12"/>
  <c r="K63" i="8" s="1"/>
  <c r="BD74" i="12"/>
  <c r="AZ63" i="8" s="1"/>
  <c r="AT74" i="12"/>
  <c r="AP63" i="8" s="1"/>
  <c r="R72" i="12"/>
  <c r="N61" i="8" s="1"/>
  <c r="G72" i="12"/>
  <c r="C61" i="8" s="1"/>
  <c r="BM72" i="12"/>
  <c r="BI61" i="8" s="1"/>
  <c r="AW72" i="12"/>
  <c r="AS61" i="8" s="1"/>
  <c r="AV72" i="12"/>
  <c r="AR61" i="8" s="1"/>
  <c r="AT72" i="12"/>
  <c r="AP61" i="8" s="1"/>
  <c r="N70" i="12"/>
  <c r="J59" i="8" s="1"/>
  <c r="Q70" i="12"/>
  <c r="M59" i="8" s="1"/>
  <c r="AJ70" i="12"/>
  <c r="AF59" i="8" s="1"/>
  <c r="AO70" i="12"/>
  <c r="AK59" i="8" s="1"/>
  <c r="BF70" i="12"/>
  <c r="BB59" i="8" s="1"/>
  <c r="BO70" i="12"/>
  <c r="BK59" i="8" s="1"/>
  <c r="R68" i="12"/>
  <c r="N57" i="8" s="1"/>
  <c r="AC68" i="12"/>
  <c r="Y57" i="8" s="1"/>
  <c r="H68" i="12"/>
  <c r="D57" i="8" s="1"/>
  <c r="BI68" i="12"/>
  <c r="BE57" i="8" s="1"/>
  <c r="Z66" i="12"/>
  <c r="V55" i="8" s="1"/>
  <c r="W66" i="12"/>
  <c r="S55" i="8" s="1"/>
  <c r="AJ66" i="12"/>
  <c r="AF55" i="8" s="1"/>
  <c r="BR66" i="12"/>
  <c r="BN55" i="8" s="1"/>
  <c r="AT66" i="12"/>
  <c r="AP55" i="8" s="1"/>
  <c r="Y64" i="12"/>
  <c r="U53" i="8" s="1"/>
  <c r="AR64" i="12"/>
  <c r="AN53" i="8" s="1"/>
  <c r="O62" i="12"/>
  <c r="K51" i="8" s="1"/>
  <c r="BO62" i="12"/>
  <c r="BK51" i="8" s="1"/>
  <c r="Q60" i="12"/>
  <c r="M49" i="8" s="1"/>
  <c r="BQ60" i="12"/>
  <c r="BM49" i="8" s="1"/>
  <c r="BA65" i="12"/>
  <c r="AW54" i="8" s="1"/>
  <c r="BA55" i="12"/>
  <c r="AW44" i="8" s="1"/>
  <c r="BA61" i="12"/>
  <c r="AW50" i="8" s="1"/>
  <c r="BA53" i="12"/>
  <c r="AW42" i="8" s="1"/>
  <c r="BA57" i="12"/>
  <c r="AW46" i="8" s="1"/>
  <c r="BA51" i="12"/>
  <c r="AW40" i="8" s="1"/>
  <c r="BA59" i="12"/>
  <c r="AW48" i="8" s="1"/>
  <c r="BA47" i="12"/>
  <c r="AW36" i="8" s="1"/>
  <c r="BA49" i="12"/>
  <c r="AW38" i="8" s="1"/>
  <c r="BA63" i="12"/>
  <c r="AW52" i="8" s="1"/>
  <c r="BA69" i="12"/>
  <c r="AW58" i="8" s="1"/>
  <c r="BA73" i="12"/>
  <c r="AW62" i="8" s="1"/>
  <c r="BA46" i="12"/>
  <c r="AW35" i="8" s="1"/>
  <c r="BA71" i="12"/>
  <c r="AW60" i="8" s="1"/>
  <c r="BA67" i="12"/>
  <c r="AW56" i="8" s="1"/>
  <c r="BA50" i="12"/>
  <c r="AW39" i="8" s="1"/>
  <c r="BA52" i="12"/>
  <c r="AW41" i="8" s="1"/>
  <c r="BA58" i="12"/>
  <c r="AW47" i="8" s="1"/>
  <c r="BA48" i="12"/>
  <c r="AW37" i="8" s="1"/>
  <c r="BA54" i="12"/>
  <c r="AW43" i="8" s="1"/>
  <c r="BA56" i="12"/>
  <c r="AW45" i="8" s="1"/>
  <c r="BA66" i="12"/>
  <c r="AW55" i="8" s="1"/>
  <c r="BA62" i="12"/>
  <c r="AW51" i="8" s="1"/>
  <c r="BA60" i="12"/>
  <c r="AW49" i="8" s="1"/>
  <c r="BA64" i="12"/>
  <c r="AW53" i="8" s="1"/>
  <c r="BA70" i="12"/>
  <c r="AW59" i="8" s="1"/>
  <c r="BP47" i="12"/>
  <c r="BL36" i="8" s="1"/>
  <c r="BP51" i="12"/>
  <c r="BL40" i="8" s="1"/>
  <c r="BP63" i="12"/>
  <c r="BL52" i="8" s="1"/>
  <c r="BP61" i="12"/>
  <c r="BL50" i="8" s="1"/>
  <c r="BP49" i="12"/>
  <c r="BL38" i="8" s="1"/>
  <c r="BP55" i="12"/>
  <c r="BL44" i="8" s="1"/>
  <c r="BP53" i="12"/>
  <c r="BL42" i="8" s="1"/>
  <c r="BP67" i="12"/>
  <c r="BL56" i="8" s="1"/>
  <c r="BP52" i="12"/>
  <c r="BL41" i="8" s="1"/>
  <c r="BP59" i="12"/>
  <c r="BL48" i="8" s="1"/>
  <c r="BP65" i="12"/>
  <c r="BL54" i="8" s="1"/>
  <c r="BP48" i="12"/>
  <c r="BL37" i="8" s="1"/>
  <c r="BP71" i="12"/>
  <c r="BL60" i="8" s="1"/>
  <c r="BP46" i="12"/>
  <c r="BL35" i="8" s="1"/>
  <c r="BP57" i="12"/>
  <c r="BL46" i="8" s="1"/>
  <c r="BP69" i="12"/>
  <c r="BL58" i="8" s="1"/>
  <c r="BP73" i="12"/>
  <c r="BL62" i="8" s="1"/>
  <c r="BP56" i="12"/>
  <c r="BL45" i="8" s="1"/>
  <c r="BP62" i="12"/>
  <c r="BL51" i="8" s="1"/>
  <c r="BP54" i="12"/>
  <c r="BL43" i="8" s="1"/>
  <c r="BP64" i="12"/>
  <c r="BL53" i="8" s="1"/>
  <c r="BP58" i="12"/>
  <c r="BL47" i="8" s="1"/>
  <c r="BP50" i="12"/>
  <c r="BL39" i="8" s="1"/>
  <c r="BB61" i="12"/>
  <c r="AX50" i="8" s="1"/>
  <c r="BB59" i="12"/>
  <c r="AX48" i="8" s="1"/>
  <c r="BB51" i="12"/>
  <c r="AX40" i="8" s="1"/>
  <c r="BB55" i="12"/>
  <c r="AX44" i="8" s="1"/>
  <c r="BB47" i="12"/>
  <c r="AX36" i="8" s="1"/>
  <c r="BB57" i="12"/>
  <c r="AX46" i="8" s="1"/>
  <c r="BB63" i="12"/>
  <c r="AX52" i="8" s="1"/>
  <c r="BB53" i="12"/>
  <c r="AX42" i="8" s="1"/>
  <c r="BB46" i="12"/>
  <c r="AX35" i="8" s="1"/>
  <c r="BB69" i="12"/>
  <c r="AX58" i="8" s="1"/>
  <c r="BB73" i="12"/>
  <c r="AX62" i="8" s="1"/>
  <c r="BB65" i="12"/>
  <c r="AX54" i="8" s="1"/>
  <c r="BB71" i="12"/>
  <c r="AX60" i="8" s="1"/>
  <c r="BB48" i="12"/>
  <c r="AX37" i="8" s="1"/>
  <c r="BB50" i="12"/>
  <c r="AX39" i="8" s="1"/>
  <c r="BB52" i="12"/>
  <c r="AX41" i="8" s="1"/>
  <c r="BB49" i="12"/>
  <c r="AX38" i="8" s="1"/>
  <c r="BB67" i="12"/>
  <c r="AX56" i="8" s="1"/>
  <c r="BB60" i="12"/>
  <c r="AX49" i="8" s="1"/>
  <c r="BB62" i="12"/>
  <c r="AX51" i="8" s="1"/>
  <c r="BB56" i="12"/>
  <c r="AX45" i="8" s="1"/>
  <c r="BB64" i="12"/>
  <c r="AX53" i="8" s="1"/>
  <c r="BB54" i="12"/>
  <c r="AX43" i="8" s="1"/>
  <c r="BB58" i="12"/>
  <c r="AX47" i="8" s="1"/>
  <c r="S65" i="12"/>
  <c r="O54" i="8" s="1"/>
  <c r="S51" i="12"/>
  <c r="O40" i="8" s="1"/>
  <c r="S57" i="12"/>
  <c r="O46" i="8" s="1"/>
  <c r="S49" i="12"/>
  <c r="O38" i="8" s="1"/>
  <c r="S53" i="12"/>
  <c r="O42" i="8" s="1"/>
  <c r="S61" i="12"/>
  <c r="O50" i="8" s="1"/>
  <c r="S63" i="12"/>
  <c r="O52" i="8" s="1"/>
  <c r="S55" i="12"/>
  <c r="O44" i="8" s="1"/>
  <c r="S47" i="12"/>
  <c r="O36" i="8" s="1"/>
  <c r="S59" i="12"/>
  <c r="O48" i="8" s="1"/>
  <c r="S67" i="12"/>
  <c r="O56" i="8" s="1"/>
  <c r="S48" i="12"/>
  <c r="O37" i="8" s="1"/>
  <c r="S73" i="12"/>
  <c r="O62" i="8" s="1"/>
  <c r="S69" i="12"/>
  <c r="O58" i="8" s="1"/>
  <c r="S46" i="12"/>
  <c r="O35" i="8" s="1"/>
  <c r="S71" i="12"/>
  <c r="O60" i="8" s="1"/>
  <c r="S52" i="12"/>
  <c r="O41" i="8" s="1"/>
  <c r="S50" i="12"/>
  <c r="O39" i="8" s="1"/>
  <c r="S56" i="12"/>
  <c r="O45" i="8" s="1"/>
  <c r="S66" i="12"/>
  <c r="O55" i="8" s="1"/>
  <c r="S68" i="12"/>
  <c r="O57" i="8" s="1"/>
  <c r="S54" i="12"/>
  <c r="O43" i="8" s="1"/>
  <c r="S62" i="12"/>
  <c r="O51" i="8" s="1"/>
  <c r="S64" i="12"/>
  <c r="O53" i="8" s="1"/>
  <c r="S58" i="12"/>
  <c r="O47" i="8" s="1"/>
  <c r="AP59" i="12"/>
  <c r="AL48" i="8" s="1"/>
  <c r="AP63" i="12"/>
  <c r="AL52" i="8" s="1"/>
  <c r="AP55" i="12"/>
  <c r="AL44" i="8" s="1"/>
  <c r="AP57" i="12"/>
  <c r="AL46" i="8" s="1"/>
  <c r="AP49" i="12"/>
  <c r="AL38" i="8" s="1"/>
  <c r="AP61" i="12"/>
  <c r="AL50" i="8" s="1"/>
  <c r="AP67" i="12"/>
  <c r="AL56" i="8" s="1"/>
  <c r="AP69" i="12"/>
  <c r="AL58" i="8" s="1"/>
  <c r="AP46" i="12"/>
  <c r="AL35" i="8" s="1"/>
  <c r="AP65" i="12"/>
  <c r="AL54" i="8" s="1"/>
  <c r="AP73" i="12"/>
  <c r="AL62" i="8" s="1"/>
  <c r="AP71" i="12"/>
  <c r="AL60" i="8" s="1"/>
  <c r="AP52" i="12"/>
  <c r="AL41" i="8" s="1"/>
  <c r="AP47" i="12"/>
  <c r="AL36" i="8" s="1"/>
  <c r="AP48" i="12"/>
  <c r="AL37" i="8" s="1"/>
  <c r="AP51" i="12"/>
  <c r="AL40" i="8" s="1"/>
  <c r="AP53" i="12"/>
  <c r="AL42" i="8" s="1"/>
  <c r="AP64" i="12"/>
  <c r="AL53" i="8" s="1"/>
  <c r="AP60" i="12"/>
  <c r="AL49" i="8" s="1"/>
  <c r="AP62" i="12"/>
  <c r="AL51" i="8" s="1"/>
  <c r="AP54" i="12"/>
  <c r="AL43" i="8" s="1"/>
  <c r="AP56" i="12"/>
  <c r="AL45" i="8" s="1"/>
  <c r="AP50" i="12"/>
  <c r="AL39" i="8" s="1"/>
  <c r="AP58" i="12"/>
  <c r="AL47" i="8" s="1"/>
  <c r="AP68" i="12"/>
  <c r="AL57" i="8" s="1"/>
  <c r="AO53" i="12"/>
  <c r="AK42" i="8" s="1"/>
  <c r="AO49" i="12"/>
  <c r="AK38" i="8" s="1"/>
  <c r="AO61" i="12"/>
  <c r="AK50" i="8" s="1"/>
  <c r="AO47" i="12"/>
  <c r="AK36" i="8" s="1"/>
  <c r="AO57" i="12"/>
  <c r="AK46" i="8" s="1"/>
  <c r="AO51" i="12"/>
  <c r="AK40" i="8" s="1"/>
  <c r="AO59" i="12"/>
  <c r="AK48" i="8" s="1"/>
  <c r="AO65" i="12"/>
  <c r="AK54" i="8" s="1"/>
  <c r="AO71" i="12"/>
  <c r="AK60" i="8" s="1"/>
  <c r="AO73" i="12"/>
  <c r="AK62" i="8" s="1"/>
  <c r="AO48" i="12"/>
  <c r="AK37" i="8" s="1"/>
  <c r="AO63" i="12"/>
  <c r="AK52" i="8" s="1"/>
  <c r="AO50" i="12"/>
  <c r="AK39" i="8" s="1"/>
  <c r="AO67" i="12"/>
  <c r="AK56" i="8" s="1"/>
  <c r="AO69" i="12"/>
  <c r="AK58" i="8" s="1"/>
  <c r="AO55" i="12"/>
  <c r="AK44" i="8" s="1"/>
  <c r="AO46" i="12"/>
  <c r="AK35" i="8" s="1"/>
  <c r="AO52" i="12"/>
  <c r="AK41" i="8" s="1"/>
  <c r="AO54" i="12"/>
  <c r="AK43" i="8" s="1"/>
  <c r="AO66" i="12"/>
  <c r="AK55" i="8" s="1"/>
  <c r="AO58" i="12"/>
  <c r="AK47" i="8" s="1"/>
  <c r="AO64" i="12"/>
  <c r="AK53" i="8" s="1"/>
  <c r="AO60" i="12"/>
  <c r="AK49" i="8" s="1"/>
  <c r="AO56" i="12"/>
  <c r="AK45" i="8" s="1"/>
  <c r="AO62" i="12"/>
  <c r="AK51" i="8" s="1"/>
  <c r="AN49" i="12"/>
  <c r="AJ38" i="8" s="1"/>
  <c r="AN61" i="12"/>
  <c r="AJ50" i="8" s="1"/>
  <c r="AN57" i="12"/>
  <c r="AJ46" i="8" s="1"/>
  <c r="AN63" i="12"/>
  <c r="AJ52" i="8" s="1"/>
  <c r="AN53" i="12"/>
  <c r="AJ42" i="8" s="1"/>
  <c r="AN55" i="12"/>
  <c r="AJ44" i="8" s="1"/>
  <c r="AN67" i="12"/>
  <c r="AJ56" i="8" s="1"/>
  <c r="AN65" i="12"/>
  <c r="AJ54" i="8" s="1"/>
  <c r="AN48" i="12"/>
  <c r="AJ37" i="8" s="1"/>
  <c r="AN46" i="12"/>
  <c r="AJ35" i="8" s="1"/>
  <c r="AN47" i="12"/>
  <c r="AJ36" i="8" s="1"/>
  <c r="AN51" i="12"/>
  <c r="AJ40" i="8" s="1"/>
  <c r="AN73" i="12"/>
  <c r="AJ62" i="8" s="1"/>
  <c r="AN59" i="12"/>
  <c r="AJ48" i="8" s="1"/>
  <c r="AN69" i="12"/>
  <c r="AJ58" i="8" s="1"/>
  <c r="AN71" i="12"/>
  <c r="AJ60" i="8" s="1"/>
  <c r="AN52" i="12"/>
  <c r="AJ41" i="8" s="1"/>
  <c r="AN60" i="12"/>
  <c r="AJ49" i="8" s="1"/>
  <c r="AN54" i="12"/>
  <c r="AJ43" i="8" s="1"/>
  <c r="AN58" i="12"/>
  <c r="AJ47" i="8" s="1"/>
  <c r="AN50" i="12"/>
  <c r="AJ39" i="8" s="1"/>
  <c r="AN56" i="12"/>
  <c r="AJ45" i="8" s="1"/>
  <c r="AN62" i="12"/>
  <c r="AJ51" i="8" s="1"/>
  <c r="AN64" i="12"/>
  <c r="AJ53" i="8" s="1"/>
  <c r="AM59" i="12"/>
  <c r="AI48" i="8" s="1"/>
  <c r="AM49" i="12"/>
  <c r="AI38" i="8" s="1"/>
  <c r="AM57" i="12"/>
  <c r="AI46" i="8" s="1"/>
  <c r="AM51" i="12"/>
  <c r="AI40" i="8" s="1"/>
  <c r="AM61" i="12"/>
  <c r="AI50" i="8" s="1"/>
  <c r="AM55" i="12"/>
  <c r="AI44" i="8" s="1"/>
  <c r="AM63" i="12"/>
  <c r="AI52" i="8" s="1"/>
  <c r="AM47" i="12"/>
  <c r="AI36" i="8" s="1"/>
  <c r="AM67" i="12"/>
  <c r="AI56" i="8" s="1"/>
  <c r="AM65" i="12"/>
  <c r="AI54" i="8" s="1"/>
  <c r="AM73" i="12"/>
  <c r="AI62" i="8" s="1"/>
  <c r="AM69" i="12"/>
  <c r="AI58" i="8" s="1"/>
  <c r="AM53" i="12"/>
  <c r="AI42" i="8" s="1"/>
  <c r="AM71" i="12"/>
  <c r="AI60" i="8" s="1"/>
  <c r="AM52" i="12"/>
  <c r="AI41" i="8" s="1"/>
  <c r="AM58" i="12"/>
  <c r="AI47" i="8" s="1"/>
  <c r="AM70" i="12"/>
  <c r="AI59" i="8" s="1"/>
  <c r="AM50" i="12"/>
  <c r="AI39" i="8" s="1"/>
  <c r="AM46" i="12"/>
  <c r="AI35" i="8" s="1"/>
  <c r="F33" i="8" s="1"/>
  <c r="AM48" i="12"/>
  <c r="AI37" i="8" s="1"/>
  <c r="AM54" i="12"/>
  <c r="AI43" i="8" s="1"/>
  <c r="AM56" i="12"/>
  <c r="AI45" i="8" s="1"/>
  <c r="AM62" i="12"/>
  <c r="AI51" i="8" s="1"/>
  <c r="AM60" i="12"/>
  <c r="AI49" i="8" s="1"/>
  <c r="AM64" i="12"/>
  <c r="AI53" i="8" s="1"/>
  <c r="AM66" i="12"/>
  <c r="AI55" i="8" s="1"/>
  <c r="V74" i="12"/>
  <c r="R63" i="8" s="1"/>
  <c r="AI74" i="12"/>
  <c r="AE63" i="8" s="1"/>
  <c r="AF74" i="12"/>
  <c r="AB63" i="8" s="1"/>
  <c r="BG74" i="12"/>
  <c r="BC63" i="8" s="1"/>
  <c r="BF74" i="12"/>
  <c r="BB63" i="8" s="1"/>
  <c r="BB74" i="12"/>
  <c r="AX63" i="8" s="1"/>
  <c r="X72" i="12"/>
  <c r="T61" i="8" s="1"/>
  <c r="I72" i="12"/>
  <c r="E61" i="8" s="1"/>
  <c r="BN72" i="12"/>
  <c r="BJ61" i="8" s="1"/>
  <c r="BG72" i="12"/>
  <c r="BC61" i="8" s="1"/>
  <c r="BL72" i="12"/>
  <c r="BH61" i="8" s="1"/>
  <c r="T70" i="12"/>
  <c r="P59" i="8" s="1"/>
  <c r="BG70" i="12"/>
  <c r="BC59" i="8" s="1"/>
  <c r="AU70" i="12"/>
  <c r="AQ59" i="8" s="1"/>
  <c r="AW70" i="12"/>
  <c r="AS59" i="8" s="1"/>
  <c r="J68" i="12"/>
  <c r="F57" i="8" s="1"/>
  <c r="Q68" i="12"/>
  <c r="M57" i="8" s="1"/>
  <c r="AM68" i="12"/>
  <c r="AI57" i="8" s="1"/>
  <c r="BM68" i="12"/>
  <c r="BI57" i="8" s="1"/>
  <c r="BD68" i="12"/>
  <c r="AZ57" i="8" s="1"/>
  <c r="H66" i="12"/>
  <c r="D55" i="8" s="1"/>
  <c r="BE66" i="12"/>
  <c r="BA55" i="8" s="1"/>
  <c r="AX66" i="12"/>
  <c r="AT55" i="8" s="1"/>
  <c r="AQ64" i="12"/>
  <c r="AM53" i="8" s="1"/>
  <c r="R62" i="12"/>
  <c r="N51" i="8" s="1"/>
  <c r="BP60" i="12"/>
  <c r="BL49" i="8" s="1"/>
  <c r="AS47" i="12"/>
  <c r="AO36" i="8" s="1"/>
  <c r="AS53" i="12"/>
  <c r="AO42" i="8" s="1"/>
  <c r="AS59" i="12"/>
  <c r="AO48" i="8" s="1"/>
  <c r="AS55" i="12"/>
  <c r="AO44" i="8" s="1"/>
  <c r="AS61" i="12"/>
  <c r="AO50" i="8" s="1"/>
  <c r="AS51" i="12"/>
  <c r="AO40" i="8" s="1"/>
  <c r="AS49" i="12"/>
  <c r="AO38" i="8" s="1"/>
  <c r="AS63" i="12"/>
  <c r="AO52" i="8" s="1"/>
  <c r="AS65" i="12"/>
  <c r="AO54" i="8" s="1"/>
  <c r="AS71" i="12"/>
  <c r="AO60" i="8" s="1"/>
  <c r="AS48" i="12"/>
  <c r="AO37" i="8" s="1"/>
  <c r="AS67" i="12"/>
  <c r="AO56" i="8" s="1"/>
  <c r="AS73" i="12"/>
  <c r="AO62" i="8" s="1"/>
  <c r="AS57" i="12"/>
  <c r="AO46" i="8" s="1"/>
  <c r="AS69" i="12"/>
  <c r="AO58" i="8" s="1"/>
  <c r="AS46" i="12"/>
  <c r="AO35" i="8" s="1"/>
  <c r="AS54" i="12"/>
  <c r="AO43" i="8" s="1"/>
  <c r="AS58" i="12"/>
  <c r="AO47" i="8" s="1"/>
  <c r="AS60" i="12"/>
  <c r="AO49" i="8" s="1"/>
  <c r="AS50" i="12"/>
  <c r="AO39" i="8" s="1"/>
  <c r="AS52" i="12"/>
  <c r="AO41" i="8" s="1"/>
  <c r="AS64" i="12"/>
  <c r="AO53" i="8" s="1"/>
  <c r="AS56" i="12"/>
  <c r="AO45" i="8" s="1"/>
  <c r="BH61" i="12"/>
  <c r="BD50" i="8" s="1"/>
  <c r="BH63" i="12"/>
  <c r="BD52" i="8" s="1"/>
  <c r="BH47" i="12"/>
  <c r="BD36" i="8" s="1"/>
  <c r="BH53" i="12"/>
  <c r="BD42" i="8" s="1"/>
  <c r="BH55" i="12"/>
  <c r="BD44" i="8" s="1"/>
  <c r="BH49" i="12"/>
  <c r="BD38" i="8" s="1"/>
  <c r="BH51" i="12"/>
  <c r="BD40" i="8" s="1"/>
  <c r="BH59" i="12"/>
  <c r="BD48" i="8" s="1"/>
  <c r="BH57" i="12"/>
  <c r="BD46" i="8" s="1"/>
  <c r="BH67" i="12"/>
  <c r="BD56" i="8" s="1"/>
  <c r="BH71" i="12"/>
  <c r="BD60" i="8" s="1"/>
  <c r="BH46" i="12"/>
  <c r="BD35" i="8" s="1"/>
  <c r="BH69" i="12"/>
  <c r="BD58" i="8" s="1"/>
  <c r="BH73" i="12"/>
  <c r="BD62" i="8" s="1"/>
  <c r="BH48" i="12"/>
  <c r="BD37" i="8" s="1"/>
  <c r="BH65" i="12"/>
  <c r="BD54" i="8" s="1"/>
  <c r="BH50" i="12"/>
  <c r="BD39" i="8" s="1"/>
  <c r="BH52" i="12"/>
  <c r="BD41" i="8" s="1"/>
  <c r="BH56" i="12"/>
  <c r="BD45" i="8" s="1"/>
  <c r="BH60" i="12"/>
  <c r="BD49" i="8" s="1"/>
  <c r="BH58" i="12"/>
  <c r="BD47" i="8" s="1"/>
  <c r="BH54" i="12"/>
  <c r="BD43" i="8" s="1"/>
  <c r="BH62" i="12"/>
  <c r="BD51" i="8" s="1"/>
  <c r="AD53" i="12"/>
  <c r="Z42" i="8" s="1"/>
  <c r="AD55" i="12"/>
  <c r="Z44" i="8" s="1"/>
  <c r="AD47" i="12"/>
  <c r="Z36" i="8" s="1"/>
  <c r="AD59" i="12"/>
  <c r="Z48" i="8" s="1"/>
  <c r="AD49" i="12"/>
  <c r="Z38" i="8" s="1"/>
  <c r="AD51" i="12"/>
  <c r="Z40" i="8" s="1"/>
  <c r="AD57" i="12"/>
  <c r="Z46" i="8" s="1"/>
  <c r="AD61" i="12"/>
  <c r="Z50" i="8" s="1"/>
  <c r="AD73" i="12"/>
  <c r="Z62" i="8" s="1"/>
  <c r="AD67" i="12"/>
  <c r="Z56" i="8" s="1"/>
  <c r="AD71" i="12"/>
  <c r="Z60" i="8" s="1"/>
  <c r="AD63" i="12"/>
  <c r="Z52" i="8" s="1"/>
  <c r="AD65" i="12"/>
  <c r="Z54" i="8" s="1"/>
  <c r="AD46" i="12"/>
  <c r="Z35" i="8" s="1"/>
  <c r="AD50" i="12"/>
  <c r="Z39" i="8" s="1"/>
  <c r="AD52" i="12"/>
  <c r="Z41" i="8" s="1"/>
  <c r="AD69" i="12"/>
  <c r="Z58" i="8" s="1"/>
  <c r="AD48" i="12"/>
  <c r="Z37" i="8" s="1"/>
  <c r="AD56" i="12"/>
  <c r="Z45" i="8" s="1"/>
  <c r="AD58" i="12"/>
  <c r="Z47" i="8" s="1"/>
  <c r="AD54" i="12"/>
  <c r="Z43" i="8" s="1"/>
  <c r="AD64" i="12"/>
  <c r="Z53" i="8" s="1"/>
  <c r="AD60" i="12"/>
  <c r="Z49" i="8" s="1"/>
  <c r="AD70" i="12"/>
  <c r="Z59" i="8" s="1"/>
  <c r="K57" i="12"/>
  <c r="G46" i="8" s="1"/>
  <c r="K63" i="12"/>
  <c r="G52" i="8" s="1"/>
  <c r="K67" i="12"/>
  <c r="G56" i="8" s="1"/>
  <c r="K47" i="12"/>
  <c r="G36" i="8" s="1"/>
  <c r="K55" i="12"/>
  <c r="G44" i="8" s="1"/>
  <c r="K51" i="12"/>
  <c r="G40" i="8" s="1"/>
  <c r="K53" i="12"/>
  <c r="G42" i="8" s="1"/>
  <c r="K59" i="12"/>
  <c r="G48" i="8" s="1"/>
  <c r="K46" i="12"/>
  <c r="G35" i="8" s="1"/>
  <c r="K48" i="12"/>
  <c r="G37" i="8" s="1"/>
  <c r="K71" i="12"/>
  <c r="G60" i="8" s="1"/>
  <c r="K50" i="12"/>
  <c r="G39" i="8" s="1"/>
  <c r="K65" i="12"/>
  <c r="G54" i="8" s="1"/>
  <c r="K49" i="12"/>
  <c r="G38" i="8" s="1"/>
  <c r="K69" i="12"/>
  <c r="G58" i="8" s="1"/>
  <c r="K52" i="12"/>
  <c r="G41" i="8" s="1"/>
  <c r="K61" i="12"/>
  <c r="G50" i="8" s="1"/>
  <c r="K73" i="12"/>
  <c r="G62" i="8" s="1"/>
  <c r="K58" i="12"/>
  <c r="G47" i="8" s="1"/>
  <c r="K54" i="12"/>
  <c r="G43" i="8" s="1"/>
  <c r="K56" i="12"/>
  <c r="G45" i="8" s="1"/>
  <c r="K62" i="12"/>
  <c r="G51" i="8" s="1"/>
  <c r="K64" i="12"/>
  <c r="G53" i="8" s="1"/>
  <c r="K60" i="12"/>
  <c r="G49" i="8" s="1"/>
  <c r="AH49" i="12"/>
  <c r="AD38" i="8" s="1"/>
  <c r="AH53" i="12"/>
  <c r="AD42" i="8" s="1"/>
  <c r="AH59" i="12"/>
  <c r="AD48" i="8" s="1"/>
  <c r="AH61" i="12"/>
  <c r="AD50" i="8" s="1"/>
  <c r="AH57" i="12"/>
  <c r="AD46" i="8" s="1"/>
  <c r="AH55" i="12"/>
  <c r="AD44" i="8" s="1"/>
  <c r="AH51" i="12"/>
  <c r="AD40" i="8" s="1"/>
  <c r="AH73" i="12"/>
  <c r="AD62" i="8" s="1"/>
  <c r="AH46" i="12"/>
  <c r="AD35" i="8" s="1"/>
  <c r="AH48" i="12"/>
  <c r="AD37" i="8" s="1"/>
  <c r="AH67" i="12"/>
  <c r="AD56" i="8" s="1"/>
  <c r="AH69" i="12"/>
  <c r="AD58" i="8" s="1"/>
  <c r="AH47" i="12"/>
  <c r="AD36" i="8" s="1"/>
  <c r="AH65" i="12"/>
  <c r="AD54" i="8" s="1"/>
  <c r="AH63" i="12"/>
  <c r="AD52" i="8" s="1"/>
  <c r="AH71" i="12"/>
  <c r="AD60" i="8" s="1"/>
  <c r="AH64" i="12"/>
  <c r="AD53" i="8" s="1"/>
  <c r="AH52" i="12"/>
  <c r="AD41" i="8" s="1"/>
  <c r="AH58" i="12"/>
  <c r="AD47" i="8" s="1"/>
  <c r="AH50" i="12"/>
  <c r="AD39" i="8" s="1"/>
  <c r="AH54" i="12"/>
  <c r="AD43" i="8" s="1"/>
  <c r="AH56" i="12"/>
  <c r="AD45" i="8" s="1"/>
  <c r="AH60" i="12"/>
  <c r="AD49" i="8" s="1"/>
  <c r="AH68" i="12"/>
  <c r="AD57" i="8" s="1"/>
  <c r="AG51" i="12"/>
  <c r="AC40" i="8" s="1"/>
  <c r="AG57" i="12"/>
  <c r="AC46" i="8" s="1"/>
  <c r="AG59" i="12"/>
  <c r="AC48" i="8" s="1"/>
  <c r="AG53" i="12"/>
  <c r="AC42" i="8" s="1"/>
  <c r="AG55" i="12"/>
  <c r="AC44" i="8" s="1"/>
  <c r="AG47" i="12"/>
  <c r="AC36" i="8" s="1"/>
  <c r="AG73" i="12"/>
  <c r="AC62" i="8" s="1"/>
  <c r="AG46" i="12"/>
  <c r="AC35" i="8" s="1"/>
  <c r="AG69" i="12"/>
  <c r="AC58" i="8" s="1"/>
  <c r="AG71" i="12"/>
  <c r="AC60" i="8" s="1"/>
  <c r="AG49" i="12"/>
  <c r="AC38" i="8" s="1"/>
  <c r="AG61" i="12"/>
  <c r="AC50" i="8" s="1"/>
  <c r="AG63" i="12"/>
  <c r="AC52" i="8" s="1"/>
  <c r="AG65" i="12"/>
  <c r="AC54" i="8" s="1"/>
  <c r="AG48" i="12"/>
  <c r="AC37" i="8" s="1"/>
  <c r="AG67" i="12"/>
  <c r="AC56" i="8" s="1"/>
  <c r="AG62" i="12"/>
  <c r="AC51" i="8" s="1"/>
  <c r="AG64" i="12"/>
  <c r="AC53" i="8" s="1"/>
  <c r="AG52" i="12"/>
  <c r="AC41" i="8" s="1"/>
  <c r="AG56" i="12"/>
  <c r="AC45" i="8" s="1"/>
  <c r="AG50" i="12"/>
  <c r="AC39" i="8" s="1"/>
  <c r="AG54" i="12"/>
  <c r="AC43" i="8" s="1"/>
  <c r="AG58" i="12"/>
  <c r="AC47" i="8" s="1"/>
  <c r="AG60" i="12"/>
  <c r="AC49" i="8" s="1"/>
  <c r="AF59" i="12"/>
  <c r="AB48" i="8" s="1"/>
  <c r="AF63" i="12"/>
  <c r="AB52" i="8" s="1"/>
  <c r="AF49" i="12"/>
  <c r="AB38" i="8" s="1"/>
  <c r="AF53" i="12"/>
  <c r="AB42" i="8" s="1"/>
  <c r="AF47" i="12"/>
  <c r="AB36" i="8" s="1"/>
  <c r="AF57" i="12"/>
  <c r="AB46" i="8" s="1"/>
  <c r="AF61" i="12"/>
  <c r="AB50" i="8" s="1"/>
  <c r="AF48" i="12"/>
  <c r="AB37" i="8" s="1"/>
  <c r="AF51" i="12"/>
  <c r="AB40" i="8" s="1"/>
  <c r="AF65" i="12"/>
  <c r="AB54" i="8" s="1"/>
  <c r="AF55" i="12"/>
  <c r="AB44" i="8" s="1"/>
  <c r="AF67" i="12"/>
  <c r="AB56" i="8" s="1"/>
  <c r="AF50" i="12"/>
  <c r="AB39" i="8" s="1"/>
  <c r="AF71" i="12"/>
  <c r="AB60" i="8" s="1"/>
  <c r="AF73" i="12"/>
  <c r="AB62" i="8" s="1"/>
  <c r="AF46" i="12"/>
  <c r="AB35" i="8" s="1"/>
  <c r="AF69" i="12"/>
  <c r="AB58" i="8" s="1"/>
  <c r="AF56" i="12"/>
  <c r="AB45" i="8" s="1"/>
  <c r="AF52" i="12"/>
  <c r="AB41" i="8" s="1"/>
  <c r="AF54" i="12"/>
  <c r="AB43" i="8" s="1"/>
  <c r="AF62" i="12"/>
  <c r="AB51" i="8" s="1"/>
  <c r="AF68" i="12"/>
  <c r="AB57" i="8" s="1"/>
  <c r="AF58" i="12"/>
  <c r="AB47" i="8" s="1"/>
  <c r="AF60" i="12"/>
  <c r="AB49" i="8" s="1"/>
  <c r="AF64" i="12"/>
  <c r="AB53" i="8" s="1"/>
  <c r="AE51" i="12"/>
  <c r="AA40" i="8" s="1"/>
  <c r="AE53" i="12"/>
  <c r="AA42" i="8" s="1"/>
  <c r="AE57" i="12"/>
  <c r="AA46" i="8" s="1"/>
  <c r="AE61" i="12"/>
  <c r="AA50" i="8" s="1"/>
  <c r="AE55" i="12"/>
  <c r="AA44" i="8" s="1"/>
  <c r="AE59" i="12"/>
  <c r="AA48" i="8" s="1"/>
  <c r="AE49" i="12"/>
  <c r="AA38" i="8" s="1"/>
  <c r="AE47" i="12"/>
  <c r="AA36" i="8" s="1"/>
  <c r="AE71" i="12"/>
  <c r="AA60" i="8" s="1"/>
  <c r="AE73" i="12"/>
  <c r="AA62" i="8" s="1"/>
  <c r="AE63" i="12"/>
  <c r="AA52" i="8" s="1"/>
  <c r="AE48" i="12"/>
  <c r="AA37" i="8" s="1"/>
  <c r="AE69" i="12"/>
  <c r="AA58" i="8" s="1"/>
  <c r="AE46" i="12"/>
  <c r="AA35" i="8" s="1"/>
  <c r="AE65" i="12"/>
  <c r="AA54" i="8" s="1"/>
  <c r="AE67" i="12"/>
  <c r="AA56" i="8" s="1"/>
  <c r="AE50" i="12"/>
  <c r="AA39" i="8" s="1"/>
  <c r="AE54" i="12"/>
  <c r="AA43" i="8" s="1"/>
  <c r="AE60" i="12"/>
  <c r="AA49" i="8" s="1"/>
  <c r="AE58" i="12"/>
  <c r="AA47" i="8" s="1"/>
  <c r="AE70" i="12"/>
  <c r="AA59" i="8" s="1"/>
  <c r="AE62" i="12"/>
  <c r="AA51" i="8" s="1"/>
  <c r="AE64" i="12"/>
  <c r="AA53" i="8" s="1"/>
  <c r="AE52" i="12"/>
  <c r="AA41" i="8" s="1"/>
  <c r="AE56" i="12"/>
  <c r="AA45" i="8" s="1"/>
  <c r="AE66" i="12"/>
  <c r="AA55" i="8" s="1"/>
  <c r="W74" i="12"/>
  <c r="S63" i="8" s="1"/>
  <c r="AL74" i="12"/>
  <c r="AH63" i="8" s="1"/>
  <c r="AJ74" i="12"/>
  <c r="AF63" i="8" s="1"/>
  <c r="AX74" i="12"/>
  <c r="AT63" i="8" s="1"/>
  <c r="AU74" i="12"/>
  <c r="AQ63" i="8" s="1"/>
  <c r="BC74" i="12"/>
  <c r="AY63" i="8" s="1"/>
  <c r="AP72" i="12"/>
  <c r="AL61" i="8" s="1"/>
  <c r="AJ72" i="12"/>
  <c r="AF61" i="8" s="1"/>
  <c r="AO72" i="12"/>
  <c r="AK61" i="8" s="1"/>
  <c r="AM72" i="12"/>
  <c r="AI61" i="8" s="1"/>
  <c r="BR72" i="12"/>
  <c r="BN61" i="8" s="1"/>
  <c r="AA70" i="12"/>
  <c r="W59" i="8" s="1"/>
  <c r="AG70" i="12"/>
  <c r="AC59" i="8" s="1"/>
  <c r="AP70" i="12"/>
  <c r="AL59" i="8" s="1"/>
  <c r="BN70" i="12"/>
  <c r="BJ59" i="8" s="1"/>
  <c r="AD68" i="12"/>
  <c r="Z57" i="8" s="1"/>
  <c r="L68" i="12"/>
  <c r="H57" i="8" s="1"/>
  <c r="BN68" i="12"/>
  <c r="BJ57" i="8" s="1"/>
  <c r="BF68" i="12"/>
  <c r="BB57" i="8" s="1"/>
  <c r="AV68" i="12"/>
  <c r="AR57" i="8" s="1"/>
  <c r="R66" i="12"/>
  <c r="N55" i="8" s="1"/>
  <c r="M66" i="12"/>
  <c r="I55" i="8" s="1"/>
  <c r="BC66" i="12"/>
  <c r="AY55" i="8" s="1"/>
  <c r="AP66" i="12"/>
  <c r="AL55" i="8" s="1"/>
  <c r="BP66" i="12"/>
  <c r="BL55" i="8" s="1"/>
  <c r="I64" i="12"/>
  <c r="E53" i="8" s="1"/>
  <c r="I62" i="12"/>
  <c r="E51" i="8" s="1"/>
  <c r="S60" i="12"/>
  <c r="O49" i="8" s="1"/>
  <c r="AU60" i="12"/>
  <c r="AQ49" i="8" s="1"/>
  <c r="AK47" i="12"/>
  <c r="AG36" i="8" s="1"/>
  <c r="AK59" i="12"/>
  <c r="AG48" i="8" s="1"/>
  <c r="AK49" i="12"/>
  <c r="AG38" i="8" s="1"/>
  <c r="AK53" i="12"/>
  <c r="AG42" i="8" s="1"/>
  <c r="AK63" i="12"/>
  <c r="AG52" i="8" s="1"/>
  <c r="AK55" i="12"/>
  <c r="AG44" i="8" s="1"/>
  <c r="AK57" i="12"/>
  <c r="AG46" i="8" s="1"/>
  <c r="AK61" i="12"/>
  <c r="AG50" i="8" s="1"/>
  <c r="AK65" i="12"/>
  <c r="AG54" i="8" s="1"/>
  <c r="AK67" i="12"/>
  <c r="AG56" i="8" s="1"/>
  <c r="AK48" i="12"/>
  <c r="AG37" i="8" s="1"/>
  <c r="AK51" i="12"/>
  <c r="AG40" i="8" s="1"/>
  <c r="AK46" i="12"/>
  <c r="AG35" i="8" s="1"/>
  <c r="AK69" i="12"/>
  <c r="AG58" i="8" s="1"/>
  <c r="AK71" i="12"/>
  <c r="AG60" i="8" s="1"/>
  <c r="AK73" i="12"/>
  <c r="AG62" i="8" s="1"/>
  <c r="AK50" i="12"/>
  <c r="AG39" i="8" s="1"/>
  <c r="AK52" i="12"/>
  <c r="AG41" i="8" s="1"/>
  <c r="AK56" i="12"/>
  <c r="AG45" i="8" s="1"/>
  <c r="AK62" i="12"/>
  <c r="AG51" i="8" s="1"/>
  <c r="AK60" i="12"/>
  <c r="AG49" i="8" s="1"/>
  <c r="AK54" i="12"/>
  <c r="AG43" i="8" s="1"/>
  <c r="AK64" i="12"/>
  <c r="AG53" i="8" s="1"/>
  <c r="AK58" i="12"/>
  <c r="AG47" i="8" s="1"/>
  <c r="AZ49" i="12"/>
  <c r="AV38" i="8" s="1"/>
  <c r="AZ55" i="12"/>
  <c r="AV44" i="8" s="1"/>
  <c r="AZ47" i="12"/>
  <c r="AV36" i="8" s="1"/>
  <c r="AZ61" i="12"/>
  <c r="AV50" i="8" s="1"/>
  <c r="AZ53" i="12"/>
  <c r="AV42" i="8" s="1"/>
  <c r="AZ57" i="12"/>
  <c r="AV46" i="8" s="1"/>
  <c r="AZ59" i="12"/>
  <c r="AV48" i="8" s="1"/>
  <c r="AZ63" i="12"/>
  <c r="AV52" i="8" s="1"/>
  <c r="AZ51" i="12"/>
  <c r="AV40" i="8" s="1"/>
  <c r="AZ73" i="12"/>
  <c r="AV62" i="8" s="1"/>
  <c r="AZ50" i="12"/>
  <c r="AV39" i="8" s="1"/>
  <c r="AZ69" i="12"/>
  <c r="AV58" i="8" s="1"/>
  <c r="AZ65" i="12"/>
  <c r="AV54" i="8" s="1"/>
  <c r="AZ67" i="12"/>
  <c r="AV56" i="8" s="1"/>
  <c r="AZ71" i="12"/>
  <c r="AV60" i="8" s="1"/>
  <c r="AZ56" i="12"/>
  <c r="AV45" i="8" s="1"/>
  <c r="AZ46" i="12"/>
  <c r="AV35" i="8" s="1"/>
  <c r="AZ64" i="12"/>
  <c r="AV53" i="8" s="1"/>
  <c r="AZ66" i="12"/>
  <c r="AV55" i="8" s="1"/>
  <c r="AZ58" i="12"/>
  <c r="AV47" i="8" s="1"/>
  <c r="AZ60" i="12"/>
  <c r="AV49" i="8" s="1"/>
  <c r="AZ48" i="12"/>
  <c r="AV37" i="8" s="1"/>
  <c r="AZ54" i="12"/>
  <c r="AV43" i="8" s="1"/>
  <c r="AZ62" i="12"/>
  <c r="AV51" i="8" s="1"/>
  <c r="AZ52" i="12"/>
  <c r="AV41" i="8" s="1"/>
  <c r="BO61" i="12"/>
  <c r="BK50" i="8" s="1"/>
  <c r="BO55" i="12"/>
  <c r="BK44" i="8" s="1"/>
  <c r="BO59" i="12"/>
  <c r="BK48" i="8" s="1"/>
  <c r="BO47" i="12"/>
  <c r="BK36" i="8" s="1"/>
  <c r="BO53" i="12"/>
  <c r="BK42" i="8" s="1"/>
  <c r="BO63" i="12"/>
  <c r="BK52" i="8" s="1"/>
  <c r="BO49" i="12"/>
  <c r="BK38" i="8" s="1"/>
  <c r="BO51" i="12"/>
  <c r="BK40" i="8" s="1"/>
  <c r="BO50" i="12"/>
  <c r="BK39" i="8" s="1"/>
  <c r="BO73" i="12"/>
  <c r="BK62" i="8" s="1"/>
  <c r="BO65" i="12"/>
  <c r="BK54" i="8" s="1"/>
  <c r="BO48" i="12"/>
  <c r="BK37" i="8" s="1"/>
  <c r="BO57" i="12"/>
  <c r="BK46" i="8" s="1"/>
  <c r="BO67" i="12"/>
  <c r="BK56" i="8" s="1"/>
  <c r="BO46" i="12"/>
  <c r="BK35" i="8" s="1"/>
  <c r="BO69" i="12"/>
  <c r="BK58" i="8" s="1"/>
  <c r="BO71" i="12"/>
  <c r="BK60" i="8" s="1"/>
  <c r="BO58" i="12"/>
  <c r="BK47" i="8" s="1"/>
  <c r="BO56" i="12"/>
  <c r="BK45" i="8" s="1"/>
  <c r="BO52" i="12"/>
  <c r="BK41" i="8" s="1"/>
  <c r="BO60" i="12"/>
  <c r="BK49" i="8" s="1"/>
  <c r="BO66" i="12"/>
  <c r="BK55" i="8" s="1"/>
  <c r="BO54" i="12"/>
  <c r="BK43" i="8" s="1"/>
  <c r="AT53" i="12"/>
  <c r="AP42" i="8" s="1"/>
  <c r="AT61" i="12"/>
  <c r="AP50" i="8" s="1"/>
  <c r="AT59" i="12"/>
  <c r="AP48" i="8" s="1"/>
  <c r="AT51" i="12"/>
  <c r="AP40" i="8" s="1"/>
  <c r="AT55" i="12"/>
  <c r="AP44" i="8" s="1"/>
  <c r="AT57" i="12"/>
  <c r="AP46" i="8" s="1"/>
  <c r="AT47" i="12"/>
  <c r="AP36" i="8" s="1"/>
  <c r="AT49" i="12"/>
  <c r="AP38" i="8" s="1"/>
  <c r="AT69" i="12"/>
  <c r="AP58" i="8" s="1"/>
  <c r="AT71" i="12"/>
  <c r="AP60" i="8" s="1"/>
  <c r="AT73" i="12"/>
  <c r="AP62" i="8" s="1"/>
  <c r="AT67" i="12"/>
  <c r="AP56" i="8" s="1"/>
  <c r="AT46" i="12"/>
  <c r="AP35" i="8" s="1"/>
  <c r="AT48" i="12"/>
  <c r="AP37" i="8" s="1"/>
  <c r="AT63" i="12"/>
  <c r="AP52" i="8" s="1"/>
  <c r="AT65" i="12"/>
  <c r="AP54" i="8" s="1"/>
  <c r="AT54" i="12"/>
  <c r="AP43" i="8" s="1"/>
  <c r="AT50" i="12"/>
  <c r="AP39" i="8" s="1"/>
  <c r="AT52" i="12"/>
  <c r="AP41" i="8" s="1"/>
  <c r="AT58" i="12"/>
  <c r="AP47" i="8" s="1"/>
  <c r="AT56" i="12"/>
  <c r="AP45" i="8" s="1"/>
  <c r="AT64" i="12"/>
  <c r="AP53" i="8" s="1"/>
  <c r="Z63" i="12"/>
  <c r="V52" i="8" s="1"/>
  <c r="Z55" i="12"/>
  <c r="V44" i="8" s="1"/>
  <c r="Z59" i="12"/>
  <c r="V48" i="8" s="1"/>
  <c r="Z47" i="12"/>
  <c r="V36" i="8" s="1"/>
  <c r="Z51" i="12"/>
  <c r="V40" i="8" s="1"/>
  <c r="Z61" i="12"/>
  <c r="V50" i="8" s="1"/>
  <c r="Z49" i="12"/>
  <c r="V38" i="8" s="1"/>
  <c r="Z53" i="12"/>
  <c r="V42" i="8" s="1"/>
  <c r="Z67" i="12"/>
  <c r="V56" i="8" s="1"/>
  <c r="Z71" i="12"/>
  <c r="V60" i="8" s="1"/>
  <c r="Z73" i="12"/>
  <c r="V62" i="8" s="1"/>
  <c r="Z65" i="12"/>
  <c r="V54" i="8" s="1"/>
  <c r="Z52" i="12"/>
  <c r="V41" i="8" s="1"/>
  <c r="Z69" i="12"/>
  <c r="V58" i="8" s="1"/>
  <c r="Z46" i="12"/>
  <c r="V35" i="8" s="1"/>
  <c r="Z57" i="12"/>
  <c r="V46" i="8" s="1"/>
  <c r="Z54" i="12"/>
  <c r="V43" i="8" s="1"/>
  <c r="Z48" i="12"/>
  <c r="V37" i="8" s="1"/>
  <c r="Z56" i="12"/>
  <c r="V45" i="8" s="1"/>
  <c r="Z50" i="12"/>
  <c r="V39" i="8" s="1"/>
  <c r="Z60" i="12"/>
  <c r="V49" i="8" s="1"/>
  <c r="Z58" i="12"/>
  <c r="V47" i="8" s="1"/>
  <c r="Z62" i="12"/>
  <c r="V51" i="8" s="1"/>
  <c r="Y61" i="12"/>
  <c r="U50" i="8" s="1"/>
  <c r="Y65" i="12"/>
  <c r="U54" i="8" s="1"/>
  <c r="Y49" i="12"/>
  <c r="U38" i="8" s="1"/>
  <c r="Y47" i="12"/>
  <c r="U36" i="8" s="1"/>
  <c r="Y53" i="12"/>
  <c r="U42" i="8" s="1"/>
  <c r="Y57" i="12"/>
  <c r="U46" i="8" s="1"/>
  <c r="Y55" i="12"/>
  <c r="U44" i="8" s="1"/>
  <c r="Y69" i="12"/>
  <c r="U58" i="8" s="1"/>
  <c r="Y67" i="12"/>
  <c r="U56" i="8" s="1"/>
  <c r="Y48" i="12"/>
  <c r="U37" i="8" s="1"/>
  <c r="Y51" i="12"/>
  <c r="U40" i="8" s="1"/>
  <c r="Y59" i="12"/>
  <c r="U48" i="8" s="1"/>
  <c r="Y71" i="12"/>
  <c r="U60" i="8" s="1"/>
  <c r="Y46" i="12"/>
  <c r="U35" i="8" s="1"/>
  <c r="Y73" i="12"/>
  <c r="U62" i="8" s="1"/>
  <c r="Y63" i="12"/>
  <c r="U52" i="8" s="1"/>
  <c r="Y54" i="12"/>
  <c r="U43" i="8" s="1"/>
  <c r="Y58" i="12"/>
  <c r="U47" i="8" s="1"/>
  <c r="Y52" i="12"/>
  <c r="U41" i="8" s="1"/>
  <c r="Y56" i="12"/>
  <c r="U45" i="8" s="1"/>
  <c r="Y50" i="12"/>
  <c r="U39" i="8" s="1"/>
  <c r="X59" i="12"/>
  <c r="T48" i="8" s="1"/>
  <c r="X49" i="12"/>
  <c r="T38" i="8" s="1"/>
  <c r="X47" i="12"/>
  <c r="T36" i="8" s="1"/>
  <c r="X51" i="12"/>
  <c r="T40" i="8" s="1"/>
  <c r="X57" i="12"/>
  <c r="T46" i="8" s="1"/>
  <c r="X53" i="12"/>
  <c r="T42" i="8" s="1"/>
  <c r="X55" i="12"/>
  <c r="T44" i="8" s="1"/>
  <c r="X50" i="12"/>
  <c r="T39" i="8" s="1"/>
  <c r="X46" i="12"/>
  <c r="T35" i="8" s="1"/>
  <c r="X65" i="12"/>
  <c r="T54" i="8" s="1"/>
  <c r="X73" i="12"/>
  <c r="T62" i="8" s="1"/>
  <c r="X52" i="12"/>
  <c r="T41" i="8" s="1"/>
  <c r="X61" i="12"/>
  <c r="T50" i="8" s="1"/>
  <c r="X63" i="12"/>
  <c r="T52" i="8" s="1"/>
  <c r="X48" i="12"/>
  <c r="T37" i="8" s="1"/>
  <c r="X67" i="12"/>
  <c r="T56" i="8" s="1"/>
  <c r="X69" i="12"/>
  <c r="T58" i="8" s="1"/>
  <c r="X71" i="12"/>
  <c r="T60" i="8" s="1"/>
  <c r="X62" i="12"/>
  <c r="T51" i="8" s="1"/>
  <c r="X58" i="12"/>
  <c r="T47" i="8" s="1"/>
  <c r="X56" i="12"/>
  <c r="T45" i="8" s="1"/>
  <c r="X64" i="12"/>
  <c r="T53" i="8" s="1"/>
  <c r="X60" i="12"/>
  <c r="T49" i="8" s="1"/>
  <c r="X54" i="12"/>
  <c r="T43" i="8" s="1"/>
  <c r="W65" i="12"/>
  <c r="S54" i="8" s="1"/>
  <c r="W49" i="12"/>
  <c r="S38" i="8" s="1"/>
  <c r="W51" i="12"/>
  <c r="S40" i="8" s="1"/>
  <c r="W57" i="12"/>
  <c r="S46" i="8" s="1"/>
  <c r="W47" i="12"/>
  <c r="S36" i="8" s="1"/>
  <c r="W55" i="12"/>
  <c r="S44" i="8" s="1"/>
  <c r="W61" i="12"/>
  <c r="S50" i="8" s="1"/>
  <c r="W73" i="12"/>
  <c r="S62" i="8" s="1"/>
  <c r="W69" i="12"/>
  <c r="S58" i="8" s="1"/>
  <c r="W59" i="12"/>
  <c r="S48" i="8" s="1"/>
  <c r="W53" i="12"/>
  <c r="S42" i="8" s="1"/>
  <c r="W67" i="12"/>
  <c r="S56" i="8" s="1"/>
  <c r="W71" i="12"/>
  <c r="S60" i="8" s="1"/>
  <c r="W63" i="12"/>
  <c r="S52" i="8" s="1"/>
  <c r="W46" i="12"/>
  <c r="S35" i="8" s="1"/>
  <c r="W52" i="12"/>
  <c r="S41" i="8" s="1"/>
  <c r="W58" i="12"/>
  <c r="S47" i="8" s="1"/>
  <c r="W48" i="12"/>
  <c r="S37" i="8" s="1"/>
  <c r="W62" i="12"/>
  <c r="S51" i="8" s="1"/>
  <c r="W68" i="12"/>
  <c r="S57" i="8" s="1"/>
  <c r="W60" i="12"/>
  <c r="S49" i="8" s="1"/>
  <c r="W64" i="12"/>
  <c r="S53" i="8" s="1"/>
  <c r="W50" i="12"/>
  <c r="S39" i="8" s="1"/>
  <c r="W54" i="12"/>
  <c r="S43" i="8" s="1"/>
  <c r="W56" i="12"/>
  <c r="S45" i="8" s="1"/>
  <c r="AK74" i="12"/>
  <c r="AG63" i="8" s="1"/>
  <c r="Z74" i="12"/>
  <c r="V63" i="8" s="1"/>
  <c r="BR74" i="12"/>
  <c r="BN63" i="8" s="1"/>
  <c r="AK72" i="12"/>
  <c r="AG61" i="8" s="1"/>
  <c r="BE72" i="12"/>
  <c r="BA61" i="8" s="1"/>
  <c r="BP72" i="12"/>
  <c r="BL61" i="8" s="1"/>
  <c r="AS72" i="12"/>
  <c r="AO61" i="8" s="1"/>
  <c r="BA72" i="12"/>
  <c r="AW61" i="8" s="1"/>
  <c r="AF70" i="12"/>
  <c r="AB59" i="8" s="1"/>
  <c r="BD70" i="12"/>
  <c r="AZ59" i="8" s="1"/>
  <c r="AS70" i="12"/>
  <c r="AO59" i="8" s="1"/>
  <c r="AG68" i="12"/>
  <c r="AC57" i="8" s="1"/>
  <c r="BC68" i="12"/>
  <c r="AY57" i="8" s="1"/>
  <c r="BO68" i="12"/>
  <c r="BK57" i="8" s="1"/>
  <c r="BB68" i="12"/>
  <c r="AX57" i="8" s="1"/>
  <c r="AF66" i="12"/>
  <c r="AB55" i="8" s="1"/>
  <c r="AG66" i="12"/>
  <c r="AC55" i="8" s="1"/>
  <c r="X66" i="12"/>
  <c r="T55" i="8" s="1"/>
  <c r="AU66" i="12"/>
  <c r="AQ55" i="8" s="1"/>
  <c r="AS66" i="12"/>
  <c r="AO55" i="8" s="1"/>
  <c r="AI64" i="12"/>
  <c r="AE53" i="8" s="1"/>
  <c r="Y62" i="12"/>
  <c r="U51" i="8" s="1"/>
  <c r="AU62" i="12"/>
  <c r="AQ51" i="8" s="1"/>
  <c r="AT60" i="12"/>
  <c r="AP49" i="8" s="1"/>
  <c r="BD60" i="12"/>
  <c r="AZ49" i="8" s="1"/>
  <c r="AC57" i="12"/>
  <c r="Y46" i="8" s="1"/>
  <c r="AC47" i="12"/>
  <c r="Y36" i="8" s="1"/>
  <c r="AC53" i="12"/>
  <c r="Y42" i="8" s="1"/>
  <c r="AC61" i="12"/>
  <c r="Y50" i="8" s="1"/>
  <c r="AC55" i="12"/>
  <c r="Y44" i="8" s="1"/>
  <c r="AC49" i="12"/>
  <c r="Y38" i="8" s="1"/>
  <c r="AC51" i="12"/>
  <c r="Y40" i="8" s="1"/>
  <c r="AC46" i="12"/>
  <c r="Y35" i="8" s="1"/>
  <c r="AC71" i="12"/>
  <c r="Y60" i="8" s="1"/>
  <c r="AC69" i="12"/>
  <c r="Y58" i="8" s="1"/>
  <c r="AC73" i="12"/>
  <c r="Y62" i="8" s="1"/>
  <c r="AC67" i="12"/>
  <c r="Y56" i="8" s="1"/>
  <c r="AC59" i="12"/>
  <c r="Y48" i="8" s="1"/>
  <c r="AC63" i="12"/>
  <c r="Y52" i="8" s="1"/>
  <c r="AC50" i="12"/>
  <c r="Y39" i="8" s="1"/>
  <c r="AC52" i="12"/>
  <c r="Y41" i="8" s="1"/>
  <c r="AC65" i="12"/>
  <c r="Y54" i="8" s="1"/>
  <c r="AC60" i="12"/>
  <c r="Y49" i="8" s="1"/>
  <c r="AC56" i="12"/>
  <c r="Y45" i="8" s="1"/>
  <c r="AC66" i="12"/>
  <c r="Y55" i="8" s="1"/>
  <c r="AC54" i="12"/>
  <c r="Y43" i="8" s="1"/>
  <c r="AC48" i="12"/>
  <c r="Y37" i="8" s="1"/>
  <c r="AC58" i="12"/>
  <c r="Y47" i="8" s="1"/>
  <c r="AC64" i="12"/>
  <c r="Y53" i="8" s="1"/>
  <c r="AC62" i="12"/>
  <c r="Y51" i="8" s="1"/>
  <c r="AR61" i="12"/>
  <c r="AN50" i="8" s="1"/>
  <c r="AR49" i="12"/>
  <c r="AN38" i="8" s="1"/>
  <c r="AR57" i="12"/>
  <c r="AN46" i="8" s="1"/>
  <c r="AR59" i="12"/>
  <c r="AN48" i="8" s="1"/>
  <c r="AR51" i="12"/>
  <c r="AN40" i="8" s="1"/>
  <c r="AR53" i="12"/>
  <c r="AN42" i="8" s="1"/>
  <c r="AR47" i="12"/>
  <c r="AN36" i="8" s="1"/>
  <c r="AR55" i="12"/>
  <c r="AN44" i="8" s="1"/>
  <c r="AR67" i="12"/>
  <c r="AN56" i="8" s="1"/>
  <c r="AR63" i="12"/>
  <c r="AN52" i="8" s="1"/>
  <c r="AR50" i="12"/>
  <c r="AN39" i="8" s="1"/>
  <c r="AR69" i="12"/>
  <c r="AN58" i="8" s="1"/>
  <c r="AR65" i="12"/>
  <c r="AN54" i="8" s="1"/>
  <c r="AR71" i="12"/>
  <c r="AN60" i="8" s="1"/>
  <c r="AR73" i="12"/>
  <c r="AN62" i="8" s="1"/>
  <c r="AR46" i="12"/>
  <c r="AN35" i="8" s="1"/>
  <c r="AR48" i="12"/>
  <c r="AN37" i="8" s="1"/>
  <c r="AR54" i="12"/>
  <c r="AN43" i="8" s="1"/>
  <c r="AR58" i="12"/>
  <c r="AN47" i="8" s="1"/>
  <c r="AR68" i="12"/>
  <c r="AN57" i="8" s="1"/>
  <c r="AR60" i="12"/>
  <c r="AN49" i="8" s="1"/>
  <c r="AR62" i="12"/>
  <c r="AN51" i="8" s="1"/>
  <c r="AR52" i="12"/>
  <c r="AN41" i="8" s="1"/>
  <c r="AR56" i="12"/>
  <c r="AN45" i="8" s="1"/>
  <c r="BG55" i="12"/>
  <c r="BC44" i="8" s="1"/>
  <c r="BG63" i="12"/>
  <c r="BC52" i="8" s="1"/>
  <c r="BG57" i="12"/>
  <c r="BC46" i="8" s="1"/>
  <c r="BG53" i="12"/>
  <c r="BC42" i="8" s="1"/>
  <c r="BG51" i="12"/>
  <c r="BC40" i="8" s="1"/>
  <c r="BG47" i="12"/>
  <c r="BC36" i="8" s="1"/>
  <c r="BG49" i="12"/>
  <c r="BC38" i="8" s="1"/>
  <c r="BG65" i="12"/>
  <c r="BC54" i="8" s="1"/>
  <c r="BG59" i="12"/>
  <c r="BC48" i="8" s="1"/>
  <c r="BG46" i="12"/>
  <c r="BC35" i="8" s="1"/>
  <c r="BG61" i="12"/>
  <c r="BC50" i="8" s="1"/>
  <c r="BG71" i="12"/>
  <c r="BC60" i="8" s="1"/>
  <c r="BG69" i="12"/>
  <c r="BC58" i="8" s="1"/>
  <c r="BG73" i="12"/>
  <c r="BC62" i="8" s="1"/>
  <c r="BG48" i="12"/>
  <c r="BC37" i="8" s="1"/>
  <c r="BG67" i="12"/>
  <c r="BC56" i="8" s="1"/>
  <c r="BG58" i="12"/>
  <c r="BC47" i="8" s="1"/>
  <c r="BG52" i="12"/>
  <c r="BC41" i="8" s="1"/>
  <c r="BG56" i="12"/>
  <c r="BC45" i="8" s="1"/>
  <c r="BG64" i="12"/>
  <c r="BC53" i="8" s="1"/>
  <c r="BG50" i="12"/>
  <c r="BC39" i="8" s="1"/>
  <c r="BG60" i="12"/>
  <c r="BC49" i="8" s="1"/>
  <c r="BG66" i="12"/>
  <c r="BC55" i="8" s="1"/>
  <c r="BG54" i="12"/>
  <c r="BC43" i="8" s="1"/>
  <c r="AL61" i="12"/>
  <c r="AH50" i="8" s="1"/>
  <c r="AL55" i="12"/>
  <c r="AH44" i="8" s="1"/>
  <c r="AL49" i="12"/>
  <c r="AH38" i="8" s="1"/>
  <c r="AL57" i="12"/>
  <c r="AH46" i="8" s="1"/>
  <c r="AL59" i="12"/>
  <c r="AH48" i="8" s="1"/>
  <c r="AL47" i="12"/>
  <c r="AH36" i="8" s="1"/>
  <c r="AL51" i="12"/>
  <c r="AH40" i="8" s="1"/>
  <c r="AL63" i="12"/>
  <c r="AH52" i="8" s="1"/>
  <c r="AL65" i="12"/>
  <c r="AH54" i="8" s="1"/>
  <c r="AL71" i="12"/>
  <c r="AH60" i="8" s="1"/>
  <c r="AL73" i="12"/>
  <c r="AH62" i="8" s="1"/>
  <c r="AL53" i="12"/>
  <c r="AH42" i="8" s="1"/>
  <c r="AL67" i="12"/>
  <c r="AH56" i="8" s="1"/>
  <c r="AL69" i="12"/>
  <c r="AH58" i="8" s="1"/>
  <c r="AL48" i="12"/>
  <c r="AH37" i="8" s="1"/>
  <c r="AL50" i="12"/>
  <c r="AH39" i="8" s="1"/>
  <c r="AL56" i="12"/>
  <c r="AH45" i="8" s="1"/>
  <c r="AL58" i="12"/>
  <c r="AH47" i="8" s="1"/>
  <c r="AL46" i="12"/>
  <c r="AH35" i="8" s="1"/>
  <c r="AL54" i="12"/>
  <c r="AH43" i="8" s="1"/>
  <c r="AL62" i="12"/>
  <c r="AH51" i="8" s="1"/>
  <c r="AL52" i="12"/>
  <c r="AH41" i="8" s="1"/>
  <c r="AL68" i="12"/>
  <c r="AH57" i="8" s="1"/>
  <c r="R57" i="12"/>
  <c r="N46" i="8" s="1"/>
  <c r="R55" i="12"/>
  <c r="N44" i="8" s="1"/>
  <c r="R59" i="12"/>
  <c r="N48" i="8" s="1"/>
  <c r="R49" i="12"/>
  <c r="N38" i="8" s="1"/>
  <c r="R51" i="12"/>
  <c r="N40" i="8" s="1"/>
  <c r="R47" i="12"/>
  <c r="N36" i="8" s="1"/>
  <c r="R53" i="12"/>
  <c r="N42" i="8" s="1"/>
  <c r="R61" i="12"/>
  <c r="N50" i="8" s="1"/>
  <c r="R63" i="12"/>
  <c r="N52" i="8" s="1"/>
  <c r="R46" i="12"/>
  <c r="N35" i="8" s="1"/>
  <c r="R71" i="12"/>
  <c r="N60" i="8" s="1"/>
  <c r="R65" i="12"/>
  <c r="N54" i="8" s="1"/>
  <c r="R67" i="12"/>
  <c r="N56" i="8" s="1"/>
  <c r="R48" i="12"/>
  <c r="N37" i="8" s="1"/>
  <c r="R69" i="12"/>
  <c r="N58" i="8" s="1"/>
  <c r="R73" i="12"/>
  <c r="N62" i="8" s="1"/>
  <c r="R64" i="12"/>
  <c r="N53" i="8" s="1"/>
  <c r="R54" i="12"/>
  <c r="N43" i="8" s="1"/>
  <c r="R56" i="12"/>
  <c r="N45" i="8" s="1"/>
  <c r="R50" i="12"/>
  <c r="N39" i="8" s="1"/>
  <c r="R52" i="12"/>
  <c r="N41" i="8" s="1"/>
  <c r="R58" i="12"/>
  <c r="N47" i="8" s="1"/>
  <c r="R60" i="12"/>
  <c r="N49" i="8" s="1"/>
  <c r="Q55" i="12"/>
  <c r="M44" i="8" s="1"/>
  <c r="Q51" i="12"/>
  <c r="M40" i="8" s="1"/>
  <c r="Q57" i="12"/>
  <c r="M46" i="8" s="1"/>
  <c r="Q49" i="12"/>
  <c r="M38" i="8" s="1"/>
  <c r="Q61" i="12"/>
  <c r="M50" i="8" s="1"/>
  <c r="Q47" i="12"/>
  <c r="M36" i="8" s="1"/>
  <c r="Q59" i="12"/>
  <c r="M48" i="8" s="1"/>
  <c r="Q63" i="12"/>
  <c r="M52" i="8" s="1"/>
  <c r="Q67" i="12"/>
  <c r="M56" i="8" s="1"/>
  <c r="Q65" i="12"/>
  <c r="M54" i="8" s="1"/>
  <c r="Q53" i="12"/>
  <c r="M42" i="8" s="1"/>
  <c r="Q73" i="12"/>
  <c r="M62" i="8" s="1"/>
  <c r="Q71" i="12"/>
  <c r="M60" i="8" s="1"/>
  <c r="Q46" i="12"/>
  <c r="M35" i="8" s="1"/>
  <c r="Q69" i="12"/>
  <c r="M58" i="8" s="1"/>
  <c r="Q48" i="12"/>
  <c r="M37" i="8" s="1"/>
  <c r="Q62" i="12"/>
  <c r="M51" i="8" s="1"/>
  <c r="Q54" i="12"/>
  <c r="M43" i="8" s="1"/>
  <c r="Q56" i="12"/>
  <c r="M45" i="8" s="1"/>
  <c r="Q52" i="12"/>
  <c r="M41" i="8" s="1"/>
  <c r="Q58" i="12"/>
  <c r="M47" i="8" s="1"/>
  <c r="Q50" i="12"/>
  <c r="M39" i="8" s="1"/>
  <c r="P59" i="12"/>
  <c r="L48" i="8" s="1"/>
  <c r="P65" i="12"/>
  <c r="L54" i="8" s="1"/>
  <c r="P55" i="12"/>
  <c r="L44" i="8" s="1"/>
  <c r="P47" i="12"/>
  <c r="L36" i="8" s="1"/>
  <c r="P53" i="12"/>
  <c r="L42" i="8" s="1"/>
  <c r="P51" i="12"/>
  <c r="L40" i="8" s="1"/>
  <c r="P57" i="12"/>
  <c r="L46" i="8" s="1"/>
  <c r="P61" i="12"/>
  <c r="L50" i="8" s="1"/>
  <c r="P63" i="12"/>
  <c r="L52" i="8" s="1"/>
  <c r="P49" i="12"/>
  <c r="L38" i="8" s="1"/>
  <c r="P71" i="12"/>
  <c r="L60" i="8" s="1"/>
  <c r="P48" i="12"/>
  <c r="L37" i="8" s="1"/>
  <c r="P67" i="12"/>
  <c r="L56" i="8" s="1"/>
  <c r="P73" i="12"/>
  <c r="L62" i="8" s="1"/>
  <c r="P52" i="12"/>
  <c r="L41" i="8" s="1"/>
  <c r="P69" i="12"/>
  <c r="L58" i="8" s="1"/>
  <c r="P46" i="12"/>
  <c r="L35" i="8" s="1"/>
  <c r="P58" i="12"/>
  <c r="L47" i="8" s="1"/>
  <c r="P60" i="12"/>
  <c r="L49" i="8" s="1"/>
  <c r="P56" i="12"/>
  <c r="L45" i="8" s="1"/>
  <c r="P50" i="12"/>
  <c r="L39" i="8" s="1"/>
  <c r="P54" i="12"/>
  <c r="L43" i="8" s="1"/>
  <c r="P62" i="12"/>
  <c r="L51" i="8" s="1"/>
  <c r="P66" i="12"/>
  <c r="L55" i="8" s="1"/>
  <c r="P70" i="12"/>
  <c r="L59" i="8" s="1"/>
  <c r="O49" i="12"/>
  <c r="K38" i="8" s="1"/>
  <c r="O55" i="12"/>
  <c r="K44" i="8" s="1"/>
  <c r="O57" i="12"/>
  <c r="K46" i="8" s="1"/>
  <c r="O61" i="12"/>
  <c r="K50" i="8" s="1"/>
  <c r="O53" i="12"/>
  <c r="K42" i="8" s="1"/>
  <c r="O59" i="12"/>
  <c r="K48" i="8" s="1"/>
  <c r="O50" i="12"/>
  <c r="K39" i="8" s="1"/>
  <c r="O63" i="12"/>
  <c r="K52" i="8" s="1"/>
  <c r="O47" i="12"/>
  <c r="K36" i="8" s="1"/>
  <c r="O67" i="12"/>
  <c r="K56" i="8" s="1"/>
  <c r="O71" i="12"/>
  <c r="K60" i="8" s="1"/>
  <c r="O65" i="12"/>
  <c r="K54" i="8" s="1"/>
  <c r="O51" i="12"/>
  <c r="K40" i="8" s="1"/>
  <c r="O69" i="12"/>
  <c r="K58" i="8" s="1"/>
  <c r="O46" i="12"/>
  <c r="K35" i="8" s="1"/>
  <c r="O52" i="12"/>
  <c r="K41" i="8" s="1"/>
  <c r="O73" i="12"/>
  <c r="K62" i="8" s="1"/>
  <c r="O58" i="12"/>
  <c r="K47" i="8" s="1"/>
  <c r="O60" i="12"/>
  <c r="K49" i="8" s="1"/>
  <c r="O70" i="12"/>
  <c r="K59" i="8" s="1"/>
  <c r="O54" i="12"/>
  <c r="K43" i="8" s="1"/>
  <c r="O48" i="12"/>
  <c r="K37" i="8" s="1"/>
  <c r="O56" i="12"/>
  <c r="K45" i="8" s="1"/>
  <c r="O64" i="12"/>
  <c r="K53" i="8" s="1"/>
  <c r="Y74" i="12"/>
  <c r="U63" i="8" s="1"/>
  <c r="P74" i="12"/>
  <c r="L63" i="8" s="1"/>
  <c r="AC74" i="12"/>
  <c r="Y63" i="8" s="1"/>
  <c r="BP74" i="12"/>
  <c r="BL63" i="8" s="1"/>
  <c r="BA74" i="12"/>
  <c r="AW63" i="8" s="1"/>
  <c r="BI74" i="12"/>
  <c r="BE63" i="8" s="1"/>
  <c r="AC72" i="12"/>
  <c r="Y61" i="8" s="1"/>
  <c r="T72" i="12"/>
  <c r="P61" i="8" s="1"/>
  <c r="BH72" i="12"/>
  <c r="BD61" i="8" s="1"/>
  <c r="AR72" i="12"/>
  <c r="AN61" i="8" s="1"/>
  <c r="BI72" i="12"/>
  <c r="BE61" i="8" s="1"/>
  <c r="BQ72" i="12"/>
  <c r="BM61" i="8" s="1"/>
  <c r="W70" i="12"/>
  <c r="S59" i="8" s="1"/>
  <c r="AH70" i="12"/>
  <c r="AD59" i="8" s="1"/>
  <c r="AX70" i="12"/>
  <c r="AT59" i="8" s="1"/>
  <c r="BR70" i="12"/>
  <c r="BN59" i="8" s="1"/>
  <c r="BI70" i="12"/>
  <c r="BE59" i="8" s="1"/>
  <c r="I68" i="12"/>
  <c r="E57" i="8" s="1"/>
  <c r="V68" i="12"/>
  <c r="R57" i="8" s="1"/>
  <c r="P68" i="12"/>
  <c r="L57" i="8" s="1"/>
  <c r="AZ68" i="12"/>
  <c r="AV57" i="8" s="1"/>
  <c r="BQ68" i="12"/>
  <c r="BM57" i="8" s="1"/>
  <c r="AH66" i="12"/>
  <c r="AD55" i="8" s="1"/>
  <c r="AI66" i="12"/>
  <c r="AE55" i="8" s="1"/>
  <c r="BH66" i="12"/>
  <c r="BD55" i="8" s="1"/>
  <c r="AN66" i="12"/>
  <c r="AJ55" i="8" s="1"/>
  <c r="P64" i="12"/>
  <c r="L53" i="8" s="1"/>
  <c r="BO64" i="12"/>
  <c r="BK53" i="8" s="1"/>
  <c r="AA62" i="12"/>
  <c r="W51" i="8" s="1"/>
  <c r="AS62" i="12"/>
  <c r="AO51" i="8" s="1"/>
  <c r="BJ55" i="12"/>
  <c r="BF44" i="8" s="1"/>
  <c r="BJ59" i="12"/>
  <c r="BF48" i="8" s="1"/>
  <c r="BJ51" i="12"/>
  <c r="BF40" i="8" s="1"/>
  <c r="BJ53" i="12"/>
  <c r="BF42" i="8" s="1"/>
  <c r="BJ49" i="12"/>
  <c r="BF38" i="8" s="1"/>
  <c r="BJ57" i="12"/>
  <c r="BF46" i="8" s="1"/>
  <c r="BJ61" i="12"/>
  <c r="BF50" i="8" s="1"/>
  <c r="BJ65" i="12"/>
  <c r="BF54" i="8" s="1"/>
  <c r="BJ71" i="12"/>
  <c r="BF60" i="8" s="1"/>
  <c r="BJ73" i="12"/>
  <c r="BF62" i="8" s="1"/>
  <c r="BJ69" i="12"/>
  <c r="BF58" i="8" s="1"/>
  <c r="BJ46" i="12"/>
  <c r="BF35" i="8" s="1"/>
  <c r="BJ63" i="12"/>
  <c r="BF52" i="8" s="1"/>
  <c r="BJ47" i="12"/>
  <c r="BF36" i="8" s="1"/>
  <c r="BJ67" i="12"/>
  <c r="BF56" i="8" s="1"/>
  <c r="BJ50" i="12"/>
  <c r="BF39" i="8" s="1"/>
  <c r="BJ54" i="12"/>
  <c r="BF43" i="8" s="1"/>
  <c r="BJ56" i="12"/>
  <c r="BF45" i="8" s="1"/>
  <c r="BJ62" i="12"/>
  <c r="BF51" i="8" s="1"/>
  <c r="BJ58" i="12"/>
  <c r="BF47" i="8" s="1"/>
  <c r="BJ52" i="12"/>
  <c r="BF41" i="8" s="1"/>
  <c r="BJ48" i="12"/>
  <c r="BF37" i="8" s="1"/>
  <c r="BJ66" i="12"/>
  <c r="BF55" i="8" s="1"/>
  <c r="BJ70" i="12"/>
  <c r="BF59" i="8" s="1"/>
  <c r="U47" i="12"/>
  <c r="Q36" i="8" s="1"/>
  <c r="U55" i="12"/>
  <c r="Q44" i="8" s="1"/>
  <c r="U57" i="12"/>
  <c r="Q46" i="8" s="1"/>
  <c r="U53" i="12"/>
  <c r="Q42" i="8" s="1"/>
  <c r="U61" i="12"/>
  <c r="Q50" i="8" s="1"/>
  <c r="U49" i="12"/>
  <c r="Q38" i="8" s="1"/>
  <c r="U51" i="12"/>
  <c r="Q40" i="8" s="1"/>
  <c r="U67" i="12"/>
  <c r="Q56" i="8" s="1"/>
  <c r="U71" i="12"/>
  <c r="Q60" i="8" s="1"/>
  <c r="U65" i="12"/>
  <c r="Q54" i="8" s="1"/>
  <c r="U50" i="12"/>
  <c r="Q39" i="8" s="1"/>
  <c r="U59" i="12"/>
  <c r="Q48" i="8" s="1"/>
  <c r="U69" i="12"/>
  <c r="Q58" i="8" s="1"/>
  <c r="U73" i="12"/>
  <c r="Q62" i="8" s="1"/>
  <c r="U46" i="12"/>
  <c r="Q35" i="8" s="1"/>
  <c r="U63" i="12"/>
  <c r="Q52" i="8" s="1"/>
  <c r="U48" i="12"/>
  <c r="Q37" i="8" s="1"/>
  <c r="U64" i="12"/>
  <c r="Q53" i="8" s="1"/>
  <c r="U58" i="12"/>
  <c r="Q47" i="8" s="1"/>
  <c r="U60" i="12"/>
  <c r="Q49" i="8" s="1"/>
  <c r="U54" i="12"/>
  <c r="Q43" i="8" s="1"/>
  <c r="U52" i="12"/>
  <c r="Q41" i="8" s="1"/>
  <c r="U56" i="12"/>
  <c r="Q45" i="8" s="1"/>
  <c r="U62" i="12"/>
  <c r="Q51" i="8" s="1"/>
  <c r="U66" i="12"/>
  <c r="Q55" i="8" s="1"/>
  <c r="U68" i="12"/>
  <c r="Q57" i="8" s="1"/>
  <c r="AJ47" i="12"/>
  <c r="AF36" i="8" s="1"/>
  <c r="AJ53" i="12"/>
  <c r="AF42" i="8" s="1"/>
  <c r="AJ55" i="12"/>
  <c r="AF44" i="8" s="1"/>
  <c r="AJ63" i="12"/>
  <c r="AF52" i="8" s="1"/>
  <c r="AJ49" i="12"/>
  <c r="AF38" i="8" s="1"/>
  <c r="AJ51" i="12"/>
  <c r="AF40" i="8" s="1"/>
  <c r="AJ61" i="12"/>
  <c r="AF50" i="8" s="1"/>
  <c r="AJ65" i="12"/>
  <c r="AF54" i="8" s="1"/>
  <c r="AJ57" i="12"/>
  <c r="AF46" i="8" s="1"/>
  <c r="AJ46" i="12"/>
  <c r="AF35" i="8" s="1"/>
  <c r="AJ48" i="12"/>
  <c r="AF37" i="8" s="1"/>
  <c r="AJ71" i="12"/>
  <c r="AF60" i="8" s="1"/>
  <c r="AJ73" i="12"/>
  <c r="AF62" i="8" s="1"/>
  <c r="AJ67" i="12"/>
  <c r="AF56" i="8" s="1"/>
  <c r="AJ59" i="12"/>
  <c r="AF48" i="8" s="1"/>
  <c r="AJ69" i="12"/>
  <c r="AF58" i="8" s="1"/>
  <c r="AJ50" i="12"/>
  <c r="AF39" i="8" s="1"/>
  <c r="AJ52" i="12"/>
  <c r="AF41" i="8" s="1"/>
  <c r="AJ58" i="12"/>
  <c r="AF47" i="8" s="1"/>
  <c r="AJ60" i="12"/>
  <c r="AF49" i="8" s="1"/>
  <c r="AJ54" i="12"/>
  <c r="AF43" i="8" s="1"/>
  <c r="AJ56" i="12"/>
  <c r="AF45" i="8" s="1"/>
  <c r="AJ64" i="12"/>
  <c r="AF53" i="8" s="1"/>
  <c r="AY47" i="12"/>
  <c r="AU36" i="8" s="1"/>
  <c r="AY55" i="12"/>
  <c r="AU44" i="8" s="1"/>
  <c r="AY57" i="12"/>
  <c r="AU46" i="8" s="1"/>
  <c r="AY51" i="12"/>
  <c r="AU40" i="8" s="1"/>
  <c r="AY59" i="12"/>
  <c r="AU48" i="8" s="1"/>
  <c r="AY49" i="12"/>
  <c r="AU38" i="8" s="1"/>
  <c r="AY53" i="12"/>
  <c r="AU42" i="8" s="1"/>
  <c r="AY71" i="12"/>
  <c r="AU60" i="8" s="1"/>
  <c r="AY69" i="12"/>
  <c r="AU58" i="8" s="1"/>
  <c r="AY48" i="12"/>
  <c r="AU37" i="8" s="1"/>
  <c r="AY67" i="12"/>
  <c r="AU56" i="8" s="1"/>
  <c r="AY73" i="12"/>
  <c r="AU62" i="8" s="1"/>
  <c r="AY46" i="12"/>
  <c r="AU35" i="8" s="1"/>
  <c r="AY50" i="12"/>
  <c r="AU39" i="8" s="1"/>
  <c r="AY65" i="12"/>
  <c r="AU54" i="8" s="1"/>
  <c r="AY63" i="12"/>
  <c r="AU52" i="8" s="1"/>
  <c r="AY61" i="12"/>
  <c r="AU50" i="8" s="1"/>
  <c r="AY60" i="12"/>
  <c r="AU49" i="8" s="1"/>
  <c r="AY54" i="12"/>
  <c r="AU43" i="8" s="1"/>
  <c r="AY56" i="12"/>
  <c r="AU45" i="8" s="1"/>
  <c r="AY52" i="12"/>
  <c r="AU41" i="8" s="1"/>
  <c r="AY66" i="12"/>
  <c r="AU55" i="8" s="1"/>
  <c r="AY58" i="12"/>
  <c r="AU47" i="8" s="1"/>
  <c r="AY64" i="12"/>
  <c r="AU53" i="8" s="1"/>
  <c r="AY62" i="12"/>
  <c r="AU51" i="8" s="1"/>
  <c r="J47" i="12"/>
  <c r="F36" i="8" s="1"/>
  <c r="J59" i="12"/>
  <c r="F48" i="8" s="1"/>
  <c r="J51" i="12"/>
  <c r="F40" i="8" s="1"/>
  <c r="J53" i="12"/>
  <c r="F42" i="8" s="1"/>
  <c r="J55" i="12"/>
  <c r="F44" i="8" s="1"/>
  <c r="J61" i="12"/>
  <c r="F50" i="8" s="1"/>
  <c r="J49" i="12"/>
  <c r="F38" i="8" s="1"/>
  <c r="J57" i="12"/>
  <c r="F46" i="8" s="1"/>
  <c r="J65" i="12"/>
  <c r="F54" i="8" s="1"/>
  <c r="J46" i="12"/>
  <c r="F35" i="8" s="1"/>
  <c r="J63" i="12"/>
  <c r="F52" i="8" s="1"/>
  <c r="J67" i="12"/>
  <c r="F56" i="8" s="1"/>
  <c r="J69" i="12"/>
  <c r="F58" i="8" s="1"/>
  <c r="J71" i="12"/>
  <c r="F60" i="8" s="1"/>
  <c r="J73" i="12"/>
  <c r="F62" i="8" s="1"/>
  <c r="J48" i="12"/>
  <c r="F37" i="8" s="1"/>
  <c r="J50" i="12"/>
  <c r="F39" i="8" s="1"/>
  <c r="J54" i="12"/>
  <c r="F43" i="8" s="1"/>
  <c r="J56" i="12"/>
  <c r="F45" i="8" s="1"/>
  <c r="J64" i="12"/>
  <c r="F53" i="8" s="1"/>
  <c r="J52" i="12"/>
  <c r="F41" i="8" s="1"/>
  <c r="J58" i="12"/>
  <c r="F47" i="8" s="1"/>
  <c r="J70" i="12"/>
  <c r="F59" i="8" s="1"/>
  <c r="I53" i="12"/>
  <c r="E42" i="8" s="1"/>
  <c r="I47" i="12"/>
  <c r="E36" i="8" s="1"/>
  <c r="I49" i="12"/>
  <c r="E38" i="8" s="1"/>
  <c r="I57" i="12"/>
  <c r="E46" i="8" s="1"/>
  <c r="I59" i="12"/>
  <c r="E48" i="8" s="1"/>
  <c r="I55" i="12"/>
  <c r="E44" i="8" s="1"/>
  <c r="I51" i="12"/>
  <c r="E40" i="8" s="1"/>
  <c r="I46" i="12"/>
  <c r="E35" i="8" s="1"/>
  <c r="I67" i="12"/>
  <c r="E56" i="8" s="1"/>
  <c r="I69" i="12"/>
  <c r="E58" i="8" s="1"/>
  <c r="I50" i="12"/>
  <c r="E39" i="8" s="1"/>
  <c r="I63" i="12"/>
  <c r="E52" i="8" s="1"/>
  <c r="I73" i="12"/>
  <c r="E62" i="8" s="1"/>
  <c r="I61" i="12"/>
  <c r="E50" i="8" s="1"/>
  <c r="I48" i="12"/>
  <c r="E37" i="8" s="1"/>
  <c r="I65" i="12"/>
  <c r="E54" i="8" s="1"/>
  <c r="I71" i="12"/>
  <c r="E60" i="8" s="1"/>
  <c r="I52" i="12"/>
  <c r="E41" i="8" s="1"/>
  <c r="I58" i="12"/>
  <c r="E47" i="8" s="1"/>
  <c r="I54" i="12"/>
  <c r="E43" i="8" s="1"/>
  <c r="I56" i="12"/>
  <c r="E45" i="8" s="1"/>
  <c r="I60" i="12"/>
  <c r="E49" i="8" s="1"/>
  <c r="I70" i="12"/>
  <c r="E59" i="8" s="1"/>
  <c r="H57" i="12"/>
  <c r="D46" i="8" s="1"/>
  <c r="H59" i="12"/>
  <c r="D48" i="8" s="1"/>
  <c r="H51" i="12"/>
  <c r="D40" i="8" s="1"/>
  <c r="H53" i="12"/>
  <c r="D42" i="8" s="1"/>
  <c r="H49" i="12"/>
  <c r="D38" i="8" s="1"/>
  <c r="H47" i="12"/>
  <c r="D36" i="8" s="1"/>
  <c r="H63" i="12"/>
  <c r="D52" i="8" s="1"/>
  <c r="H65" i="12"/>
  <c r="D54" i="8" s="1"/>
  <c r="H55" i="12"/>
  <c r="D44" i="8" s="1"/>
  <c r="H61" i="12"/>
  <c r="D50" i="8" s="1"/>
  <c r="H67" i="12"/>
  <c r="D56" i="8" s="1"/>
  <c r="H69" i="12"/>
  <c r="D58" i="8" s="1"/>
  <c r="H71" i="12"/>
  <c r="D60" i="8" s="1"/>
  <c r="H48" i="12"/>
  <c r="D37" i="8" s="1"/>
  <c r="H73" i="12"/>
  <c r="D62" i="8" s="1"/>
  <c r="H46" i="12"/>
  <c r="D35" i="8" s="1"/>
  <c r="H64" i="12"/>
  <c r="D53" i="8" s="1"/>
  <c r="H54" i="12"/>
  <c r="D43" i="8" s="1"/>
  <c r="H70" i="12"/>
  <c r="D59" i="8" s="1"/>
  <c r="H50" i="12"/>
  <c r="D39" i="8" s="1"/>
  <c r="H56" i="12"/>
  <c r="D45" i="8" s="1"/>
  <c r="H58" i="12"/>
  <c r="D47" i="8" s="1"/>
  <c r="H52" i="12"/>
  <c r="D41" i="8" s="1"/>
  <c r="G63" i="12"/>
  <c r="C52" i="8" s="1"/>
  <c r="G47" i="12"/>
  <c r="C36" i="8" s="1"/>
  <c r="G55" i="12"/>
  <c r="C44" i="8" s="1"/>
  <c r="G57" i="12"/>
  <c r="C46" i="8" s="1"/>
  <c r="G61" i="12"/>
  <c r="C50" i="8" s="1"/>
  <c r="G51" i="12"/>
  <c r="C40" i="8" s="1"/>
  <c r="G49" i="12"/>
  <c r="C38" i="8" s="1"/>
  <c r="G59" i="12"/>
  <c r="C48" i="8" s="1"/>
  <c r="G53" i="12"/>
  <c r="C42" i="8" s="1"/>
  <c r="G67" i="12"/>
  <c r="C56" i="8" s="1"/>
  <c r="G69" i="12"/>
  <c r="C58" i="8" s="1"/>
  <c r="G73" i="12"/>
  <c r="C62" i="8" s="1"/>
  <c r="G46" i="12"/>
  <c r="C35" i="8" s="1"/>
  <c r="G65" i="12"/>
  <c r="C54" i="8" s="1"/>
  <c r="G71" i="12"/>
  <c r="C60" i="8" s="1"/>
  <c r="G58" i="12"/>
  <c r="C47" i="8" s="1"/>
  <c r="G56" i="12"/>
  <c r="C45" i="8" s="1"/>
  <c r="G66" i="12"/>
  <c r="C55" i="8" s="1"/>
  <c r="G48" i="12"/>
  <c r="C37" i="8" s="1"/>
  <c r="G52" i="12"/>
  <c r="C41" i="8" s="1"/>
  <c r="G60" i="12"/>
  <c r="C49" i="8" s="1"/>
  <c r="G62" i="12"/>
  <c r="C51" i="8" s="1"/>
  <c r="G54" i="12"/>
  <c r="C43" i="8" s="1"/>
  <c r="G50" i="12"/>
  <c r="C39" i="8" s="1"/>
  <c r="X74" i="12"/>
  <c r="T63" i="8" s="1"/>
  <c r="S74" i="12"/>
  <c r="O63" i="8" s="1"/>
  <c r="BH74" i="12"/>
  <c r="BD63" i="8" s="1"/>
  <c r="AY74" i="12"/>
  <c r="AU63" i="8" s="1"/>
  <c r="AR74" i="12"/>
  <c r="AN63" i="8" s="1"/>
  <c r="AP74" i="12"/>
  <c r="AL63" i="8" s="1"/>
  <c r="BQ74" i="12"/>
  <c r="BM63" i="8" s="1"/>
  <c r="AN74" i="12"/>
  <c r="AJ63" i="8" s="1"/>
  <c r="H72" i="12"/>
  <c r="D61" i="8" s="1"/>
  <c r="AE72" i="12"/>
  <c r="AA61" i="8" s="1"/>
  <c r="U72" i="12"/>
  <c r="Q61" i="8" s="1"/>
  <c r="Y72" i="12"/>
  <c r="U61" i="8" s="1"/>
  <c r="AX72" i="12"/>
  <c r="AT61" i="8" s="1"/>
  <c r="AU72" i="12"/>
  <c r="AQ61" i="8" s="1"/>
  <c r="AN72" i="12"/>
  <c r="AJ61" i="8" s="1"/>
  <c r="AY72" i="12"/>
  <c r="AU61" i="8" s="1"/>
  <c r="K70" i="12"/>
  <c r="G59" i="8" s="1"/>
  <c r="U70" i="12"/>
  <c r="Q59" i="8" s="1"/>
  <c r="BH70" i="12"/>
  <c r="BD59" i="8" s="1"/>
  <c r="BB70" i="12"/>
  <c r="AX59" i="8" s="1"/>
  <c r="AN70" i="12"/>
  <c r="AJ59" i="8" s="1"/>
  <c r="Z68" i="12"/>
  <c r="V57" i="8" s="1"/>
  <c r="T68" i="12"/>
  <c r="P57" i="8" s="1"/>
  <c r="AT68" i="12"/>
  <c r="AP57" i="8" s="1"/>
  <c r="AX68" i="12"/>
  <c r="AT57" i="8" s="1"/>
  <c r="AS68" i="12"/>
  <c r="AO57" i="8" s="1"/>
  <c r="BA68" i="12"/>
  <c r="AW57" i="8" s="1"/>
  <c r="AD66" i="12"/>
  <c r="Z55" i="8" s="1"/>
  <c r="K66" i="12"/>
  <c r="G55" i="8" s="1"/>
  <c r="BB66" i="12"/>
  <c r="AX55" i="8" s="1"/>
  <c r="AR66" i="12"/>
  <c r="AN55" i="8" s="1"/>
  <c r="Z64" i="12"/>
  <c r="V53" i="8" s="1"/>
  <c r="T64" i="12"/>
  <c r="P53" i="8" s="1"/>
  <c r="J62" i="12"/>
  <c r="F51" i="8" s="1"/>
  <c r="H62" i="12"/>
  <c r="D51" i="8" s="1"/>
  <c r="J60" i="12"/>
  <c r="F49" i="8" s="1"/>
  <c r="T60" i="12"/>
  <c r="P49" i="8" s="1"/>
  <c r="N47" i="12"/>
  <c r="J36" i="8" s="1"/>
  <c r="N51" i="12"/>
  <c r="J40" i="8" s="1"/>
  <c r="N61" i="12"/>
  <c r="J50" i="8" s="1"/>
  <c r="N55" i="12"/>
  <c r="J44" i="8" s="1"/>
  <c r="N57" i="12"/>
  <c r="J46" i="8" s="1"/>
  <c r="N53" i="12"/>
  <c r="J42" i="8" s="1"/>
  <c r="N59" i="12"/>
  <c r="J48" i="8" s="1"/>
  <c r="N69" i="12"/>
  <c r="J58" i="8" s="1"/>
  <c r="N46" i="12"/>
  <c r="J35" i="8" s="1"/>
  <c r="N73" i="12"/>
  <c r="J62" i="8" s="1"/>
  <c r="N65" i="12"/>
  <c r="J54" i="8" s="1"/>
  <c r="N49" i="12"/>
  <c r="J38" i="8" s="1"/>
  <c r="N67" i="12"/>
  <c r="J56" i="8" s="1"/>
  <c r="N71" i="12"/>
  <c r="J60" i="8" s="1"/>
  <c r="N63" i="12"/>
  <c r="J52" i="8" s="1"/>
  <c r="N50" i="12"/>
  <c r="J39" i="8" s="1"/>
  <c r="N58" i="12"/>
  <c r="J47" i="8" s="1"/>
  <c r="N56" i="12"/>
  <c r="J45" i="8" s="1"/>
  <c r="N54" i="12"/>
  <c r="J43" i="8" s="1"/>
  <c r="N66" i="12"/>
  <c r="J55" i="8" s="1"/>
  <c r="N68" i="12"/>
  <c r="J57" i="8" s="1"/>
  <c r="N60" i="12"/>
  <c r="J49" i="8" s="1"/>
  <c r="N62" i="12"/>
  <c r="J51" i="8" s="1"/>
  <c r="N64" i="12"/>
  <c r="J53" i="8" s="1"/>
  <c r="N48" i="12"/>
  <c r="J37" i="8" s="1"/>
  <c r="N52" i="12"/>
  <c r="J41" i="8" s="1"/>
  <c r="M47" i="12"/>
  <c r="I36" i="8" s="1"/>
  <c r="M51" i="12"/>
  <c r="I40" i="8" s="1"/>
  <c r="M55" i="12"/>
  <c r="I44" i="8" s="1"/>
  <c r="M67" i="12"/>
  <c r="I56" i="8" s="1"/>
  <c r="M61" i="12"/>
  <c r="I50" i="8" s="1"/>
  <c r="M49" i="12"/>
  <c r="I38" i="8" s="1"/>
  <c r="M57" i="12"/>
  <c r="I46" i="8" s="1"/>
  <c r="M63" i="12"/>
  <c r="I52" i="8" s="1"/>
  <c r="M53" i="12"/>
  <c r="I42" i="8" s="1"/>
  <c r="M69" i="12"/>
  <c r="I58" i="8" s="1"/>
  <c r="M65" i="12"/>
  <c r="I54" i="8" s="1"/>
  <c r="M71" i="12"/>
  <c r="I60" i="8" s="1"/>
  <c r="M48" i="12"/>
  <c r="I37" i="8" s="1"/>
  <c r="M59" i="12"/>
  <c r="I48" i="8" s="1"/>
  <c r="M73" i="12"/>
  <c r="I62" i="8" s="1"/>
  <c r="M62" i="12"/>
  <c r="I51" i="8" s="1"/>
  <c r="M46" i="12"/>
  <c r="I35" i="8" s="1"/>
  <c r="M50" i="12"/>
  <c r="I39" i="8" s="1"/>
  <c r="M56" i="12"/>
  <c r="I45" i="8" s="1"/>
  <c r="M64" i="12"/>
  <c r="I53" i="8" s="1"/>
  <c r="M54" i="12"/>
  <c r="I43" i="8" s="1"/>
  <c r="M58" i="12"/>
  <c r="I47" i="8" s="1"/>
  <c r="M52" i="12"/>
  <c r="I41" i="8" s="1"/>
  <c r="AB51" i="12"/>
  <c r="X40" i="8" s="1"/>
  <c r="AB53" i="12"/>
  <c r="X42" i="8" s="1"/>
  <c r="AB47" i="12"/>
  <c r="X36" i="8" s="1"/>
  <c r="AB55" i="12"/>
  <c r="X44" i="8" s="1"/>
  <c r="AB59" i="12"/>
  <c r="X48" i="8" s="1"/>
  <c r="AB49" i="12"/>
  <c r="X38" i="8" s="1"/>
  <c r="AB69" i="12"/>
  <c r="X58" i="8" s="1"/>
  <c r="AB71" i="12"/>
  <c r="X60" i="8" s="1"/>
  <c r="AB48" i="12"/>
  <c r="X37" i="8" s="1"/>
  <c r="AB57" i="12"/>
  <c r="X46" i="8" s="1"/>
  <c r="AB63" i="12"/>
  <c r="X52" i="8" s="1"/>
  <c r="AB52" i="12"/>
  <c r="X41" i="8" s="1"/>
  <c r="AB65" i="12"/>
  <c r="X54" i="8" s="1"/>
  <c r="AB67" i="12"/>
  <c r="X56" i="8" s="1"/>
  <c r="AB73" i="12"/>
  <c r="X62" i="8" s="1"/>
  <c r="AB61" i="12"/>
  <c r="X50" i="8" s="1"/>
  <c r="AB50" i="12"/>
  <c r="X39" i="8" s="1"/>
  <c r="AB64" i="12"/>
  <c r="X53" i="8" s="1"/>
  <c r="AB66" i="12"/>
  <c r="X55" i="8" s="1"/>
  <c r="AB70" i="12"/>
  <c r="X59" i="8" s="1"/>
  <c r="AB46" i="12"/>
  <c r="X35" i="8" s="1"/>
  <c r="AB54" i="12"/>
  <c r="X43" i="8" s="1"/>
  <c r="AB58" i="12"/>
  <c r="X47" i="8" s="1"/>
  <c r="AB56" i="12"/>
  <c r="X45" i="8" s="1"/>
  <c r="AB60" i="12"/>
  <c r="X49" i="8" s="1"/>
  <c r="AB62" i="12"/>
  <c r="X51" i="8" s="1"/>
  <c r="AQ49" i="12"/>
  <c r="AM38" i="8" s="1"/>
  <c r="AQ51" i="12"/>
  <c r="AM40" i="8" s="1"/>
  <c r="AQ53" i="12"/>
  <c r="AM42" i="8" s="1"/>
  <c r="AQ57" i="12"/>
  <c r="AM46" i="8" s="1"/>
  <c r="AQ59" i="12"/>
  <c r="AM48" i="8" s="1"/>
  <c r="AQ63" i="12"/>
  <c r="AM52" i="8" s="1"/>
  <c r="AQ47" i="12"/>
  <c r="AM36" i="8" s="1"/>
  <c r="AQ55" i="12"/>
  <c r="AM44" i="8" s="1"/>
  <c r="AQ73" i="12"/>
  <c r="AM62" i="8" s="1"/>
  <c r="AQ48" i="12"/>
  <c r="AM37" i="8" s="1"/>
  <c r="AQ61" i="12"/>
  <c r="AM50" i="8" s="1"/>
  <c r="AQ46" i="12"/>
  <c r="AM35" i="8" s="1"/>
  <c r="AQ50" i="12"/>
  <c r="AM39" i="8" s="1"/>
  <c r="AQ67" i="12"/>
  <c r="AM56" i="8" s="1"/>
  <c r="AQ71" i="12"/>
  <c r="AM60" i="8" s="1"/>
  <c r="AQ54" i="12"/>
  <c r="AM43" i="8" s="1"/>
  <c r="AQ65" i="12"/>
  <c r="AM54" i="8" s="1"/>
  <c r="AQ69" i="12"/>
  <c r="AM58" i="8" s="1"/>
  <c r="AQ56" i="12"/>
  <c r="AM45" i="8" s="1"/>
  <c r="AQ70" i="12"/>
  <c r="AM59" i="8" s="1"/>
  <c r="AQ52" i="12"/>
  <c r="AM41" i="8" s="1"/>
  <c r="AQ58" i="12"/>
  <c r="AM47" i="8" s="1"/>
  <c r="AQ60" i="12"/>
  <c r="AM49" i="8" s="1"/>
  <c r="BN51" i="12"/>
  <c r="BJ40" i="8" s="1"/>
  <c r="BN59" i="12"/>
  <c r="BJ48" i="8" s="1"/>
  <c r="BN61" i="12"/>
  <c r="BJ50" i="8" s="1"/>
  <c r="BN47" i="12"/>
  <c r="BJ36" i="8" s="1"/>
  <c r="BN49" i="12"/>
  <c r="BJ38" i="8" s="1"/>
  <c r="BN57" i="12"/>
  <c r="BJ46" i="8" s="1"/>
  <c r="BN53" i="12"/>
  <c r="BJ42" i="8" s="1"/>
  <c r="BN55" i="12"/>
  <c r="BJ44" i="8" s="1"/>
  <c r="BN65" i="12"/>
  <c r="BJ54" i="8" s="1"/>
  <c r="BN46" i="12"/>
  <c r="BJ35" i="8" s="1"/>
  <c r="BN48" i="12"/>
  <c r="BJ37" i="8" s="1"/>
  <c r="BN69" i="12"/>
  <c r="BJ58" i="8" s="1"/>
  <c r="BN67" i="12"/>
  <c r="BJ56" i="8" s="1"/>
  <c r="BN73" i="12"/>
  <c r="BJ62" i="8" s="1"/>
  <c r="BN63" i="12"/>
  <c r="BJ52" i="8" s="1"/>
  <c r="BN71" i="12"/>
  <c r="BJ60" i="8" s="1"/>
  <c r="BN52" i="12"/>
  <c r="BJ41" i="8" s="1"/>
  <c r="BN54" i="12"/>
  <c r="BJ43" i="8" s="1"/>
  <c r="BN58" i="12"/>
  <c r="BJ47" i="8" s="1"/>
  <c r="BN56" i="12"/>
  <c r="BJ45" i="8" s="1"/>
  <c r="BN50" i="12"/>
  <c r="BJ39" i="8" s="1"/>
  <c r="BN60" i="12"/>
  <c r="BJ49" i="8" s="1"/>
  <c r="BN62" i="12"/>
  <c r="BJ51" i="8" s="1"/>
  <c r="BM51" i="12"/>
  <c r="BI40" i="8" s="1"/>
  <c r="BM61" i="12"/>
  <c r="BI50" i="8" s="1"/>
  <c r="BM47" i="12"/>
  <c r="BI36" i="8" s="1"/>
  <c r="BM63" i="12"/>
  <c r="BI52" i="8" s="1"/>
  <c r="BM53" i="12"/>
  <c r="BI42" i="8" s="1"/>
  <c r="BM57" i="12"/>
  <c r="BI46" i="8" s="1"/>
  <c r="BM49" i="12"/>
  <c r="BI38" i="8" s="1"/>
  <c r="BM55" i="12"/>
  <c r="BI44" i="8" s="1"/>
  <c r="BM59" i="12"/>
  <c r="BI48" i="8" s="1"/>
  <c r="BM67" i="12"/>
  <c r="BI56" i="8" s="1"/>
  <c r="BM73" i="12"/>
  <c r="BI62" i="8" s="1"/>
  <c r="BM46" i="12"/>
  <c r="BI35" i="8" s="1"/>
  <c r="BM69" i="12"/>
  <c r="BI58" i="8" s="1"/>
  <c r="BM65" i="12"/>
  <c r="BI54" i="8" s="1"/>
  <c r="BM71" i="12"/>
  <c r="BI60" i="8" s="1"/>
  <c r="BM48" i="12"/>
  <c r="BI37" i="8" s="1"/>
  <c r="BM64" i="12"/>
  <c r="BI53" i="8" s="1"/>
  <c r="BM56" i="12"/>
  <c r="BI45" i="8" s="1"/>
  <c r="BM58" i="12"/>
  <c r="BI47" i="8" s="1"/>
  <c r="BM60" i="12"/>
  <c r="BI49" i="8" s="1"/>
  <c r="BM50" i="12"/>
  <c r="BI39" i="8" s="1"/>
  <c r="BM52" i="12"/>
  <c r="BI41" i="8" s="1"/>
  <c r="BM54" i="12"/>
  <c r="BI43" i="8" s="1"/>
  <c r="BM62" i="12"/>
  <c r="BI51" i="8" s="1"/>
  <c r="BL47" i="12"/>
  <c r="BH36" i="8" s="1"/>
  <c r="BL59" i="12"/>
  <c r="BH48" i="8" s="1"/>
  <c r="BL67" i="12"/>
  <c r="BH56" i="8" s="1"/>
  <c r="BL53" i="12"/>
  <c r="BH42" i="8" s="1"/>
  <c r="BL55" i="12"/>
  <c r="BH44" i="8" s="1"/>
  <c r="BL57" i="12"/>
  <c r="BH46" i="8" s="1"/>
  <c r="BL51" i="12"/>
  <c r="BH40" i="8" s="1"/>
  <c r="BL61" i="12"/>
  <c r="BH50" i="8" s="1"/>
  <c r="BL63" i="12"/>
  <c r="BH52" i="8" s="1"/>
  <c r="BL48" i="12"/>
  <c r="BH37" i="8" s="1"/>
  <c r="BL46" i="12"/>
  <c r="BH35" i="8" s="1"/>
  <c r="BL69" i="12"/>
  <c r="BH58" i="8" s="1"/>
  <c r="BL71" i="12"/>
  <c r="BH60" i="8" s="1"/>
  <c r="BL49" i="12"/>
  <c r="BH38" i="8" s="1"/>
  <c r="BL65" i="12"/>
  <c r="BH54" i="8" s="1"/>
  <c r="BL73" i="12"/>
  <c r="BH62" i="8" s="1"/>
  <c r="BL60" i="12"/>
  <c r="BH49" i="8" s="1"/>
  <c r="BL62" i="12"/>
  <c r="BH51" i="8" s="1"/>
  <c r="BL64" i="12"/>
  <c r="BH53" i="8" s="1"/>
  <c r="BL66" i="12"/>
  <c r="BH55" i="8" s="1"/>
  <c r="BL54" i="12"/>
  <c r="BH43" i="8" s="1"/>
  <c r="BL68" i="12"/>
  <c r="BH57" i="8" s="1"/>
  <c r="BL52" i="12"/>
  <c r="BH41" i="8" s="1"/>
  <c r="BL50" i="12"/>
  <c r="BH39" i="8" s="1"/>
  <c r="BL56" i="12"/>
  <c r="BH45" i="8" s="1"/>
  <c r="BL58" i="12"/>
  <c r="BH47" i="8" s="1"/>
  <c r="BK49" i="12"/>
  <c r="BG38" i="8" s="1"/>
  <c r="BK53" i="12"/>
  <c r="BG42" i="8" s="1"/>
  <c r="BK57" i="12"/>
  <c r="BG46" i="8" s="1"/>
  <c r="BK61" i="12"/>
  <c r="BG50" i="8" s="1"/>
  <c r="BK51" i="12"/>
  <c r="BG40" i="8" s="1"/>
  <c r="BK59" i="12"/>
  <c r="BG48" i="8" s="1"/>
  <c r="BK63" i="12"/>
  <c r="BG52" i="8" s="1"/>
  <c r="BK47" i="12"/>
  <c r="BG36" i="8" s="1"/>
  <c r="BK55" i="12"/>
  <c r="BG44" i="8" s="1"/>
  <c r="BK65" i="12"/>
  <c r="BG54" i="8" s="1"/>
  <c r="BK67" i="12"/>
  <c r="BG56" i="8" s="1"/>
  <c r="BK48" i="12"/>
  <c r="BG37" i="8" s="1"/>
  <c r="BK71" i="12"/>
  <c r="BG60" i="8" s="1"/>
  <c r="BK73" i="12"/>
  <c r="BG62" i="8" s="1"/>
  <c r="BK69" i="12"/>
  <c r="BG58" i="8" s="1"/>
  <c r="BK46" i="12"/>
  <c r="BG35" i="8" s="1"/>
  <c r="BK50" i="12"/>
  <c r="BG39" i="8" s="1"/>
  <c r="BK56" i="12"/>
  <c r="BG45" i="8" s="1"/>
  <c r="BK54" i="12"/>
  <c r="BG43" i="8" s="1"/>
  <c r="BK52" i="12"/>
  <c r="BG41" i="8" s="1"/>
  <c r="BK62" i="12"/>
  <c r="BG51" i="8" s="1"/>
  <c r="BK58" i="12"/>
  <c r="BG47" i="8" s="1"/>
  <c r="BK60" i="12"/>
  <c r="BG49" i="8" s="1"/>
  <c r="BK66" i="12"/>
  <c r="BG55" i="8" s="1"/>
  <c r="BK68" i="12"/>
  <c r="BG57" i="8" s="1"/>
  <c r="BK70" i="12"/>
  <c r="BG59" i="8" s="1"/>
  <c r="AH74" i="12"/>
  <c r="AD63" i="8" s="1"/>
  <c r="AD74" i="12"/>
  <c r="Z63" i="8" s="1"/>
  <c r="BN74" i="12"/>
  <c r="BJ63" i="8" s="1"/>
  <c r="H74" i="12"/>
  <c r="D63" i="8" s="1"/>
  <c r="AO74" i="12"/>
  <c r="AK63" i="8" s="1"/>
  <c r="AM74" i="12"/>
  <c r="AI63" i="8" s="1"/>
  <c r="AV74" i="12"/>
  <c r="AR63" i="8" s="1"/>
  <c r="N72" i="12"/>
  <c r="J61" i="8" s="1"/>
  <c r="Q72" i="12"/>
  <c r="M61" i="8" s="1"/>
  <c r="M72" i="12"/>
  <c r="I61" i="8" s="1"/>
  <c r="AB72" i="12"/>
  <c r="X61" i="8" s="1"/>
  <c r="AQ72" i="12"/>
  <c r="AM61" i="8" s="1"/>
  <c r="BK72" i="12"/>
  <c r="BG61" i="8" s="1"/>
  <c r="V70" i="12"/>
  <c r="R59" i="8" s="1"/>
  <c r="AK70" i="12"/>
  <c r="AG59" i="8" s="1"/>
  <c r="BM70" i="12"/>
  <c r="BI59" i="8" s="1"/>
  <c r="L70" i="12"/>
  <c r="H59" i="8" s="1"/>
  <c r="AZ70" i="12"/>
  <c r="AV59" i="8" s="1"/>
  <c r="G68" i="12"/>
  <c r="C57" i="8" s="1"/>
  <c r="AE68" i="12"/>
  <c r="AA57" i="8" s="1"/>
  <c r="M68" i="12"/>
  <c r="I57" i="8" s="1"/>
  <c r="Y68" i="12"/>
  <c r="U57" i="8" s="1"/>
  <c r="AQ68" i="12"/>
  <c r="AM57" i="8" s="1"/>
  <c r="BJ68" i="12"/>
  <c r="BF57" i="8" s="1"/>
  <c r="J66" i="12"/>
  <c r="F55" i="8" s="1"/>
  <c r="L66" i="12"/>
  <c r="H55" i="8" s="1"/>
  <c r="Y66" i="12"/>
  <c r="U55" i="8" s="1"/>
  <c r="AQ66" i="12"/>
  <c r="AM55" i="8" s="1"/>
  <c r="BN66" i="12"/>
  <c r="BJ55" i="8" s="1"/>
  <c r="AL64" i="12"/>
  <c r="AH53" i="8" s="1"/>
  <c r="BJ64" i="12"/>
  <c r="BF53" i="8" s="1"/>
  <c r="AD62" i="12"/>
  <c r="Z51" i="8" s="1"/>
  <c r="AJ62" i="12"/>
  <c r="AF51" i="8" s="1"/>
  <c r="AL60" i="12"/>
  <c r="AH49" i="8" s="1"/>
  <c r="M60" i="12"/>
  <c r="I49" i="8" s="1"/>
  <c r="BQ53" i="12"/>
  <c r="BM42" i="8" s="1"/>
  <c r="BQ65" i="12"/>
  <c r="BM54" i="8" s="1"/>
  <c r="BQ47" i="12"/>
  <c r="BM36" i="8" s="1"/>
  <c r="BQ57" i="12"/>
  <c r="BM46" i="8" s="1"/>
  <c r="BQ55" i="12"/>
  <c r="BM44" i="8" s="1"/>
  <c r="BQ59" i="12"/>
  <c r="BM48" i="8" s="1"/>
  <c r="BQ49" i="12"/>
  <c r="BM38" i="8" s="1"/>
  <c r="BQ51" i="12"/>
  <c r="BM40" i="8" s="1"/>
  <c r="BQ73" i="12"/>
  <c r="BM62" i="8" s="1"/>
  <c r="BQ71" i="12"/>
  <c r="BM60" i="8" s="1"/>
  <c r="BQ52" i="12"/>
  <c r="BM41" i="8" s="1"/>
  <c r="BQ61" i="12"/>
  <c r="BM50" i="8" s="1"/>
  <c r="BQ67" i="12"/>
  <c r="BM56" i="8" s="1"/>
  <c r="BQ63" i="12"/>
  <c r="BM52" i="8" s="1"/>
  <c r="BQ69" i="12"/>
  <c r="BM58" i="8" s="1"/>
  <c r="BQ46" i="12"/>
  <c r="BM35" i="8" s="1"/>
  <c r="BQ56" i="12"/>
  <c r="BM45" i="8" s="1"/>
  <c r="BQ48" i="12"/>
  <c r="BM37" i="8" s="1"/>
  <c r="BQ54" i="12"/>
  <c r="BM43" i="8" s="1"/>
  <c r="BQ62" i="12"/>
  <c r="BM51" i="8" s="1"/>
  <c r="BQ66" i="12"/>
  <c r="BM55" i="8" s="1"/>
  <c r="BQ58" i="12"/>
  <c r="BM47" i="8" s="1"/>
  <c r="BQ64" i="12"/>
  <c r="BM53" i="8" s="1"/>
  <c r="BQ50" i="12"/>
  <c r="BM39" i="8" s="1"/>
  <c r="BR53" i="12"/>
  <c r="BN42" i="8" s="1"/>
  <c r="BR67" i="12"/>
  <c r="BN56" i="8" s="1"/>
  <c r="BR49" i="12"/>
  <c r="BN38" i="8" s="1"/>
  <c r="BR57" i="12"/>
  <c r="BN46" i="8" s="1"/>
  <c r="BR61" i="12"/>
  <c r="BN50" i="8" s="1"/>
  <c r="BR47" i="12"/>
  <c r="BN36" i="8" s="1"/>
  <c r="BR59" i="12"/>
  <c r="BN48" i="8" s="1"/>
  <c r="BR55" i="12"/>
  <c r="BN44" i="8" s="1"/>
  <c r="BR63" i="12"/>
  <c r="BN52" i="8" s="1"/>
  <c r="BR69" i="12"/>
  <c r="BN58" i="8" s="1"/>
  <c r="BR73" i="12"/>
  <c r="BN62" i="8" s="1"/>
  <c r="BR46" i="12"/>
  <c r="BN35" i="8" s="1"/>
  <c r="BR71" i="12"/>
  <c r="BN60" i="8" s="1"/>
  <c r="BR48" i="12"/>
  <c r="BN37" i="8" s="1"/>
  <c r="BR51" i="12"/>
  <c r="BN40" i="8" s="1"/>
  <c r="BR65" i="12"/>
  <c r="BN54" i="8" s="1"/>
  <c r="BR50" i="12"/>
  <c r="BN39" i="8" s="1"/>
  <c r="BR52" i="12"/>
  <c r="BN41" i="8" s="1"/>
  <c r="BR54" i="12"/>
  <c r="BN43" i="8" s="1"/>
  <c r="BR56" i="12"/>
  <c r="BN45" i="8" s="1"/>
  <c r="BR62" i="12"/>
  <c r="BN51" i="8" s="1"/>
  <c r="BR64" i="12"/>
  <c r="BN53" i="8" s="1"/>
  <c r="BR58" i="12"/>
  <c r="BN47" i="8" s="1"/>
  <c r="BR68" i="12"/>
  <c r="BN57" i="8" s="1"/>
  <c r="T51" i="12"/>
  <c r="P40" i="8" s="1"/>
  <c r="T49" i="12"/>
  <c r="P38" i="8" s="1"/>
  <c r="T61" i="12"/>
  <c r="P50" i="8" s="1"/>
  <c r="T57" i="12"/>
  <c r="P46" i="8" s="1"/>
  <c r="T55" i="12"/>
  <c r="P44" i="8" s="1"/>
  <c r="T59" i="12"/>
  <c r="P48" i="8" s="1"/>
  <c r="T53" i="12"/>
  <c r="P42" i="8" s="1"/>
  <c r="T63" i="12"/>
  <c r="P52" i="8" s="1"/>
  <c r="T69" i="12"/>
  <c r="P58" i="8" s="1"/>
  <c r="T73" i="12"/>
  <c r="P62" i="8" s="1"/>
  <c r="T46" i="12"/>
  <c r="P35" i="8" s="1"/>
  <c r="T71" i="12"/>
  <c r="P60" i="8" s="1"/>
  <c r="T50" i="12"/>
  <c r="P39" i="8" s="1"/>
  <c r="T47" i="12"/>
  <c r="P36" i="8" s="1"/>
  <c r="T65" i="12"/>
  <c r="P54" i="8" s="1"/>
  <c r="T67" i="12"/>
  <c r="P56" i="8" s="1"/>
  <c r="T62" i="12"/>
  <c r="P51" i="8" s="1"/>
  <c r="T52" i="12"/>
  <c r="P41" i="8" s="1"/>
  <c r="T54" i="12"/>
  <c r="P43" i="8" s="1"/>
  <c r="T58" i="12"/>
  <c r="P47" i="8" s="1"/>
  <c r="T56" i="12"/>
  <c r="P45" i="8" s="1"/>
  <c r="T48" i="12"/>
  <c r="P37" i="8" s="1"/>
  <c r="T66" i="12"/>
  <c r="P55" i="8" s="1"/>
  <c r="AI49" i="12"/>
  <c r="AE38" i="8" s="1"/>
  <c r="AI53" i="12"/>
  <c r="AE42" i="8" s="1"/>
  <c r="AI57" i="12"/>
  <c r="AE46" i="8" s="1"/>
  <c r="AI59" i="12"/>
  <c r="AE48" i="8" s="1"/>
  <c r="AI51" i="12"/>
  <c r="AE40" i="8" s="1"/>
  <c r="AI55" i="12"/>
  <c r="AE44" i="8" s="1"/>
  <c r="AI61" i="12"/>
  <c r="AE50" i="8" s="1"/>
  <c r="AI47" i="12"/>
  <c r="AE36" i="8" s="1"/>
  <c r="AI65" i="12"/>
  <c r="AE54" i="8" s="1"/>
  <c r="AI46" i="12"/>
  <c r="AE35" i="8" s="1"/>
  <c r="AI63" i="12"/>
  <c r="AE52" i="8" s="1"/>
  <c r="AI67" i="12"/>
  <c r="AE56" i="8" s="1"/>
  <c r="AI73" i="12"/>
  <c r="AE62" i="8" s="1"/>
  <c r="AI48" i="12"/>
  <c r="AE37" i="8" s="1"/>
  <c r="AI69" i="12"/>
  <c r="AE58" i="8" s="1"/>
  <c r="AI71" i="12"/>
  <c r="AE60" i="8" s="1"/>
  <c r="AI54" i="12"/>
  <c r="AE43" i="8" s="1"/>
  <c r="AI56" i="12"/>
  <c r="AE45" i="8" s="1"/>
  <c r="AI50" i="12"/>
  <c r="AE39" i="8" s="1"/>
  <c r="AI62" i="12"/>
  <c r="AE51" i="8" s="1"/>
  <c r="AI70" i="12"/>
  <c r="AE59" i="8" s="1"/>
  <c r="AI52" i="12"/>
  <c r="AE41" i="8" s="1"/>
  <c r="AI58" i="12"/>
  <c r="AE47" i="8" s="1"/>
  <c r="AI60" i="12"/>
  <c r="AE49" i="8" s="1"/>
  <c r="AI68" i="12"/>
  <c r="AE57" i="8" s="1"/>
  <c r="BF63" i="12"/>
  <c r="BB52" i="8" s="1"/>
  <c r="BF47" i="12"/>
  <c r="BB36" i="8" s="1"/>
  <c r="BF51" i="12"/>
  <c r="BB40" i="8" s="1"/>
  <c r="BF53" i="12"/>
  <c r="BB42" i="8" s="1"/>
  <c r="BF59" i="12"/>
  <c r="BB48" i="8" s="1"/>
  <c r="BF55" i="12"/>
  <c r="BB44" i="8" s="1"/>
  <c r="BF65" i="12"/>
  <c r="BB54" i="8" s="1"/>
  <c r="BF49" i="12"/>
  <c r="BB38" i="8" s="1"/>
  <c r="BF61" i="12"/>
  <c r="BB50" i="8" s="1"/>
  <c r="BF50" i="12"/>
  <c r="BB39" i="8" s="1"/>
  <c r="BF69" i="12"/>
  <c r="BB58" i="8" s="1"/>
  <c r="BF71" i="12"/>
  <c r="BB60" i="8" s="1"/>
  <c r="BF48" i="12"/>
  <c r="BB37" i="8" s="1"/>
  <c r="BF73" i="12"/>
  <c r="BB62" i="8" s="1"/>
  <c r="BF57" i="12"/>
  <c r="BB46" i="8" s="1"/>
  <c r="BF46" i="12"/>
  <c r="BB35" i="8" s="1"/>
  <c r="BF67" i="12"/>
  <c r="BB56" i="8" s="1"/>
  <c r="BF62" i="12"/>
  <c r="BB51" i="8" s="1"/>
  <c r="BF66" i="12"/>
  <c r="BB55" i="8" s="1"/>
  <c r="BF52" i="12"/>
  <c r="BB41" i="8" s="1"/>
  <c r="BF56" i="12"/>
  <c r="BB45" i="8" s="1"/>
  <c r="BF58" i="12"/>
  <c r="BB47" i="8" s="1"/>
  <c r="BF60" i="12"/>
  <c r="BB49" i="8" s="1"/>
  <c r="BF64" i="12"/>
  <c r="BB53" i="8" s="1"/>
  <c r="BF54" i="12"/>
  <c r="BB43" i="8" s="1"/>
  <c r="BE61" i="12"/>
  <c r="BA50" i="8" s="1"/>
  <c r="BE47" i="12"/>
  <c r="BA36" i="8" s="1"/>
  <c r="BE51" i="12"/>
  <c r="BA40" i="8" s="1"/>
  <c r="BE55" i="12"/>
  <c r="BA44" i="8" s="1"/>
  <c r="BE49" i="12"/>
  <c r="BA38" i="8" s="1"/>
  <c r="BE53" i="12"/>
  <c r="BA42" i="8" s="1"/>
  <c r="BE57" i="12"/>
  <c r="BA46" i="8" s="1"/>
  <c r="BE48" i="12"/>
  <c r="BA37" i="8" s="1"/>
  <c r="BE71" i="12"/>
  <c r="BA60" i="8" s="1"/>
  <c r="BE59" i="12"/>
  <c r="BA48" i="8" s="1"/>
  <c r="BE65" i="12"/>
  <c r="BA54" i="8" s="1"/>
  <c r="BE73" i="12"/>
  <c r="BA62" i="8" s="1"/>
  <c r="BE63" i="12"/>
  <c r="BA52" i="8" s="1"/>
  <c r="BE67" i="12"/>
  <c r="BA56" i="8" s="1"/>
  <c r="BE69" i="12"/>
  <c r="BA58" i="8" s="1"/>
  <c r="BE50" i="12"/>
  <c r="BA39" i="8" s="1"/>
  <c r="BE54" i="12"/>
  <c r="BA43" i="8" s="1"/>
  <c r="BE58" i="12"/>
  <c r="BA47" i="8" s="1"/>
  <c r="BE60" i="12"/>
  <c r="BA49" i="8" s="1"/>
  <c r="BE64" i="12"/>
  <c r="BA53" i="8" s="1"/>
  <c r="BE62" i="12"/>
  <c r="BA51" i="8" s="1"/>
  <c r="BE56" i="12"/>
  <c r="BA45" i="8" s="1"/>
  <c r="BE46" i="12"/>
  <c r="BA35" i="8" s="1"/>
  <c r="BE52" i="12"/>
  <c r="BA41" i="8" s="1"/>
  <c r="BE70" i="12"/>
  <c r="BA59" i="8" s="1"/>
  <c r="BD55" i="12"/>
  <c r="AZ44" i="8" s="1"/>
  <c r="BD57" i="12"/>
  <c r="AZ46" i="8" s="1"/>
  <c r="BD51" i="12"/>
  <c r="AZ40" i="8" s="1"/>
  <c r="BD47" i="12"/>
  <c r="AZ36" i="8" s="1"/>
  <c r="BD49" i="12"/>
  <c r="AZ38" i="8" s="1"/>
  <c r="BD53" i="12"/>
  <c r="AZ42" i="8" s="1"/>
  <c r="BD59" i="12"/>
  <c r="AZ48" i="8" s="1"/>
  <c r="BD67" i="12"/>
  <c r="AZ56" i="8" s="1"/>
  <c r="BD46" i="12"/>
  <c r="AZ35" i="8" s="1"/>
  <c r="BD48" i="12"/>
  <c r="AZ37" i="8" s="1"/>
  <c r="BD73" i="12"/>
  <c r="AZ62" i="8" s="1"/>
  <c r="BD61" i="12"/>
  <c r="AZ50" i="8" s="1"/>
  <c r="BD65" i="12"/>
  <c r="AZ54" i="8" s="1"/>
  <c r="BD69" i="12"/>
  <c r="AZ58" i="8" s="1"/>
  <c r="BD71" i="12"/>
  <c r="AZ60" i="8" s="1"/>
  <c r="BD50" i="12"/>
  <c r="AZ39" i="8" s="1"/>
  <c r="BD52" i="12"/>
  <c r="AZ41" i="8" s="1"/>
  <c r="BD63" i="12"/>
  <c r="AZ52" i="8" s="1"/>
  <c r="BD54" i="12"/>
  <c r="AZ43" i="8" s="1"/>
  <c r="BD56" i="12"/>
  <c r="AZ45" i="8" s="1"/>
  <c r="BD62" i="12"/>
  <c r="AZ51" i="8" s="1"/>
  <c r="BD66" i="12"/>
  <c r="AZ55" i="8" s="1"/>
  <c r="BD58" i="12"/>
  <c r="AZ47" i="8" s="1"/>
  <c r="BD64" i="12"/>
  <c r="AZ53" i="8" s="1"/>
  <c r="BC49" i="12"/>
  <c r="AY38" i="8" s="1"/>
  <c r="BC51" i="12"/>
  <c r="AY40" i="8" s="1"/>
  <c r="BC59" i="12"/>
  <c r="AY48" i="8" s="1"/>
  <c r="BC63" i="12"/>
  <c r="AY52" i="8" s="1"/>
  <c r="BC65" i="12"/>
  <c r="AY54" i="8" s="1"/>
  <c r="BC67" i="12"/>
  <c r="AY56" i="8" s="1"/>
  <c r="BC47" i="12"/>
  <c r="AY36" i="8" s="1"/>
  <c r="BC55" i="12"/>
  <c r="AY44" i="8" s="1"/>
  <c r="BC57" i="12"/>
  <c r="AY46" i="8" s="1"/>
  <c r="BC61" i="12"/>
  <c r="AY50" i="8" s="1"/>
  <c r="BC53" i="12"/>
  <c r="AY42" i="8" s="1"/>
  <c r="BC69" i="12"/>
  <c r="AY58" i="8" s="1"/>
  <c r="BC48" i="12"/>
  <c r="AY37" i="8" s="1"/>
  <c r="BC73" i="12"/>
  <c r="AY62" i="8" s="1"/>
  <c r="BC71" i="12"/>
  <c r="AY60" i="8" s="1"/>
  <c r="BC50" i="12"/>
  <c r="AY39" i="8" s="1"/>
  <c r="BC54" i="12"/>
  <c r="AY43" i="8" s="1"/>
  <c r="BC60" i="12"/>
  <c r="AY49" i="8" s="1"/>
  <c r="BC62" i="12"/>
  <c r="AY51" i="8" s="1"/>
  <c r="BC56" i="12"/>
  <c r="AY45" i="8" s="1"/>
  <c r="BC46" i="12"/>
  <c r="AY35" i="8" s="1"/>
  <c r="BC52" i="12"/>
  <c r="AY41" i="8" s="1"/>
  <c r="BC58" i="12"/>
  <c r="AY47" i="8" s="1"/>
  <c r="BC64" i="12"/>
  <c r="AY53" i="8" s="1"/>
  <c r="BE74" i="12"/>
  <c r="BA63" i="8" s="1"/>
  <c r="BO74" i="12"/>
  <c r="BK63" i="8" s="1"/>
  <c r="K72" i="12"/>
  <c r="G61" i="8" s="1"/>
  <c r="L72" i="12"/>
  <c r="H61" i="8" s="1"/>
  <c r="AZ72" i="12"/>
  <c r="AV61" i="8" s="1"/>
  <c r="BC72" i="12"/>
  <c r="AY61" i="8" s="1"/>
  <c r="BB72" i="12"/>
  <c r="AX61" i="8" s="1"/>
  <c r="Z70" i="12"/>
  <c r="V59" i="8" s="1"/>
  <c r="G70" i="12"/>
  <c r="C59" i="8" s="1"/>
  <c r="X70" i="12"/>
  <c r="T59" i="8" s="1"/>
  <c r="S70" i="12"/>
  <c r="O59" i="8" s="1"/>
  <c r="BP70" i="12"/>
  <c r="BL59" i="8" s="1"/>
  <c r="AY70" i="12"/>
  <c r="AU59" i="8" s="1"/>
  <c r="O68" i="12"/>
  <c r="K57" i="8" s="1"/>
  <c r="AK68" i="12"/>
  <c r="AG57" i="8" s="1"/>
  <c r="BG68" i="12"/>
  <c r="BC57" i="8" s="1"/>
  <c r="AB68" i="12"/>
  <c r="X57" i="8" s="1"/>
  <c r="BP68" i="12"/>
  <c r="BL57" i="8" s="1"/>
  <c r="AN68" i="12"/>
  <c r="AJ57" i="8" s="1"/>
  <c r="V66" i="12"/>
  <c r="R55" i="8" s="1"/>
  <c r="AL66" i="12"/>
  <c r="AH55" i="8" s="1"/>
  <c r="AK66" i="12"/>
  <c r="AG55" i="8" s="1"/>
  <c r="AA66" i="12"/>
  <c r="W55" i="8" s="1"/>
  <c r="BM66" i="12"/>
  <c r="BI55" i="8" s="1"/>
  <c r="Q64" i="12"/>
  <c r="M53" i="8" s="1"/>
  <c r="BH64" i="12"/>
  <c r="BD53" i="8" s="1"/>
  <c r="AH62" i="12"/>
  <c r="AD51" i="8" s="1"/>
  <c r="AT62" i="12"/>
  <c r="AP51" i="8" s="1"/>
  <c r="Y60" i="12"/>
  <c r="U49" i="8" s="1"/>
  <c r="BJ60" i="12"/>
  <c r="BF49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H29" i="8"/>
  <c r="AB29" i="8"/>
  <c r="AB31" i="8"/>
  <c r="AH28" i="8"/>
  <c r="AH30" i="8"/>
  <c r="AH12" i="8"/>
  <c r="AH16" i="8"/>
  <c r="AH15" i="8"/>
  <c r="AH9" i="8"/>
  <c r="Y28" i="8"/>
  <c r="O29" i="8"/>
  <c r="F30" i="8"/>
  <c r="AA28" i="8"/>
  <c r="Q29" i="8"/>
  <c r="Q31" i="8"/>
  <c r="G31" i="8"/>
  <c r="E28" i="8"/>
  <c r="E29" i="8"/>
  <c r="D29" i="8"/>
  <c r="T30" i="8"/>
  <c r="I31" i="8"/>
  <c r="AF31" i="8"/>
  <c r="Z28" i="8"/>
  <c r="Z31" i="8"/>
  <c r="X29" i="8"/>
  <c r="AD28" i="8"/>
  <c r="K28" i="8"/>
  <c r="K29" i="8"/>
  <c r="K30" i="8"/>
  <c r="R31" i="8"/>
  <c r="P28" i="8"/>
  <c r="AE31" i="8"/>
  <c r="AE28" i="8"/>
  <c r="V28" i="8"/>
  <c r="V29" i="8"/>
  <c r="V30" i="8"/>
  <c r="V31" i="8"/>
  <c r="AC30" i="8"/>
  <c r="AC31" i="8"/>
  <c r="L30" i="8"/>
  <c r="L31" i="8"/>
  <c r="E122" i="11"/>
  <c r="AM134" i="11"/>
  <c r="H132" i="11"/>
  <c r="AE131" i="11"/>
  <c r="BC130" i="11"/>
  <c r="BK134" i="11"/>
  <c r="AR130" i="11"/>
  <c r="AD134" i="11"/>
  <c r="BM129" i="11"/>
  <c r="BE133" i="11"/>
  <c r="BC128" i="11"/>
  <c r="X133" i="11"/>
  <c r="R127" i="11"/>
  <c r="AY132" i="11"/>
  <c r="BP122" i="11"/>
  <c r="Q132" i="11"/>
  <c r="BO135" i="11"/>
  <c r="BQ134" i="11"/>
  <c r="E134" i="11"/>
  <c r="G133" i="11"/>
  <c r="E132" i="11"/>
  <c r="AZ130" i="11"/>
  <c r="Y129" i="11"/>
  <c r="AT125" i="11"/>
  <c r="AH135" i="11"/>
  <c r="AJ134" i="11"/>
  <c r="AL133" i="11"/>
  <c r="AN132" i="11"/>
  <c r="AA131" i="11"/>
  <c r="H130" i="11"/>
  <c r="BQ127" i="11"/>
  <c r="BM135" i="11"/>
  <c r="BO134" i="11"/>
  <c r="BQ133" i="11"/>
  <c r="E133" i="11"/>
  <c r="BQ131" i="11"/>
  <c r="AW130" i="11"/>
  <c r="U129" i="11"/>
  <c r="AD125" i="11"/>
  <c r="AF135" i="11"/>
  <c r="AH134" i="11"/>
  <c r="AJ133" i="11"/>
  <c r="AL132" i="11"/>
  <c r="Y131" i="11"/>
  <c r="E130" i="11"/>
  <c r="BM127" i="11"/>
  <c r="BK135" i="11"/>
  <c r="BM134" i="11"/>
  <c r="BO133" i="11"/>
  <c r="BQ132" i="11"/>
  <c r="BN131" i="11"/>
  <c r="AU130" i="11"/>
  <c r="N129" i="11"/>
  <c r="N125" i="11"/>
  <c r="AL135" i="11"/>
  <c r="AN134" i="11"/>
  <c r="AP133" i="11"/>
  <c r="AR132" i="11"/>
  <c r="AG131" i="11"/>
  <c r="M130" i="11"/>
  <c r="O128" i="11"/>
  <c r="L122" i="11"/>
  <c r="BI125" i="11"/>
  <c r="BK124" i="11"/>
  <c r="BM123" i="11"/>
  <c r="BO122" i="11"/>
  <c r="N132" i="11"/>
  <c r="P131" i="11"/>
  <c r="R130" i="11"/>
  <c r="T129" i="11"/>
  <c r="V128" i="11"/>
  <c r="X127" i="11"/>
  <c r="Z126" i="11"/>
  <c r="AB125" i="11"/>
  <c r="AD124" i="11"/>
  <c r="AF123" i="11"/>
  <c r="AH122" i="11"/>
  <c r="BA128" i="11"/>
  <c r="BC127" i="11"/>
  <c r="BE126" i="11"/>
  <c r="BG125" i="11"/>
  <c r="BI124" i="11"/>
  <c r="BK123" i="11"/>
  <c r="BM122" i="11"/>
  <c r="BN129" i="11"/>
  <c r="BP128" i="11"/>
  <c r="AL134" i="11"/>
  <c r="AC129" i="11"/>
  <c r="K128" i="11"/>
  <c r="BJ125" i="11"/>
  <c r="AE134" i="11"/>
  <c r="BO129" i="11"/>
  <c r="BL133" i="11"/>
  <c r="F129" i="11"/>
  <c r="Y133" i="11"/>
  <c r="Y127" i="11"/>
  <c r="BF132" i="11"/>
  <c r="BF123" i="11"/>
  <c r="S132" i="11"/>
  <c r="AR135" i="11"/>
  <c r="AO131" i="11"/>
  <c r="BG135" i="11"/>
  <c r="BI134" i="11"/>
  <c r="BK133" i="11"/>
  <c r="BM132" i="11"/>
  <c r="BI131" i="11"/>
  <c r="AO130" i="11"/>
  <c r="E129" i="11"/>
  <c r="AV124" i="11"/>
  <c r="Z135" i="11"/>
  <c r="AB134" i="11"/>
  <c r="AD133" i="11"/>
  <c r="AF132" i="11"/>
  <c r="Q131" i="11"/>
  <c r="BJ129" i="11"/>
  <c r="AP127" i="11"/>
  <c r="BE135" i="11"/>
  <c r="BG134" i="11"/>
  <c r="BI133" i="11"/>
  <c r="BK132" i="11"/>
  <c r="BF131" i="11"/>
  <c r="AM130" i="11"/>
  <c r="BL128" i="11"/>
  <c r="AF124" i="11"/>
  <c r="X135" i="11"/>
  <c r="Z134" i="11"/>
  <c r="AB133" i="11"/>
  <c r="AD132" i="11"/>
  <c r="N131" i="11"/>
  <c r="BG129" i="11"/>
  <c r="AH127" i="11"/>
  <c r="BC135" i="11"/>
  <c r="BE134" i="11"/>
  <c r="BG133" i="11"/>
  <c r="BI132" i="11"/>
  <c r="BC131" i="11"/>
  <c r="AJ130" i="11"/>
  <c r="BG128" i="11"/>
  <c r="P124" i="11"/>
  <c r="AD135" i="11"/>
  <c r="AF134" i="11"/>
  <c r="AH133" i="11"/>
  <c r="AJ132" i="11"/>
  <c r="V131" i="11"/>
  <c r="BQ129" i="11"/>
  <c r="BF127" i="11"/>
  <c r="AY126" i="11"/>
  <c r="BA125" i="11"/>
  <c r="BC124" i="11"/>
  <c r="BE123" i="11"/>
  <c r="BG122" i="11"/>
  <c r="F132" i="11"/>
  <c r="H131" i="11"/>
  <c r="J130" i="11"/>
  <c r="L129" i="11"/>
  <c r="N128" i="11"/>
  <c r="P127" i="11"/>
  <c r="R126" i="11"/>
  <c r="T125" i="11"/>
  <c r="V124" i="11"/>
  <c r="X123" i="11"/>
  <c r="Z122" i="11"/>
  <c r="AS128" i="11"/>
  <c r="AU127" i="11"/>
  <c r="AW126" i="11"/>
  <c r="AY125" i="11"/>
  <c r="BA124" i="11"/>
  <c r="BC123" i="11"/>
  <c r="BE122" i="11"/>
  <c r="BF129" i="11"/>
  <c r="BH128" i="11"/>
  <c r="AQ132" i="11"/>
  <c r="BP135" i="11"/>
  <c r="AJ135" i="11"/>
  <c r="BR134" i="11"/>
  <c r="BM133" i="11"/>
  <c r="I129" i="11"/>
  <c r="AF133" i="11"/>
  <c r="AX127" i="11"/>
  <c r="BG132" i="11"/>
  <c r="BN123" i="11"/>
  <c r="Z132" i="11"/>
  <c r="AS135" i="11"/>
  <c r="AP131" i="11"/>
  <c r="L135" i="11"/>
  <c r="BL130" i="11"/>
  <c r="AY135" i="11"/>
  <c r="BA134" i="11"/>
  <c r="BC133" i="11"/>
  <c r="BE132" i="11"/>
  <c r="AX131" i="11"/>
  <c r="AE130" i="11"/>
  <c r="AV128" i="11"/>
  <c r="AX123" i="11"/>
  <c r="R135" i="11"/>
  <c r="T134" i="11"/>
  <c r="V133" i="11"/>
  <c r="X132" i="11"/>
  <c r="F131" i="11"/>
  <c r="AW129" i="11"/>
  <c r="J127" i="11"/>
  <c r="AW135" i="11"/>
  <c r="AY134" i="11"/>
  <c r="BA133" i="11"/>
  <c r="BC132" i="11"/>
  <c r="AU131" i="11"/>
  <c r="AB130" i="11"/>
  <c r="AQ128" i="11"/>
  <c r="AH123" i="11"/>
  <c r="P135" i="11"/>
  <c r="R134" i="11"/>
  <c r="T133" i="11"/>
  <c r="V132" i="11"/>
  <c r="BQ130" i="11"/>
  <c r="AT129" i="11"/>
  <c r="BP126" i="11"/>
  <c r="AU135" i="11"/>
  <c r="AW134" i="11"/>
  <c r="AY133" i="11"/>
  <c r="BA132" i="11"/>
  <c r="AS131" i="11"/>
  <c r="Y130" i="11"/>
  <c r="AM128" i="11"/>
  <c r="R123" i="11"/>
  <c r="V135" i="11"/>
  <c r="X134" i="11"/>
  <c r="Z133" i="11"/>
  <c r="AB132" i="11"/>
  <c r="K131" i="11"/>
  <c r="BC129" i="11"/>
  <c r="Z127" i="11"/>
  <c r="AQ126" i="11"/>
  <c r="AS125" i="11"/>
  <c r="AU124" i="11"/>
  <c r="AW123" i="11"/>
  <c r="AY122" i="11"/>
  <c r="BL131" i="11"/>
  <c r="BN130" i="11"/>
  <c r="BP129" i="11"/>
  <c r="BR128" i="11"/>
  <c r="F128" i="11"/>
  <c r="H127" i="11"/>
  <c r="J126" i="11"/>
  <c r="L125" i="11"/>
  <c r="N124" i="11"/>
  <c r="P123" i="11"/>
  <c r="R122" i="11"/>
  <c r="AK128" i="11"/>
  <c r="AM127" i="11"/>
  <c r="AO126" i="11"/>
  <c r="AQ125" i="11"/>
  <c r="AS124" i="11"/>
  <c r="AU123" i="11"/>
  <c r="AW122" i="11"/>
  <c r="AX129" i="11"/>
  <c r="AZ128" i="11"/>
  <c r="AP132" i="11"/>
  <c r="F134" i="11"/>
  <c r="AN133" i="11"/>
  <c r="H133" i="11"/>
  <c r="AG133" i="11"/>
  <c r="BE127" i="11"/>
  <c r="BN132" i="11"/>
  <c r="BD124" i="11"/>
  <c r="AA132" i="11"/>
  <c r="AZ135" i="11"/>
  <c r="AY131" i="11"/>
  <c r="M135" i="11"/>
  <c r="BM130" i="11"/>
  <c r="AT134" i="11"/>
  <c r="U130" i="11"/>
  <c r="AQ135" i="11"/>
  <c r="AS134" i="11"/>
  <c r="AU133" i="11"/>
  <c r="AW132" i="11"/>
  <c r="AM131" i="11"/>
  <c r="T130" i="11"/>
  <c r="AA128" i="11"/>
  <c r="AZ122" i="11"/>
  <c r="J135" i="11"/>
  <c r="L134" i="11"/>
  <c r="N133" i="11"/>
  <c r="O132" i="11"/>
  <c r="BI130" i="11"/>
  <c r="AK129" i="11"/>
  <c r="AJ126" i="11"/>
  <c r="AO135" i="11"/>
  <c r="AQ134" i="11"/>
  <c r="AS133" i="11"/>
  <c r="AU132" i="11"/>
  <c r="AK131" i="11"/>
  <c r="Q130" i="11"/>
  <c r="W128" i="11"/>
  <c r="AJ122" i="11"/>
  <c r="H135" i="11"/>
  <c r="J134" i="11"/>
  <c r="L133" i="11"/>
  <c r="L132" i="11"/>
  <c r="BG130" i="11"/>
  <c r="AG129" i="11"/>
  <c r="T126" i="11"/>
  <c r="AM135" i="11"/>
  <c r="AO134" i="11"/>
  <c r="AQ133" i="11"/>
  <c r="AS132" i="11"/>
  <c r="AH131" i="11"/>
  <c r="O130" i="11"/>
  <c r="P128" i="11"/>
  <c r="T122" i="11"/>
  <c r="N135" i="11"/>
  <c r="P134" i="11"/>
  <c r="R133" i="11"/>
  <c r="T132" i="11"/>
  <c r="BO130" i="11"/>
  <c r="AQ129" i="11"/>
  <c r="BH126" i="11"/>
  <c r="AI126" i="11"/>
  <c r="AK125" i="11"/>
  <c r="AM124" i="11"/>
  <c r="AO123" i="11"/>
  <c r="AQ122" i="11"/>
  <c r="BD131" i="11"/>
  <c r="BF130" i="11"/>
  <c r="BH129" i="11"/>
  <c r="BJ128" i="11"/>
  <c r="BL127" i="11"/>
  <c r="BN126" i="11"/>
  <c r="BP125" i="11"/>
  <c r="BR124" i="11"/>
  <c r="F124" i="11"/>
  <c r="H123" i="11"/>
  <c r="J122" i="11"/>
  <c r="AC128" i="11"/>
  <c r="AE127" i="11"/>
  <c r="AG126" i="11"/>
  <c r="AI125" i="11"/>
  <c r="AK124" i="11"/>
  <c r="AM123" i="11"/>
  <c r="AO122" i="11"/>
  <c r="L130" i="11"/>
  <c r="G132" i="11"/>
  <c r="AD131" i="11"/>
  <c r="BA130" i="11"/>
  <c r="BO132" i="11"/>
  <c r="BL124" i="11"/>
  <c r="AH132" i="11"/>
  <c r="BA135" i="11"/>
  <c r="BA131" i="11"/>
  <c r="T135" i="11"/>
  <c r="I131" i="11"/>
  <c r="AU134" i="11"/>
  <c r="W130" i="11"/>
  <c r="N134" i="11"/>
  <c r="AM129" i="11"/>
  <c r="AI135" i="11"/>
  <c r="AK134" i="11"/>
  <c r="AM133" i="11"/>
  <c r="AO132" i="11"/>
  <c r="AC131" i="11"/>
  <c r="I130" i="11"/>
  <c r="G128" i="11"/>
  <c r="BN135" i="11"/>
  <c r="BP134" i="11"/>
  <c r="BR133" i="11"/>
  <c r="F133" i="11"/>
  <c r="BR131" i="11"/>
  <c r="AY130" i="11"/>
  <c r="V129" i="11"/>
  <c r="AL125" i="11"/>
  <c r="AG135" i="11"/>
  <c r="AI134" i="11"/>
  <c r="AK133" i="11"/>
  <c r="AM132" i="11"/>
  <c r="Z131" i="11"/>
  <c r="G130" i="11"/>
  <c r="BN127" i="11"/>
  <c r="BL135" i="11"/>
  <c r="BN134" i="11"/>
  <c r="BP133" i="11"/>
  <c r="BR132" i="11"/>
  <c r="BO131" i="11"/>
  <c r="AV130" i="11"/>
  <c r="Q129" i="11"/>
  <c r="V125" i="11"/>
  <c r="AE135" i="11"/>
  <c r="AG134" i="11"/>
  <c r="AI133" i="11"/>
  <c r="AK132" i="11"/>
  <c r="W131" i="11"/>
  <c r="BR129" i="11"/>
  <c r="BI127" i="11"/>
  <c r="BR135" i="11"/>
  <c r="F135" i="11"/>
  <c r="H134" i="11"/>
  <c r="J133" i="11"/>
  <c r="I132" i="11"/>
  <c r="BD130" i="11"/>
  <c r="AD129" i="11"/>
  <c r="BR125" i="11"/>
  <c r="AA126" i="11"/>
  <c r="AC125" i="11"/>
  <c r="AE124" i="11"/>
  <c r="AG123" i="11"/>
  <c r="AI122" i="11"/>
  <c r="AV131" i="11"/>
  <c r="AX130" i="11"/>
  <c r="AZ129" i="11"/>
  <c r="BB128" i="11"/>
  <c r="BD127" i="11"/>
  <c r="BF126" i="11"/>
  <c r="BH125" i="11"/>
  <c r="BJ124" i="11"/>
  <c r="BL123" i="11"/>
  <c r="BN122" i="11"/>
  <c r="S129" i="11"/>
  <c r="U128" i="11"/>
  <c r="W127" i="11"/>
  <c r="Y126" i="11"/>
  <c r="AA125" i="11"/>
  <c r="AC124" i="11"/>
  <c r="AE123" i="11"/>
  <c r="AG122" i="11"/>
  <c r="AH129" i="11"/>
  <c r="AJ128" i="11"/>
  <c r="K130" i="11"/>
  <c r="AA129" i="11"/>
  <c r="H128" i="11"/>
  <c r="BB125" i="11"/>
  <c r="AI132" i="11"/>
  <c r="BH135" i="11"/>
  <c r="BJ131" i="11"/>
  <c r="U135" i="11"/>
  <c r="J131" i="11"/>
  <c r="BB134" i="11"/>
  <c r="AF130" i="11"/>
  <c r="O134" i="11"/>
  <c r="AO129" i="11"/>
  <c r="AV133" i="11"/>
  <c r="AE128" i="11"/>
  <c r="AA135" i="11"/>
  <c r="AC134" i="11"/>
  <c r="AE133" i="11"/>
  <c r="AG132" i="11"/>
  <c r="R131" i="11"/>
  <c r="BK129" i="11"/>
  <c r="AW127" i="11"/>
  <c r="BF135" i="11"/>
  <c r="BH134" i="11"/>
  <c r="BJ133" i="11"/>
  <c r="BL132" i="11"/>
  <c r="BG131" i="11"/>
  <c r="AN130" i="11"/>
  <c r="BO128" i="11"/>
  <c r="AN124" i="11"/>
  <c r="Y135" i="11"/>
  <c r="AA134" i="11"/>
  <c r="AC133" i="11"/>
  <c r="AE132" i="11"/>
  <c r="O131" i="11"/>
  <c r="BI129" i="11"/>
  <c r="AO127" i="11"/>
  <c r="BD135" i="11"/>
  <c r="BF134" i="11"/>
  <c r="BH133" i="11"/>
  <c r="BJ132" i="11"/>
  <c r="BE131" i="11"/>
  <c r="AK130" i="11"/>
  <c r="BK128" i="11"/>
  <c r="X124" i="11"/>
  <c r="W135" i="11"/>
  <c r="Y134" i="11"/>
  <c r="AA133" i="11"/>
  <c r="AC132" i="11"/>
  <c r="M131" i="11"/>
  <c r="BE129" i="11"/>
  <c r="AG127" i="11"/>
  <c r="BJ135" i="11"/>
  <c r="BL134" i="11"/>
  <c r="BN133" i="11"/>
  <c r="BP132" i="11"/>
  <c r="BM131" i="11"/>
  <c r="AS130" i="11"/>
  <c r="M129" i="11"/>
  <c r="F125" i="11"/>
  <c r="S126" i="11"/>
  <c r="U125" i="11"/>
  <c r="W124" i="11"/>
  <c r="Y123" i="11"/>
  <c r="AA122" i="11"/>
  <c r="AN131" i="11"/>
  <c r="AP130" i="11"/>
  <c r="AR129" i="11"/>
  <c r="AT128" i="11"/>
  <c r="AV127" i="11"/>
  <c r="AX126" i="11"/>
  <c r="AZ125" i="11"/>
  <c r="BB124" i="11"/>
  <c r="BD123" i="11"/>
  <c r="BF122" i="11"/>
  <c r="K129" i="11"/>
  <c r="M128" i="11"/>
  <c r="O127" i="11"/>
  <c r="Q126" i="11"/>
  <c r="S125" i="11"/>
  <c r="U124" i="11"/>
  <c r="W123" i="11"/>
  <c r="Y122" i="11"/>
  <c r="Z129" i="11"/>
  <c r="AB128" i="11"/>
  <c r="BQ135" i="11"/>
  <c r="BK131" i="11"/>
  <c r="AG130" i="11"/>
  <c r="AF128" i="11"/>
  <c r="U134" i="11"/>
  <c r="AY129" i="11"/>
  <c r="BB133" i="11"/>
  <c r="AU128" i="11"/>
  <c r="U133" i="11"/>
  <c r="I127" i="11"/>
  <c r="BB132" i="11"/>
  <c r="Z123" i="11"/>
  <c r="U132" i="11"/>
  <c r="BB135" i="11"/>
  <c r="BB131" i="11"/>
  <c r="K126" i="11"/>
  <c r="S122" i="11"/>
  <c r="AL128" i="11"/>
  <c r="AT124" i="11"/>
  <c r="E128" i="11"/>
  <c r="M124" i="11"/>
  <c r="J129" i="11"/>
  <c r="AL127" i="11"/>
  <c r="AN126" i="11"/>
  <c r="AP125" i="11"/>
  <c r="AR124" i="11"/>
  <c r="AT123" i="11"/>
  <c r="AV122" i="11"/>
  <c r="AK127" i="11"/>
  <c r="AM126" i="11"/>
  <c r="AO125" i="11"/>
  <c r="AQ124" i="11"/>
  <c r="AS123" i="11"/>
  <c r="AU122" i="11"/>
  <c r="BP131" i="11"/>
  <c r="BR130" i="11"/>
  <c r="F130" i="11"/>
  <c r="H129" i="11"/>
  <c r="J128" i="11"/>
  <c r="L127" i="11"/>
  <c r="N126" i="11"/>
  <c r="P125" i="11"/>
  <c r="R124" i="11"/>
  <c r="T123" i="11"/>
  <c r="V122" i="11"/>
  <c r="AW128" i="11"/>
  <c r="AY127" i="11"/>
  <c r="BA126" i="11"/>
  <c r="BC125" i="11"/>
  <c r="BE124" i="11"/>
  <c r="BG123" i="11"/>
  <c r="BI122" i="11"/>
  <c r="G134" i="11"/>
  <c r="U131" i="11"/>
  <c r="BB129" i="11"/>
  <c r="BG126" i="11"/>
  <c r="M134" i="11"/>
  <c r="AL129" i="11"/>
  <c r="AT133" i="11"/>
  <c r="X128" i="11"/>
  <c r="M133" i="11"/>
  <c r="AB126" i="11"/>
  <c r="AT132" i="11"/>
  <c r="AB122" i="11"/>
  <c r="K132" i="11"/>
  <c r="AT135" i="11"/>
  <c r="AQ131" i="11"/>
  <c r="BQ125" i="11"/>
  <c r="K122" i="11"/>
  <c r="AD128" i="11"/>
  <c r="AL124" i="11"/>
  <c r="BK127" i="11"/>
  <c r="E124" i="11"/>
  <c r="AR128" i="11"/>
  <c r="AD127" i="11"/>
  <c r="AF126" i="11"/>
  <c r="AH125" i="11"/>
  <c r="AJ124" i="11"/>
  <c r="AL123" i="11"/>
  <c r="AN122" i="11"/>
  <c r="AC127" i="11"/>
  <c r="AE126" i="11"/>
  <c r="AG125" i="11"/>
  <c r="AI124" i="11"/>
  <c r="AK123" i="11"/>
  <c r="AM122" i="11"/>
  <c r="BH131" i="11"/>
  <c r="BJ130" i="11"/>
  <c r="BL129" i="11"/>
  <c r="BN128" i="11"/>
  <c r="BP127" i="11"/>
  <c r="BR126" i="11"/>
  <c r="F126" i="11"/>
  <c r="H125" i="11"/>
  <c r="J124" i="11"/>
  <c r="L123" i="11"/>
  <c r="N122" i="11"/>
  <c r="AO128" i="11"/>
  <c r="AQ127" i="11"/>
  <c r="AS126" i="11"/>
  <c r="AU125" i="11"/>
  <c r="AW124" i="11"/>
  <c r="AY123" i="11"/>
  <c r="BA122" i="11"/>
  <c r="AK135" i="11"/>
  <c r="AB135" i="11"/>
  <c r="V134" i="11"/>
  <c r="P133" i="11"/>
  <c r="W133" i="11"/>
  <c r="Q127" i="11"/>
  <c r="BD132" i="11"/>
  <c r="AP123" i="11"/>
  <c r="W132" i="11"/>
  <c r="AV135" i="11"/>
  <c r="AT131" i="11"/>
  <c r="O135" i="11"/>
  <c r="BP130" i="11"/>
  <c r="BD134" i="11"/>
  <c r="AI130" i="11"/>
  <c r="M125" i="11"/>
  <c r="AF131" i="11"/>
  <c r="AN127" i="11"/>
  <c r="AV123" i="11"/>
  <c r="G127" i="11"/>
  <c r="O123" i="11"/>
  <c r="T128" i="11"/>
  <c r="V127" i="11"/>
  <c r="X126" i="11"/>
  <c r="Z125" i="11"/>
  <c r="AB124" i="11"/>
  <c r="AD123" i="11"/>
  <c r="AF122" i="11"/>
  <c r="U127" i="11"/>
  <c r="W126" i="11"/>
  <c r="Y125" i="11"/>
  <c r="AA124" i="11"/>
  <c r="AC123" i="11"/>
  <c r="AE122" i="11"/>
  <c r="AZ131" i="11"/>
  <c r="BB130" i="11"/>
  <c r="BD129" i="11"/>
  <c r="BF128" i="11"/>
  <c r="BH127" i="11"/>
  <c r="BJ126" i="11"/>
  <c r="BL125" i="11"/>
  <c r="BN124" i="11"/>
  <c r="BP123" i="11"/>
  <c r="BR122" i="11"/>
  <c r="F122" i="11"/>
  <c r="AG128" i="11"/>
  <c r="AI127" i="11"/>
  <c r="AK126" i="11"/>
  <c r="AM125" i="11"/>
  <c r="AO124" i="11"/>
  <c r="AQ123" i="11"/>
  <c r="AS122" i="11"/>
  <c r="AO133" i="11"/>
  <c r="BJ134" i="11"/>
  <c r="BD133" i="11"/>
  <c r="AX132" i="11"/>
  <c r="O133" i="11"/>
  <c r="AR126" i="11"/>
  <c r="AV132" i="11"/>
  <c r="AR122" i="11"/>
  <c r="M132" i="11"/>
  <c r="AN135" i="11"/>
  <c r="AI131" i="11"/>
  <c r="G135" i="11"/>
  <c r="BE130" i="11"/>
  <c r="AV134" i="11"/>
  <c r="X130" i="11"/>
  <c r="E125" i="11"/>
  <c r="X131" i="11"/>
  <c r="AF127" i="11"/>
  <c r="AN123" i="11"/>
  <c r="BM126" i="11"/>
  <c r="G123" i="11"/>
  <c r="L128" i="11"/>
  <c r="N127" i="11"/>
  <c r="P126" i="11"/>
  <c r="R125" i="11"/>
  <c r="T124" i="11"/>
  <c r="V123" i="11"/>
  <c r="X122" i="11"/>
  <c r="M127" i="11"/>
  <c r="O126" i="11"/>
  <c r="Q125" i="11"/>
  <c r="S124" i="11"/>
  <c r="U123" i="11"/>
  <c r="W122" i="11"/>
  <c r="AR131" i="11"/>
  <c r="AT130" i="11"/>
  <c r="AV129" i="11"/>
  <c r="AX128" i="11"/>
  <c r="AZ127" i="11"/>
  <c r="BB126" i="11"/>
  <c r="BD125" i="11"/>
  <c r="BF124" i="11"/>
  <c r="BH123" i="11"/>
  <c r="BJ122" i="11"/>
  <c r="W129" i="11"/>
  <c r="Y128" i="11"/>
  <c r="AA127" i="11"/>
  <c r="AC126" i="11"/>
  <c r="AE125" i="11"/>
  <c r="AG124" i="11"/>
  <c r="AI123" i="11"/>
  <c r="AK122" i="11"/>
  <c r="E135" i="11"/>
  <c r="S131" i="11"/>
  <c r="BA129" i="11"/>
  <c r="AZ126" i="11"/>
  <c r="Y132" i="11"/>
  <c r="AX135" i="11"/>
  <c r="AW131" i="11"/>
  <c r="Q135" i="11"/>
  <c r="E131" i="11"/>
  <c r="AX134" i="11"/>
  <c r="AA130" i="11"/>
  <c r="Q134" i="11"/>
  <c r="AS129" i="11"/>
  <c r="BF133" i="11"/>
  <c r="BD128" i="11"/>
  <c r="O124" i="11"/>
  <c r="AH130" i="11"/>
  <c r="AP126" i="11"/>
  <c r="AX122" i="11"/>
  <c r="I126" i="11"/>
  <c r="Q122" i="11"/>
  <c r="BR127" i="11"/>
  <c r="F127" i="11"/>
  <c r="H126" i="11"/>
  <c r="J125" i="11"/>
  <c r="L124" i="11"/>
  <c r="N123" i="11"/>
  <c r="P122" i="11"/>
  <c r="E127" i="11"/>
  <c r="G126" i="11"/>
  <c r="I125" i="11"/>
  <c r="K124" i="11"/>
  <c r="M123" i="11"/>
  <c r="O122" i="11"/>
  <c r="AJ131" i="11"/>
  <c r="AL130" i="11"/>
  <c r="AN129" i="11"/>
  <c r="AP128" i="11"/>
  <c r="AR127" i="11"/>
  <c r="AT126" i="11"/>
  <c r="AV125" i="11"/>
  <c r="AX124" i="11"/>
  <c r="AZ123" i="11"/>
  <c r="BB122" i="11"/>
  <c r="O129" i="11"/>
  <c r="Q128" i="11"/>
  <c r="S127" i="11"/>
  <c r="U126" i="11"/>
  <c r="W125" i="11"/>
  <c r="Y124" i="11"/>
  <c r="AA123" i="11"/>
  <c r="AC122" i="11"/>
  <c r="I133" i="11"/>
  <c r="AQ130" i="11"/>
  <c r="AY128" i="11"/>
  <c r="BH122" i="11"/>
  <c r="P132" i="11"/>
  <c r="AP135" i="11"/>
  <c r="AL131" i="11"/>
  <c r="I135" i="11"/>
  <c r="BH130" i="11"/>
  <c r="AP134" i="11"/>
  <c r="P130" i="11"/>
  <c r="I134" i="11"/>
  <c r="AE129" i="11"/>
  <c r="AX133" i="11"/>
  <c r="AI128" i="11"/>
  <c r="G124" i="11"/>
  <c r="Z130" i="11"/>
  <c r="AH126" i="11"/>
  <c r="AP122" i="11"/>
  <c r="BO125" i="11"/>
  <c r="I122" i="11"/>
  <c r="BJ127" i="11"/>
  <c r="BL126" i="11"/>
  <c r="BN125" i="11"/>
  <c r="BP124" i="11"/>
  <c r="BR123" i="11"/>
  <c r="F123" i="11"/>
  <c r="H122" i="11"/>
  <c r="BK126" i="11"/>
  <c r="BM125" i="11"/>
  <c r="BO124" i="11"/>
  <c r="BQ123" i="11"/>
  <c r="E123" i="11"/>
  <c r="G122" i="11"/>
  <c r="AB131" i="11"/>
  <c r="AD130" i="11"/>
  <c r="AF129" i="11"/>
  <c r="AH128" i="11"/>
  <c r="AJ127" i="11"/>
  <c r="AL126" i="11"/>
  <c r="AN125" i="11"/>
  <c r="AP124" i="11"/>
  <c r="AR123" i="11"/>
  <c r="AT122" i="11"/>
  <c r="G129" i="11"/>
  <c r="I128" i="11"/>
  <c r="K127" i="11"/>
  <c r="M126" i="11"/>
  <c r="O125" i="11"/>
  <c r="Q124" i="11"/>
  <c r="S123" i="11"/>
  <c r="U122" i="11"/>
  <c r="BI135" i="11"/>
  <c r="BC134" i="11"/>
  <c r="AW133" i="11"/>
  <c r="S135" i="11"/>
  <c r="G131" i="11"/>
  <c r="AZ134" i="11"/>
  <c r="AC130" i="11"/>
  <c r="S134" i="11"/>
  <c r="AU129" i="11"/>
  <c r="AZ133" i="11"/>
  <c r="AN128" i="11"/>
  <c r="S133" i="11"/>
  <c r="BO126" i="11"/>
  <c r="BH132" i="11"/>
  <c r="H124" i="11"/>
  <c r="Q123" i="11"/>
  <c r="AJ129" i="11"/>
  <c r="AR125" i="11"/>
  <c r="BQ128" i="11"/>
  <c r="K125" i="11"/>
  <c r="AP129" i="11"/>
  <c r="BB127" i="11"/>
  <c r="BD126" i="11"/>
  <c r="BF125" i="11"/>
  <c r="BH124" i="11"/>
  <c r="BJ123" i="11"/>
  <c r="BL122" i="11"/>
  <c r="BA127" i="11"/>
  <c r="BC126" i="11"/>
  <c r="BE125" i="11"/>
  <c r="BG124" i="11"/>
  <c r="BI123" i="11"/>
  <c r="BK122" i="11"/>
  <c r="R132" i="11"/>
  <c r="T131" i="11"/>
  <c r="V130" i="11"/>
  <c r="X129" i="11"/>
  <c r="Z128" i="11"/>
  <c r="AB127" i="11"/>
  <c r="AD126" i="11"/>
  <c r="AF125" i="11"/>
  <c r="AH124" i="11"/>
  <c r="AJ123" i="11"/>
  <c r="AL122" i="11"/>
  <c r="BM128" i="11"/>
  <c r="BO127" i="11"/>
  <c r="BQ126" i="11"/>
  <c r="E126" i="11"/>
  <c r="G125" i="11"/>
  <c r="I124" i="11"/>
  <c r="K123" i="11"/>
  <c r="M122" i="11"/>
  <c r="AC135" i="11"/>
  <c r="W134" i="11"/>
  <c r="Q133" i="11"/>
  <c r="K135" i="11"/>
  <c r="BK130" i="11"/>
  <c r="AR134" i="11"/>
  <c r="S130" i="11"/>
  <c r="K134" i="11"/>
  <c r="AI129" i="11"/>
  <c r="AR133" i="11"/>
  <c r="S128" i="11"/>
  <c r="K133" i="11"/>
  <c r="L126" i="11"/>
  <c r="AZ132" i="11"/>
  <c r="J123" i="11"/>
  <c r="I123" i="11"/>
  <c r="AB129" i="11"/>
  <c r="AJ125" i="11"/>
  <c r="BI128" i="11"/>
  <c r="BQ124" i="11"/>
  <c r="R129" i="11"/>
  <c r="AT127" i="11"/>
  <c r="AV126" i="11"/>
  <c r="AX125" i="11"/>
  <c r="AZ124" i="11"/>
  <c r="BB123" i="11"/>
  <c r="BD122" i="11"/>
  <c r="AS127" i="11"/>
  <c r="AU126" i="11"/>
  <c r="AW125" i="11"/>
  <c r="AY124" i="11"/>
  <c r="BA123" i="11"/>
  <c r="BC122" i="11"/>
  <c r="J132" i="11"/>
  <c r="L131" i="11"/>
  <c r="N130" i="11"/>
  <c r="P129" i="11"/>
  <c r="R128" i="11"/>
  <c r="T127" i="11"/>
  <c r="V126" i="11"/>
  <c r="X125" i="11"/>
  <c r="Z124" i="11"/>
  <c r="AB123" i="11"/>
  <c r="AD122" i="11"/>
  <c r="BE128" i="11"/>
  <c r="BG127" i="11"/>
  <c r="BI126" i="11"/>
  <c r="BK125" i="11"/>
  <c r="BM124" i="11"/>
  <c r="BO123" i="11"/>
  <c r="BQ122" i="11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D28" i="8"/>
  <c r="F62" i="12"/>
  <c r="B51" i="8" s="1"/>
  <c r="F41" i="11"/>
  <c r="F56" i="1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K31" i="8"/>
  <c r="F72" i="12"/>
  <c r="B61" i="8" s="1"/>
  <c r="F48" i="12"/>
  <c r="B37" i="8" s="1"/>
  <c r="T31" i="8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U30" i="8"/>
  <c r="F54" i="11"/>
  <c r="AH31" i="8"/>
  <c r="O31" i="8"/>
  <c r="H31" i="8"/>
  <c r="F50" i="11"/>
  <c r="F28" i="8"/>
  <c r="AG31" i="8"/>
  <c r="G28" i="8"/>
  <c r="F70" i="11"/>
  <c r="O30" i="8"/>
  <c r="T28" i="8"/>
  <c r="AH20" i="8"/>
  <c r="E31" i="8"/>
  <c r="W30" i="8"/>
  <c r="D31" i="8"/>
  <c r="N31" i="8"/>
  <c r="AB30" i="8"/>
  <c r="AH10" i="8"/>
  <c r="Y29" i="8"/>
  <c r="F63" i="11"/>
  <c r="Z30" i="8"/>
  <c r="F59" i="11"/>
  <c r="F47" i="11"/>
  <c r="F49" i="11"/>
  <c r="F69" i="11"/>
  <c r="F74" i="11"/>
  <c r="AD31" i="8"/>
  <c r="F66" i="11"/>
  <c r="F55" i="11"/>
  <c r="D30" i="8"/>
  <c r="U28" i="8"/>
  <c r="U31" i="8"/>
  <c r="C29" i="8"/>
  <c r="C30" i="8"/>
  <c r="R29" i="8"/>
  <c r="R30" i="8"/>
  <c r="AH24" i="8"/>
  <c r="I30" i="8"/>
  <c r="I29" i="8"/>
  <c r="I28" i="8"/>
  <c r="J31" i="8"/>
  <c r="AH17" i="8"/>
  <c r="AH18" i="8"/>
  <c r="L28" i="8"/>
  <c r="L29" i="8"/>
  <c r="AH8" i="8"/>
  <c r="AA30" i="8"/>
  <c r="AE29" i="8"/>
  <c r="J28" i="8"/>
  <c r="J29" i="8"/>
  <c r="J30" i="8"/>
  <c r="AH14" i="8"/>
  <c r="AF28" i="8"/>
  <c r="AF29" i="8"/>
  <c r="AF30" i="8"/>
  <c r="AH27" i="8"/>
  <c r="W31" i="8"/>
  <c r="Z29" i="8"/>
  <c r="S30" i="8"/>
  <c r="S29" i="8"/>
  <c r="S28" i="8"/>
  <c r="S31" i="8"/>
  <c r="F52" i="11"/>
  <c r="F48" i="11"/>
  <c r="F72" i="11"/>
  <c r="F46" i="11"/>
  <c r="F58" i="11"/>
  <c r="F62" i="11"/>
  <c r="F53" i="11"/>
  <c r="F51" i="11"/>
  <c r="F60" i="11"/>
  <c r="F61" i="11"/>
  <c r="F65" i="11"/>
  <c r="F64" i="11"/>
  <c r="AH4" i="8"/>
  <c r="AB28" i="8"/>
  <c r="AH26" i="8"/>
  <c r="F57" i="11"/>
  <c r="X31" i="8"/>
  <c r="X28" i="8"/>
  <c r="X30" i="8"/>
  <c r="F68" i="11"/>
  <c r="H30" i="8"/>
  <c r="M29" i="8"/>
  <c r="M30" i="8"/>
  <c r="M28" i="8"/>
  <c r="E30" i="8"/>
  <c r="AH19" i="8"/>
  <c r="AH23" i="8"/>
  <c r="AH22" i="8"/>
  <c r="AH21" i="8"/>
  <c r="AH7" i="8"/>
  <c r="AH3" i="8"/>
  <c r="AH11" i="8"/>
  <c r="AH5" i="8"/>
  <c r="AH13" i="8"/>
  <c r="AH29" i="8"/>
  <c r="C31" i="8"/>
  <c r="M31" i="8"/>
  <c r="W29" i="8"/>
  <c r="AD29" i="8"/>
  <c r="AD30" i="8"/>
  <c r="Y30" i="8"/>
  <c r="F71" i="11"/>
  <c r="AA29" i="8"/>
  <c r="H28" i="8"/>
  <c r="P31" i="8"/>
  <c r="AH25" i="8"/>
  <c r="F73" i="11"/>
  <c r="R28" i="8"/>
  <c r="AH6" i="8"/>
  <c r="AG30" i="8"/>
  <c r="AG29" i="8"/>
  <c r="AG28" i="8"/>
  <c r="Y31" i="8"/>
  <c r="AA31" i="8"/>
  <c r="F31" i="8"/>
  <c r="G30" i="8"/>
  <c r="P30" i="8"/>
  <c r="F29" i="8"/>
  <c r="N30" i="8"/>
  <c r="N29" i="8"/>
  <c r="P29" i="8"/>
  <c r="Q28" i="8"/>
  <c r="AE30" i="8"/>
  <c r="O28" i="8"/>
  <c r="AC29" i="8"/>
  <c r="T29" i="8"/>
  <c r="Q30" i="8"/>
  <c r="W28" i="8"/>
  <c r="AC28" i="8"/>
  <c r="G29" i="8"/>
  <c r="U29" i="8"/>
  <c r="N28" i="8"/>
  <c r="D34" i="4"/>
  <c r="G34" i="4" l="1"/>
  <c r="O34" i="4"/>
  <c r="W34" i="4"/>
  <c r="AE34" i="4"/>
  <c r="AM34" i="4"/>
  <c r="AU34" i="4"/>
  <c r="BC34" i="4"/>
  <c r="BK34" i="4"/>
  <c r="AZ34" i="4"/>
  <c r="H34" i="4"/>
  <c r="P34" i="4"/>
  <c r="X34" i="4"/>
  <c r="AF34" i="4"/>
  <c r="AN34" i="4"/>
  <c r="AV34" i="4"/>
  <c r="BD34" i="4"/>
  <c r="BL34" i="4"/>
  <c r="BH34" i="4"/>
  <c r="I34" i="4"/>
  <c r="Q34" i="4"/>
  <c r="Y34" i="4"/>
  <c r="AG34" i="4"/>
  <c r="AO34" i="4"/>
  <c r="AW34" i="4"/>
  <c r="BE34" i="4"/>
  <c r="BM34" i="4"/>
  <c r="L34" i="4"/>
  <c r="J34" i="4"/>
  <c r="R34" i="4"/>
  <c r="Z34" i="4"/>
  <c r="AH34" i="4"/>
  <c r="AP34" i="4"/>
  <c r="AX34" i="4"/>
  <c r="BF34" i="4"/>
  <c r="BN34" i="4"/>
  <c r="F34" i="4"/>
  <c r="AB34" i="4"/>
  <c r="K34" i="4"/>
  <c r="S34" i="4"/>
  <c r="AA34" i="4"/>
  <c r="AI34" i="4"/>
  <c r="AQ34" i="4"/>
  <c r="AY34" i="4"/>
  <c r="BG34" i="4"/>
  <c r="BO34" i="4"/>
  <c r="T34" i="4"/>
  <c r="BP34" i="4"/>
  <c r="M34" i="4"/>
  <c r="U34" i="4"/>
  <c r="AC34" i="4"/>
  <c r="AK34" i="4"/>
  <c r="AS34" i="4"/>
  <c r="BA34" i="4"/>
  <c r="BI34" i="4"/>
  <c r="BQ34" i="4"/>
  <c r="AJ34" i="4"/>
  <c r="N34" i="4"/>
  <c r="V34" i="4"/>
  <c r="AD34" i="4"/>
  <c r="AL34" i="4"/>
  <c r="AT34" i="4"/>
  <c r="BB34" i="4"/>
  <c r="BJ34" i="4"/>
  <c r="BR34" i="4"/>
  <c r="AR34" i="4"/>
  <c r="V8" i="8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X19" i="8"/>
  <c r="Z20" i="8"/>
  <c r="T21" i="8"/>
  <c r="L26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H15" i="8"/>
  <c r="AA19" i="8"/>
  <c r="AE26" i="8"/>
  <c r="W10" i="8"/>
  <c r="AD5" i="8"/>
  <c r="AD19" i="8"/>
  <c r="Z19" i="8"/>
  <c r="K26" i="8"/>
  <c r="AC15" i="8"/>
  <c r="AC18" i="8"/>
  <c r="I20" i="8"/>
  <c r="E21" i="8"/>
  <c r="Y5" i="8"/>
  <c r="M18" i="8"/>
  <c r="M22" i="8"/>
  <c r="G23" i="8"/>
  <c r="AE7" i="8"/>
  <c r="M25" i="8"/>
  <c r="X7" i="8"/>
  <c r="AB22" i="8"/>
  <c r="AB18" i="8"/>
  <c r="B10" i="8"/>
  <c r="S18" i="8"/>
  <c r="AG5" i="8"/>
  <c r="W18" i="8"/>
  <c r="C23" i="8"/>
  <c r="AF26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T15" i="8"/>
  <c r="M6" i="8"/>
  <c r="Z14" i="8"/>
  <c r="L15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T23" i="8"/>
  <c r="U16" i="8"/>
  <c r="T19" i="8"/>
  <c r="L19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T17" i="8"/>
  <c r="T27" i="8"/>
  <c r="T11" i="8"/>
  <c r="I8" i="8"/>
  <c r="L4" i="8"/>
  <c r="L14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T10" i="8"/>
  <c r="T22" i="8"/>
  <c r="T16" i="8"/>
  <c r="T26" i="8"/>
  <c r="L16" i="8"/>
  <c r="L10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F10" i="8"/>
  <c r="Z4" i="8"/>
  <c r="J11" i="8"/>
  <c r="J8" i="8"/>
  <c r="J25" i="8"/>
  <c r="L17" i="8"/>
  <c r="Z23" i="8"/>
  <c r="Y14" i="8"/>
  <c r="I15" i="8"/>
  <c r="I7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T14" i="8"/>
  <c r="T24" i="8"/>
  <c r="W23" i="8"/>
  <c r="AG24" i="8"/>
  <c r="R21" i="8"/>
  <c r="F4" i="8"/>
  <c r="L20" i="8"/>
  <c r="G7" i="8"/>
  <c r="W15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T25" i="8"/>
  <c r="T9" i="8"/>
  <c r="J15" i="8"/>
  <c r="W20" i="8"/>
  <c r="Y24" i="8"/>
  <c r="AE14" i="8"/>
  <c r="L24" i="8"/>
  <c r="L21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C19" i="8"/>
  <c r="G16" i="8"/>
  <c r="W19" i="8"/>
  <c r="AG20" i="8"/>
  <c r="O27" i="8"/>
  <c r="J24" i="8"/>
  <c r="O23" i="8"/>
  <c r="I10" i="8"/>
  <c r="AG14" i="8"/>
  <c r="M20" i="8"/>
  <c r="G24" i="8"/>
  <c r="R20" i="8"/>
  <c r="T18" i="8"/>
  <c r="T20" i="8"/>
  <c r="N24" i="8"/>
  <c r="L27" i="8"/>
  <c r="G26" i="8"/>
  <c r="AA13" i="8"/>
  <c r="AE114" i="11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B3" i="8"/>
  <c r="B13" i="8"/>
  <c r="B22" i="8"/>
  <c r="B5" i="8"/>
  <c r="B8" i="8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2" l="1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E129" i="12" l="1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BJ46" i="4" l="1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AR46" i="4"/>
  <c r="AN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AV46" i="4"/>
  <c r="AR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K46" i="4"/>
  <c r="G67" i="8" s="1"/>
  <c r="N46" i="4"/>
  <c r="J67" i="8" s="1"/>
  <c r="Z46" i="4"/>
  <c r="V67" i="8" s="1"/>
  <c r="AY46" i="4"/>
  <c r="AU67" i="8" s="1"/>
  <c r="BE46" i="4"/>
  <c r="BA67" i="8" s="1"/>
  <c r="AQ46" i="4"/>
  <c r="AM67" i="8" s="1"/>
  <c r="BM46" i="4"/>
  <c r="BI67" i="8" s="1"/>
  <c r="AI46" i="4"/>
  <c r="AE67" i="8" s="1"/>
  <c r="M46" i="4"/>
  <c r="I67" i="8" s="1"/>
  <c r="L46" i="4"/>
  <c r="H67" i="8" s="1"/>
  <c r="AE46" i="4"/>
  <c r="AA67" i="8" s="1"/>
  <c r="U46" i="4"/>
  <c r="Q67" i="8" s="1"/>
  <c r="R46" i="4"/>
  <c r="N67" i="8" s="1"/>
  <c r="AG46" i="4"/>
  <c r="AC67" i="8" s="1"/>
  <c r="AJ46" i="4"/>
  <c r="AF67" i="8" s="1"/>
  <c r="Y46" i="4"/>
  <c r="U67" i="8" s="1"/>
  <c r="AF46" i="4"/>
  <c r="AB67" i="8" s="1"/>
  <c r="AK46" i="4"/>
  <c r="AG67" i="8" s="1"/>
  <c r="H46" i="4"/>
  <c r="D67" i="8" s="1"/>
  <c r="AL46" i="4"/>
  <c r="AH67" i="8" s="1"/>
  <c r="Q46" i="4"/>
  <c r="M67" i="8" s="1"/>
  <c r="X46" i="4"/>
  <c r="T67" i="8" s="1"/>
  <c r="I46" i="4"/>
  <c r="E67" i="8" s="1"/>
  <c r="V46" i="4"/>
  <c r="R67" i="8" s="1"/>
  <c r="AA46" i="4"/>
  <c r="W67" i="8" s="1"/>
  <c r="AD46" i="4"/>
  <c r="Z67" i="8" s="1"/>
  <c r="G46" i="4"/>
  <c r="C67" i="8" s="1"/>
  <c r="J46" i="4"/>
  <c r="F67" i="8" s="1"/>
  <c r="W46" i="4"/>
  <c r="S67" i="8" s="1"/>
  <c r="AC46" i="4"/>
  <c r="Y67" i="8" s="1"/>
  <c r="P46" i="4"/>
  <c r="L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L48" i="4"/>
  <c r="BH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AW48" i="4"/>
  <c r="AS69" i="8" s="1"/>
  <c r="AX48" i="4"/>
  <c r="AT69" i="8" s="1"/>
  <c r="U48" i="4"/>
  <c r="Q69" i="8" s="1"/>
  <c r="L48" i="4"/>
  <c r="H69" i="8" s="1"/>
  <c r="N48" i="4"/>
  <c r="J69" i="8" s="1"/>
  <c r="O48" i="4"/>
  <c r="K69" i="8" s="1"/>
  <c r="AH48" i="4"/>
  <c r="AD69" i="8" s="1"/>
  <c r="T48" i="4"/>
  <c r="P69" i="8" s="1"/>
  <c r="K48" i="4"/>
  <c r="G69" i="8" s="1"/>
  <c r="AG48" i="4"/>
  <c r="AC69" i="8" s="1"/>
  <c r="AY48" i="4"/>
  <c r="AU69" i="8" s="1"/>
  <c r="BE48" i="4"/>
  <c r="BA69" i="8" s="1"/>
  <c r="AQ48" i="4"/>
  <c r="AM69" i="8" s="1"/>
  <c r="BM48" i="4"/>
  <c r="BI69" i="8" s="1"/>
  <c r="AI48" i="4"/>
  <c r="AE69" i="8" s="1"/>
  <c r="M48" i="4"/>
  <c r="I69" i="8" s="1"/>
  <c r="AA48" i="4"/>
  <c r="W69" i="8" s="1"/>
  <c r="S48" i="4"/>
  <c r="O69" i="8" s="1"/>
  <c r="I48" i="4"/>
  <c r="E69" i="8" s="1"/>
  <c r="W48" i="4"/>
  <c r="S69" i="8" s="1"/>
  <c r="AF48" i="4"/>
  <c r="AB69" i="8" s="1"/>
  <c r="Q48" i="4"/>
  <c r="M69" i="8" s="1"/>
  <c r="Z48" i="4"/>
  <c r="V69" i="8" s="1"/>
  <c r="AK48" i="4"/>
  <c r="AG69" i="8" s="1"/>
  <c r="AJ48" i="4"/>
  <c r="AF69" i="8" s="1"/>
  <c r="H48" i="4"/>
  <c r="D69" i="8" s="1"/>
  <c r="G48" i="4"/>
  <c r="C69" i="8" s="1"/>
  <c r="R48" i="4"/>
  <c r="N69" i="8" s="1"/>
  <c r="AE48" i="4"/>
  <c r="AA69" i="8" s="1"/>
  <c r="V48" i="4"/>
  <c r="R69" i="8" s="1"/>
  <c r="AL48" i="4"/>
  <c r="AH69" i="8" s="1"/>
  <c r="AD48" i="4"/>
  <c r="Z69" i="8" s="1"/>
  <c r="P48" i="4"/>
  <c r="L69" i="8" s="1"/>
  <c r="AC48" i="4"/>
  <c r="Y69" i="8" s="1"/>
  <c r="Y48" i="4"/>
  <c r="U69" i="8" s="1"/>
  <c r="J48" i="4"/>
  <c r="F69" i="8" s="1"/>
  <c r="X48" i="4"/>
  <c r="T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AR50" i="4"/>
  <c r="AN71" i="8" s="1"/>
  <c r="AY50" i="4"/>
  <c r="AU71" i="8" s="1"/>
  <c r="BE50" i="4"/>
  <c r="BA71" i="8" s="1"/>
  <c r="AQ50" i="4"/>
  <c r="AM71" i="8" s="1"/>
  <c r="BM50" i="4"/>
  <c r="BI71" i="8" s="1"/>
  <c r="AH50" i="4"/>
  <c r="AD71" i="8" s="1"/>
  <c r="K50" i="4"/>
  <c r="G71" i="8" s="1"/>
  <c r="AG50" i="4"/>
  <c r="AC71" i="8" s="1"/>
  <c r="S50" i="4"/>
  <c r="O71" i="8" s="1"/>
  <c r="J50" i="4"/>
  <c r="F71" i="8" s="1"/>
  <c r="N50" i="4"/>
  <c r="J71" i="8" s="1"/>
  <c r="L50" i="4"/>
  <c r="H71" i="8" s="1"/>
  <c r="BF50" i="4"/>
  <c r="BB71" i="8" s="1"/>
  <c r="AW50" i="4"/>
  <c r="AS71" i="8" s="1"/>
  <c r="AX50" i="4"/>
  <c r="AT71" i="8" s="1"/>
  <c r="AI50" i="4"/>
  <c r="AE71" i="8" s="1"/>
  <c r="T50" i="4"/>
  <c r="P71" i="8" s="1"/>
  <c r="AB50" i="4"/>
  <c r="X71" i="8" s="1"/>
  <c r="Z50" i="4"/>
  <c r="V71" i="8" s="1"/>
  <c r="O50" i="4"/>
  <c r="K71" i="8" s="1"/>
  <c r="AA50" i="4"/>
  <c r="W71" i="8" s="1"/>
  <c r="R50" i="4"/>
  <c r="N71" i="8" s="1"/>
  <c r="Q50" i="4"/>
  <c r="M71" i="8" s="1"/>
  <c r="AD50" i="4"/>
  <c r="Z71" i="8" s="1"/>
  <c r="Y50" i="4"/>
  <c r="U71" i="8" s="1"/>
  <c r="AC50" i="4"/>
  <c r="Y71" i="8" s="1"/>
  <c r="P50" i="4"/>
  <c r="L71" i="8" s="1"/>
  <c r="G50" i="4"/>
  <c r="C71" i="8" s="1"/>
  <c r="AE50" i="4"/>
  <c r="AA71" i="8" s="1"/>
  <c r="AL50" i="4"/>
  <c r="AH71" i="8" s="1"/>
  <c r="X50" i="4"/>
  <c r="T71" i="8" s="1"/>
  <c r="H50" i="4"/>
  <c r="D71" i="8" s="1"/>
  <c r="M50" i="4"/>
  <c r="I71" i="8" s="1"/>
  <c r="AF50" i="4"/>
  <c r="AB71" i="8" s="1"/>
  <c r="I50" i="4"/>
  <c r="E71" i="8" s="1"/>
  <c r="V50" i="4"/>
  <c r="R71" i="8" s="1"/>
  <c r="AJ50" i="4"/>
  <c r="AF71" i="8" s="1"/>
  <c r="U50" i="4"/>
  <c r="Q71" i="8" s="1"/>
  <c r="W50" i="4"/>
  <c r="S71" i="8" s="1"/>
  <c r="AK50" i="4"/>
  <c r="AG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AS52" i="4"/>
  <c r="AO73" i="8" s="1"/>
  <c r="BL52" i="4"/>
  <c r="BH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BJ52" i="4"/>
  <c r="BF73" i="8" s="1"/>
  <c r="L52" i="4"/>
  <c r="H73" i="8" s="1"/>
  <c r="O52" i="4"/>
  <c r="K73" i="8" s="1"/>
  <c r="T52" i="4"/>
  <c r="P73" i="8" s="1"/>
  <c r="AY52" i="4"/>
  <c r="AU73" i="8" s="1"/>
  <c r="BE52" i="4"/>
  <c r="BA73" i="8" s="1"/>
  <c r="AQ52" i="4"/>
  <c r="AM73" i="8" s="1"/>
  <c r="BM52" i="4"/>
  <c r="BI73" i="8" s="1"/>
  <c r="AB52" i="4"/>
  <c r="X73" i="8" s="1"/>
  <c r="Z52" i="4"/>
  <c r="V73" i="8" s="1"/>
  <c r="N52" i="4"/>
  <c r="J73" i="8" s="1"/>
  <c r="AI52" i="4"/>
  <c r="AE73" i="8" s="1"/>
  <c r="M52" i="4"/>
  <c r="I73" i="8" s="1"/>
  <c r="AA52" i="4"/>
  <c r="W73" i="8" s="1"/>
  <c r="U52" i="4"/>
  <c r="Q73" i="8" s="1"/>
  <c r="AE52" i="4"/>
  <c r="AA73" i="8" s="1"/>
  <c r="S52" i="4"/>
  <c r="O73" i="8" s="1"/>
  <c r="K52" i="4"/>
  <c r="G73" i="8" s="1"/>
  <c r="BF52" i="4"/>
  <c r="BB73" i="8" s="1"/>
  <c r="AW52" i="4"/>
  <c r="AS73" i="8" s="1"/>
  <c r="AX52" i="4"/>
  <c r="AT73" i="8" s="1"/>
  <c r="AH52" i="4"/>
  <c r="AD73" i="8" s="1"/>
  <c r="R52" i="4"/>
  <c r="N73" i="8" s="1"/>
  <c r="Y52" i="4"/>
  <c r="U73" i="8" s="1"/>
  <c r="AK52" i="4"/>
  <c r="AG73" i="8" s="1"/>
  <c r="AL52" i="4"/>
  <c r="AH73" i="8" s="1"/>
  <c r="I52" i="4"/>
  <c r="E73" i="8" s="1"/>
  <c r="AJ52" i="4"/>
  <c r="AF73" i="8" s="1"/>
  <c r="G52" i="4"/>
  <c r="C73" i="8" s="1"/>
  <c r="AG52" i="4"/>
  <c r="AC73" i="8" s="1"/>
  <c r="V52" i="4"/>
  <c r="R73" i="8" s="1"/>
  <c r="AD52" i="4"/>
  <c r="Z73" i="8" s="1"/>
  <c r="J52" i="4"/>
  <c r="F73" i="8" s="1"/>
  <c r="W52" i="4"/>
  <c r="S73" i="8" s="1"/>
  <c r="AF52" i="4"/>
  <c r="AB73" i="8" s="1"/>
  <c r="AC52" i="4"/>
  <c r="Y73" i="8" s="1"/>
  <c r="Q52" i="4"/>
  <c r="M73" i="8" s="1"/>
  <c r="X52" i="4"/>
  <c r="T73" i="8" s="1"/>
  <c r="P52" i="4"/>
  <c r="L73" i="8" s="1"/>
  <c r="H52" i="4"/>
  <c r="D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AH54" i="4"/>
  <c r="AD75" i="8" s="1"/>
  <c r="AA54" i="4"/>
  <c r="W75" i="8" s="1"/>
  <c r="S54" i="4"/>
  <c r="O75" i="8" s="1"/>
  <c r="AB54" i="4"/>
  <c r="X75" i="8" s="1"/>
  <c r="K54" i="4"/>
  <c r="G75" i="8" s="1"/>
  <c r="AY54" i="4"/>
  <c r="AU75" i="8" s="1"/>
  <c r="BE54" i="4"/>
  <c r="BA75" i="8" s="1"/>
  <c r="AQ54" i="4"/>
  <c r="AM75" i="8" s="1"/>
  <c r="BM54" i="4"/>
  <c r="BI75" i="8" s="1"/>
  <c r="Z54" i="4"/>
  <c r="V75" i="8" s="1"/>
  <c r="N54" i="4"/>
  <c r="J75" i="8" s="1"/>
  <c r="T54" i="4"/>
  <c r="P75" i="8" s="1"/>
  <c r="R54" i="4"/>
  <c r="N75" i="8" s="1"/>
  <c r="AE54" i="4"/>
  <c r="AA75" i="8" s="1"/>
  <c r="AG54" i="4"/>
  <c r="AC75" i="8" s="1"/>
  <c r="J54" i="4"/>
  <c r="F75" i="8" s="1"/>
  <c r="Q54" i="4"/>
  <c r="M75" i="8" s="1"/>
  <c r="AC54" i="4"/>
  <c r="Y75" i="8" s="1"/>
  <c r="O54" i="4"/>
  <c r="K75" i="8" s="1"/>
  <c r="AF54" i="4"/>
  <c r="AB75" i="8" s="1"/>
  <c r="AL54" i="4"/>
  <c r="AH75" i="8" s="1"/>
  <c r="AD54" i="4"/>
  <c r="Z75" i="8" s="1"/>
  <c r="AJ54" i="4"/>
  <c r="AF75" i="8" s="1"/>
  <c r="X54" i="4"/>
  <c r="T75" i="8" s="1"/>
  <c r="I54" i="4"/>
  <c r="E75" i="8" s="1"/>
  <c r="P54" i="4"/>
  <c r="L75" i="8" s="1"/>
  <c r="V54" i="4"/>
  <c r="R75" i="8" s="1"/>
  <c r="H54" i="4"/>
  <c r="D75" i="8" s="1"/>
  <c r="AK54" i="4"/>
  <c r="AG75" i="8" s="1"/>
  <c r="W54" i="4"/>
  <c r="S75" i="8" s="1"/>
  <c r="U54" i="4"/>
  <c r="Q75" i="8" s="1"/>
  <c r="M54" i="4"/>
  <c r="I75" i="8" s="1"/>
  <c r="Y54" i="4"/>
  <c r="U75" i="8" s="1"/>
  <c r="G54" i="4"/>
  <c r="C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K58" i="4"/>
  <c r="BG79" i="8" s="1"/>
  <c r="BR58" i="4"/>
  <c r="BN79" i="8" s="1"/>
  <c r="AV58" i="4"/>
  <c r="AR79" i="8" s="1"/>
  <c r="BA58" i="4"/>
  <c r="AW79" i="8" s="1"/>
  <c r="AO58" i="4"/>
  <c r="AK79" i="8" s="1"/>
  <c r="AM58" i="4"/>
  <c r="AI79" i="8" s="1"/>
  <c r="BD58" i="4"/>
  <c r="AZ79" i="8" s="1"/>
  <c r="BB58" i="4"/>
  <c r="AX79" i="8" s="1"/>
  <c r="BI58" i="4"/>
  <c r="BE79" i="8" s="1"/>
  <c r="BP58" i="4"/>
  <c r="BL79" i="8" s="1"/>
  <c r="AN58" i="4"/>
  <c r="AJ79" i="8" s="1"/>
  <c r="BO58" i="4"/>
  <c r="BK79" i="8" s="1"/>
  <c r="AZ58" i="4"/>
  <c r="AV79" i="8" s="1"/>
  <c r="BN58" i="4"/>
  <c r="BJ79" i="8" s="1"/>
  <c r="BL58" i="4"/>
  <c r="BH79" i="8" s="1"/>
  <c r="N58" i="4"/>
  <c r="J79" i="8" s="1"/>
  <c r="AH58" i="4"/>
  <c r="AD79" i="8" s="1"/>
  <c r="L58" i="4"/>
  <c r="H79" i="8" s="1"/>
  <c r="S58" i="4"/>
  <c r="O79" i="8" s="1"/>
  <c r="K58" i="4"/>
  <c r="G79" i="8" s="1"/>
  <c r="AB58" i="4"/>
  <c r="X79" i="8" s="1"/>
  <c r="T58" i="4"/>
  <c r="P79" i="8" s="1"/>
  <c r="Z58" i="4"/>
  <c r="V79" i="8" s="1"/>
  <c r="AG58" i="4"/>
  <c r="AC79" i="8" s="1"/>
  <c r="AR58" i="4"/>
  <c r="AN79" i="8" s="1"/>
  <c r="BF58" i="4"/>
  <c r="BB79" i="8" s="1"/>
  <c r="AW58" i="4"/>
  <c r="AS79" i="8" s="1"/>
  <c r="AX58" i="4"/>
  <c r="AT79" i="8" s="1"/>
  <c r="M58" i="4"/>
  <c r="I79" i="8" s="1"/>
  <c r="U58" i="4"/>
  <c r="Q79" i="8" s="1"/>
  <c r="AA58" i="4"/>
  <c r="W79" i="8" s="1"/>
  <c r="AE58" i="4"/>
  <c r="AA79" i="8" s="1"/>
  <c r="BM58" i="4"/>
  <c r="BI79" i="8" s="1"/>
  <c r="J58" i="4"/>
  <c r="F79" i="8" s="1"/>
  <c r="Y58" i="4"/>
  <c r="U79" i="8" s="1"/>
  <c r="V58" i="4"/>
  <c r="R79" i="8" s="1"/>
  <c r="AQ58" i="4"/>
  <c r="AM79" i="8" s="1"/>
  <c r="Q58" i="4"/>
  <c r="M79" i="8" s="1"/>
  <c r="AJ58" i="4"/>
  <c r="AF79" i="8" s="1"/>
  <c r="AI58" i="4"/>
  <c r="AE79" i="8" s="1"/>
  <c r="BE58" i="4"/>
  <c r="BA79" i="8" s="1"/>
  <c r="AK58" i="4"/>
  <c r="AG79" i="8" s="1"/>
  <c r="I58" i="4"/>
  <c r="E79" i="8" s="1"/>
  <c r="AY58" i="4"/>
  <c r="AU79" i="8" s="1"/>
  <c r="O58" i="4"/>
  <c r="K79" i="8" s="1"/>
  <c r="R58" i="4"/>
  <c r="N79" i="8" s="1"/>
  <c r="AD58" i="4"/>
  <c r="Z79" i="8" s="1"/>
  <c r="AC58" i="4"/>
  <c r="Y79" i="8" s="1"/>
  <c r="AF58" i="4"/>
  <c r="AB79" i="8" s="1"/>
  <c r="X58" i="4"/>
  <c r="T79" i="8" s="1"/>
  <c r="P58" i="4"/>
  <c r="L79" i="8" s="1"/>
  <c r="G58" i="4"/>
  <c r="C79" i="8" s="1"/>
  <c r="H58" i="4"/>
  <c r="D79" i="8" s="1"/>
  <c r="AL58" i="4"/>
  <c r="AH79" i="8" s="1"/>
  <c r="W58" i="4"/>
  <c r="S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H60" i="4"/>
  <c r="BD81" i="8" s="1"/>
  <c r="BG60" i="4"/>
  <c r="BC81" i="8" s="1"/>
  <c r="BK60" i="4"/>
  <c r="BG81" i="8" s="1"/>
  <c r="BR60" i="4"/>
  <c r="BN81" i="8" s="1"/>
  <c r="AI60" i="4"/>
  <c r="AE81" i="8" s="1"/>
  <c r="O60" i="4"/>
  <c r="K81" i="8" s="1"/>
  <c r="T60" i="4"/>
  <c r="P81" i="8" s="1"/>
  <c r="K60" i="4"/>
  <c r="G81" i="8" s="1"/>
  <c r="AY60" i="4"/>
  <c r="AU81" i="8" s="1"/>
  <c r="BE60" i="4"/>
  <c r="BA81" i="8" s="1"/>
  <c r="AQ60" i="4"/>
  <c r="AM81" i="8" s="1"/>
  <c r="BM60" i="4"/>
  <c r="BI81" i="8" s="1"/>
  <c r="U60" i="4"/>
  <c r="Q81" i="8" s="1"/>
  <c r="AG60" i="4"/>
  <c r="AC81" i="8" s="1"/>
  <c r="S60" i="4"/>
  <c r="O81" i="8" s="1"/>
  <c r="AE60" i="4"/>
  <c r="AA81" i="8" s="1"/>
  <c r="AA60" i="4"/>
  <c r="W81" i="8" s="1"/>
  <c r="Z60" i="4"/>
  <c r="V81" i="8" s="1"/>
  <c r="AR60" i="4"/>
  <c r="AN81" i="8" s="1"/>
  <c r="BF60" i="4"/>
  <c r="BB81" i="8" s="1"/>
  <c r="AW60" i="4"/>
  <c r="AS81" i="8" s="1"/>
  <c r="AX60" i="4"/>
  <c r="AT81" i="8" s="1"/>
  <c r="AH60" i="4"/>
  <c r="AD81" i="8" s="1"/>
  <c r="N60" i="4"/>
  <c r="J81" i="8" s="1"/>
  <c r="AB60" i="4"/>
  <c r="X81" i="8" s="1"/>
  <c r="L60" i="4"/>
  <c r="H81" i="8" s="1"/>
  <c r="J60" i="4"/>
  <c r="F81" i="8" s="1"/>
  <c r="X60" i="4"/>
  <c r="T81" i="8" s="1"/>
  <c r="AK60" i="4"/>
  <c r="AG81" i="8" s="1"/>
  <c r="AC60" i="4"/>
  <c r="Y81" i="8" s="1"/>
  <c r="Y60" i="4"/>
  <c r="U81" i="8" s="1"/>
  <c r="AD60" i="4"/>
  <c r="Z81" i="8" s="1"/>
  <c r="P60" i="4"/>
  <c r="L81" i="8" s="1"/>
  <c r="G60" i="4"/>
  <c r="C81" i="8" s="1"/>
  <c r="V60" i="4"/>
  <c r="R81" i="8" s="1"/>
  <c r="AJ60" i="4"/>
  <c r="AF81" i="8" s="1"/>
  <c r="I60" i="4"/>
  <c r="E81" i="8" s="1"/>
  <c r="W60" i="4"/>
  <c r="S81" i="8" s="1"/>
  <c r="H60" i="4"/>
  <c r="D81" i="8" s="1"/>
  <c r="AL60" i="4"/>
  <c r="AH81" i="8" s="1"/>
  <c r="M60" i="4"/>
  <c r="I81" i="8" s="1"/>
  <c r="Q60" i="4"/>
  <c r="M81" i="8" s="1"/>
  <c r="R60" i="4"/>
  <c r="N81" i="8" s="1"/>
  <c r="AF60" i="4"/>
  <c r="AB81" i="8" s="1"/>
  <c r="BD62" i="4"/>
  <c r="AZ83" i="8" s="1"/>
  <c r="BB62" i="4"/>
  <c r="AX83" i="8" s="1"/>
  <c r="BI62" i="4"/>
  <c r="BE83" i="8" s="1"/>
  <c r="AN62" i="4"/>
  <c r="AJ83" i="8" s="1"/>
  <c r="BL62" i="4"/>
  <c r="BH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AP62" i="4"/>
  <c r="AL83" i="8" s="1"/>
  <c r="AU62" i="4"/>
  <c r="AQ83" i="8" s="1"/>
  <c r="BH62" i="4"/>
  <c r="BD83" i="8" s="1"/>
  <c r="BG62" i="4"/>
  <c r="BC83" i="8" s="1"/>
  <c r="BK62" i="4"/>
  <c r="BG83" i="8" s="1"/>
  <c r="N62" i="4"/>
  <c r="J83" i="8" s="1"/>
  <c r="AA62" i="4"/>
  <c r="W83" i="8" s="1"/>
  <c r="L62" i="4"/>
  <c r="H83" i="8" s="1"/>
  <c r="R62" i="4"/>
  <c r="N83" i="8" s="1"/>
  <c r="K62" i="4"/>
  <c r="G83" i="8" s="1"/>
  <c r="AY62" i="4"/>
  <c r="AU83" i="8" s="1"/>
  <c r="BE62" i="4"/>
  <c r="BA83" i="8" s="1"/>
  <c r="AQ62" i="4"/>
  <c r="AM83" i="8" s="1"/>
  <c r="BM62" i="4"/>
  <c r="BI83" i="8" s="1"/>
  <c r="Z62" i="4"/>
  <c r="V83" i="8" s="1"/>
  <c r="AB62" i="4"/>
  <c r="X83" i="8" s="1"/>
  <c r="O62" i="4"/>
  <c r="K83" i="8" s="1"/>
  <c r="M62" i="4"/>
  <c r="I83" i="8" s="1"/>
  <c r="J62" i="4"/>
  <c r="F83" i="8" s="1"/>
  <c r="U62" i="4"/>
  <c r="Q83" i="8" s="1"/>
  <c r="T62" i="4"/>
  <c r="P83" i="8" s="1"/>
  <c r="S62" i="4"/>
  <c r="O83" i="8" s="1"/>
  <c r="AR62" i="4"/>
  <c r="AN83" i="8" s="1"/>
  <c r="AG62" i="4"/>
  <c r="AC83" i="8" s="1"/>
  <c r="AH62" i="4"/>
  <c r="AD83" i="8" s="1"/>
  <c r="AF62" i="4"/>
  <c r="AB83" i="8" s="1"/>
  <c r="AL62" i="4"/>
  <c r="AH83" i="8" s="1"/>
  <c r="X62" i="4"/>
  <c r="T83" i="8" s="1"/>
  <c r="AK62" i="4"/>
  <c r="AG83" i="8" s="1"/>
  <c r="I62" i="4"/>
  <c r="E83" i="8" s="1"/>
  <c r="W62" i="4"/>
  <c r="S83" i="8" s="1"/>
  <c r="AC62" i="4"/>
  <c r="Y83" i="8" s="1"/>
  <c r="AJ62" i="4"/>
  <c r="AF83" i="8" s="1"/>
  <c r="V62" i="4"/>
  <c r="R83" i="8" s="1"/>
  <c r="Y62" i="4"/>
  <c r="U83" i="8" s="1"/>
  <c r="Q62" i="4"/>
  <c r="M83" i="8" s="1"/>
  <c r="AX62" i="4"/>
  <c r="AT83" i="8" s="1"/>
  <c r="AI62" i="4"/>
  <c r="AE83" i="8" s="1"/>
  <c r="AE62" i="4"/>
  <c r="AA83" i="8" s="1"/>
  <c r="P62" i="4"/>
  <c r="L83" i="8" s="1"/>
  <c r="G62" i="4"/>
  <c r="C83" i="8" s="1"/>
  <c r="H62" i="4"/>
  <c r="D83" i="8" s="1"/>
  <c r="AW62" i="4"/>
  <c r="AS83" i="8" s="1"/>
  <c r="AD62" i="4"/>
  <c r="Z83" i="8" s="1"/>
  <c r="BF62" i="4"/>
  <c r="BB83" i="8" s="1"/>
  <c r="BC64" i="4"/>
  <c r="AY85" i="8" s="1"/>
  <c r="AP64" i="4"/>
  <c r="AL85" i="8" s="1"/>
  <c r="AU64" i="4"/>
  <c r="AQ85" i="8" s="1"/>
  <c r="BH64" i="4"/>
  <c r="BD85" i="8" s="1"/>
  <c r="BG64" i="4"/>
  <c r="BC85" i="8" s="1"/>
  <c r="BK64" i="4"/>
  <c r="BG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O64" i="4"/>
  <c r="BK85" i="8" s="1"/>
  <c r="AZ64" i="4"/>
  <c r="AV85" i="8" s="1"/>
  <c r="BN64" i="4"/>
  <c r="BJ85" i="8" s="1"/>
  <c r="BJ64" i="4"/>
  <c r="BF85" i="8" s="1"/>
  <c r="BQ64" i="4"/>
  <c r="BM85" i="8" s="1"/>
  <c r="BR64" i="4"/>
  <c r="BN85" i="8" s="1"/>
  <c r="BA64" i="4"/>
  <c r="AW85" i="8" s="1"/>
  <c r="Z64" i="4"/>
  <c r="V85" i="8" s="1"/>
  <c r="K64" i="4"/>
  <c r="G85" i="8" s="1"/>
  <c r="AR64" i="4"/>
  <c r="AN85" i="8" s="1"/>
  <c r="BF64" i="4"/>
  <c r="BB85" i="8" s="1"/>
  <c r="AW64" i="4"/>
  <c r="AS85" i="8" s="1"/>
  <c r="AX64" i="4"/>
  <c r="AT85" i="8" s="1"/>
  <c r="L64" i="4"/>
  <c r="H85" i="8" s="1"/>
  <c r="AG64" i="4"/>
  <c r="AC85" i="8" s="1"/>
  <c r="O64" i="4"/>
  <c r="K85" i="8" s="1"/>
  <c r="M64" i="4"/>
  <c r="I85" i="8" s="1"/>
  <c r="T64" i="4"/>
  <c r="P85" i="8" s="1"/>
  <c r="R64" i="4"/>
  <c r="N85" i="8" s="1"/>
  <c r="U64" i="4"/>
  <c r="Q85" i="8" s="1"/>
  <c r="AB64" i="4"/>
  <c r="X85" i="8" s="1"/>
  <c r="S64" i="4"/>
  <c r="O85" i="8" s="1"/>
  <c r="AI64" i="4"/>
  <c r="AE85" i="8" s="1"/>
  <c r="AE64" i="4"/>
  <c r="AA85" i="8" s="1"/>
  <c r="AY64" i="4"/>
  <c r="AU85" i="8" s="1"/>
  <c r="BE64" i="4"/>
  <c r="BA85" i="8" s="1"/>
  <c r="AQ64" i="4"/>
  <c r="AM85" i="8" s="1"/>
  <c r="BM64" i="4"/>
  <c r="BI85" i="8" s="1"/>
  <c r="N64" i="4"/>
  <c r="J85" i="8" s="1"/>
  <c r="W64" i="4"/>
  <c r="S85" i="8" s="1"/>
  <c r="I64" i="4"/>
  <c r="E85" i="8" s="1"/>
  <c r="P64" i="4"/>
  <c r="L85" i="8" s="1"/>
  <c r="AC64" i="4"/>
  <c r="Y85" i="8" s="1"/>
  <c r="AJ64" i="4"/>
  <c r="AF85" i="8" s="1"/>
  <c r="V64" i="4"/>
  <c r="R85" i="8" s="1"/>
  <c r="AH64" i="4"/>
  <c r="AD85" i="8" s="1"/>
  <c r="AF64" i="4"/>
  <c r="AB85" i="8" s="1"/>
  <c r="AL64" i="4"/>
  <c r="AH85" i="8" s="1"/>
  <c r="X64" i="4"/>
  <c r="T85" i="8" s="1"/>
  <c r="AK64" i="4"/>
  <c r="AG85" i="8" s="1"/>
  <c r="G64" i="4"/>
  <c r="C85" i="8" s="1"/>
  <c r="AA64" i="4"/>
  <c r="W85" i="8" s="1"/>
  <c r="AD64" i="4"/>
  <c r="Z85" i="8" s="1"/>
  <c r="Q64" i="4"/>
  <c r="M85" i="8" s="1"/>
  <c r="J64" i="4"/>
  <c r="F85" i="8" s="1"/>
  <c r="Y64" i="4"/>
  <c r="U85" i="8" s="1"/>
  <c r="H64" i="4"/>
  <c r="D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BK66" i="4"/>
  <c r="BG87" i="8" s="1"/>
  <c r="BL66" i="4"/>
  <c r="BH87" i="8" s="1"/>
  <c r="AS66" i="4"/>
  <c r="AO87" i="8" s="1"/>
  <c r="BR66" i="4"/>
  <c r="BN87" i="8" s="1"/>
  <c r="AT66" i="4"/>
  <c r="AP87" i="8" s="1"/>
  <c r="BJ66" i="4"/>
  <c r="BF87" i="8" s="1"/>
  <c r="BQ66" i="4"/>
  <c r="BM87" i="8" s="1"/>
  <c r="AO66" i="4"/>
  <c r="AK87" i="8" s="1"/>
  <c r="AV66" i="4"/>
  <c r="AR87" i="8" s="1"/>
  <c r="AM66" i="4"/>
  <c r="AI87" i="8" s="1"/>
  <c r="BP66" i="4"/>
  <c r="BL87" i="8" s="1"/>
  <c r="BO66" i="4"/>
  <c r="BK87" i="8" s="1"/>
  <c r="AZ66" i="4"/>
  <c r="AV87" i="8" s="1"/>
  <c r="BN66" i="4"/>
  <c r="BJ87" i="8" s="1"/>
  <c r="U66" i="4"/>
  <c r="Q87" i="8" s="1"/>
  <c r="Z66" i="4"/>
  <c r="V87" i="8" s="1"/>
  <c r="L66" i="4"/>
  <c r="H87" i="8" s="1"/>
  <c r="AH66" i="4"/>
  <c r="AD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K66" i="4"/>
  <c r="G87" i="8" s="1"/>
  <c r="AA66" i="4"/>
  <c r="W87" i="8" s="1"/>
  <c r="AI66" i="4"/>
  <c r="AE87" i="8" s="1"/>
  <c r="O66" i="4"/>
  <c r="K87" i="8" s="1"/>
  <c r="M66" i="4"/>
  <c r="I87" i="8" s="1"/>
  <c r="AG66" i="4"/>
  <c r="AC87" i="8" s="1"/>
  <c r="J66" i="4"/>
  <c r="F87" i="8" s="1"/>
  <c r="S66" i="4"/>
  <c r="O87" i="8" s="1"/>
  <c r="AD66" i="4"/>
  <c r="Z87" i="8" s="1"/>
  <c r="P66" i="4"/>
  <c r="L87" i="8" s="1"/>
  <c r="BM66" i="4"/>
  <c r="BI87" i="8" s="1"/>
  <c r="H66" i="4"/>
  <c r="D87" i="8" s="1"/>
  <c r="AQ66" i="4"/>
  <c r="AM87" i="8" s="1"/>
  <c r="Y66" i="4"/>
  <c r="U87" i="8" s="1"/>
  <c r="AJ66" i="4"/>
  <c r="AF87" i="8" s="1"/>
  <c r="BE66" i="4"/>
  <c r="BA87" i="8" s="1"/>
  <c r="AF66" i="4"/>
  <c r="AB87" i="8" s="1"/>
  <c r="Q66" i="4"/>
  <c r="M87" i="8" s="1"/>
  <c r="R66" i="4"/>
  <c r="N87" i="8" s="1"/>
  <c r="AE66" i="4"/>
  <c r="AA87" i="8" s="1"/>
  <c r="I66" i="4"/>
  <c r="E87" i="8" s="1"/>
  <c r="AY66" i="4"/>
  <c r="AU87" i="8" s="1"/>
  <c r="N66" i="4"/>
  <c r="J87" i="8" s="1"/>
  <c r="AK66" i="4"/>
  <c r="AG87" i="8" s="1"/>
  <c r="W66" i="4"/>
  <c r="S87" i="8" s="1"/>
  <c r="V66" i="4"/>
  <c r="R87" i="8" s="1"/>
  <c r="AC66" i="4"/>
  <c r="Y87" i="8" s="1"/>
  <c r="AL66" i="4"/>
  <c r="AH87" i="8" s="1"/>
  <c r="X66" i="4"/>
  <c r="T87" i="8" s="1"/>
  <c r="G66" i="4"/>
  <c r="C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BN68" i="4"/>
  <c r="BJ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H68" i="4"/>
  <c r="BD89" i="8" s="1"/>
  <c r="BG68" i="4"/>
  <c r="BC89" i="8" s="1"/>
  <c r="BL68" i="4"/>
  <c r="BH89" i="8" s="1"/>
  <c r="BJ68" i="4"/>
  <c r="BF89" i="8" s="1"/>
  <c r="AS68" i="4"/>
  <c r="AO89" i="8" s="1"/>
  <c r="AT68" i="4"/>
  <c r="AP89" i="8" s="1"/>
  <c r="N68" i="4"/>
  <c r="J89" i="8" s="1"/>
  <c r="U68" i="4"/>
  <c r="Q89" i="8" s="1"/>
  <c r="AY68" i="4"/>
  <c r="AU89" i="8" s="1"/>
  <c r="BE68" i="4"/>
  <c r="BA89" i="8" s="1"/>
  <c r="AQ68" i="4"/>
  <c r="AM89" i="8" s="1"/>
  <c r="BM68" i="4"/>
  <c r="BI89" i="8" s="1"/>
  <c r="T68" i="4"/>
  <c r="P89" i="8" s="1"/>
  <c r="AI68" i="4"/>
  <c r="AE89" i="8" s="1"/>
  <c r="AA68" i="4"/>
  <c r="W89" i="8" s="1"/>
  <c r="S68" i="4"/>
  <c r="O89" i="8" s="1"/>
  <c r="M68" i="4"/>
  <c r="I89" i="8" s="1"/>
  <c r="AR68" i="4"/>
  <c r="AN89" i="8" s="1"/>
  <c r="BF68" i="4"/>
  <c r="BB89" i="8" s="1"/>
  <c r="AW68" i="4"/>
  <c r="AS89" i="8" s="1"/>
  <c r="AX68" i="4"/>
  <c r="AT89" i="8" s="1"/>
  <c r="O68" i="4"/>
  <c r="K89" i="8" s="1"/>
  <c r="Z68" i="4"/>
  <c r="V89" i="8" s="1"/>
  <c r="AE68" i="4"/>
  <c r="AA89" i="8" s="1"/>
  <c r="AH68" i="4"/>
  <c r="AD89" i="8" s="1"/>
  <c r="Q68" i="4"/>
  <c r="M89" i="8" s="1"/>
  <c r="AJ68" i="4"/>
  <c r="AF89" i="8" s="1"/>
  <c r="H68" i="4"/>
  <c r="D89" i="8" s="1"/>
  <c r="AL68" i="4"/>
  <c r="AH89" i="8" s="1"/>
  <c r="W68" i="4"/>
  <c r="S89" i="8" s="1"/>
  <c r="AB68" i="4"/>
  <c r="X89" i="8" s="1"/>
  <c r="Y68" i="4"/>
  <c r="U89" i="8" s="1"/>
  <c r="V68" i="4"/>
  <c r="R89" i="8" s="1"/>
  <c r="AG68" i="4"/>
  <c r="AC89" i="8" s="1"/>
  <c r="X68" i="4"/>
  <c r="T89" i="8" s="1"/>
  <c r="AD68" i="4"/>
  <c r="Z89" i="8" s="1"/>
  <c r="AK68" i="4"/>
  <c r="AG89" i="8" s="1"/>
  <c r="AF68" i="4"/>
  <c r="AB89" i="8" s="1"/>
  <c r="I68" i="4"/>
  <c r="E89" i="8" s="1"/>
  <c r="P68" i="4"/>
  <c r="L89" i="8" s="1"/>
  <c r="G68" i="4"/>
  <c r="C89" i="8" s="1"/>
  <c r="AC68" i="4"/>
  <c r="Y89" i="8" s="1"/>
  <c r="L68" i="4"/>
  <c r="H89" i="8" s="1"/>
  <c r="R68" i="4"/>
  <c r="N89" i="8" s="1"/>
  <c r="J68" i="4"/>
  <c r="F89" i="8" s="1"/>
  <c r="K68" i="4"/>
  <c r="G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N70" i="4"/>
  <c r="BJ91" i="8" s="1"/>
  <c r="BC70" i="4"/>
  <c r="AY91" i="8" s="1"/>
  <c r="BK70" i="4"/>
  <c r="BG91" i="8" s="1"/>
  <c r="AV70" i="4"/>
  <c r="AR91" i="8" s="1"/>
  <c r="AM70" i="4"/>
  <c r="AI91" i="8" s="1"/>
  <c r="AP70" i="4"/>
  <c r="AL91" i="8" s="1"/>
  <c r="BR70" i="4"/>
  <c r="BN91" i="8" s="1"/>
  <c r="BD70" i="4"/>
  <c r="AZ91" i="8" s="1"/>
  <c r="AN70" i="4"/>
  <c r="AJ91" i="8" s="1"/>
  <c r="BH70" i="4"/>
  <c r="BD91" i="8" s="1"/>
  <c r="BG70" i="4"/>
  <c r="BC91" i="8" s="1"/>
  <c r="BL70" i="4"/>
  <c r="BH91" i="8" s="1"/>
  <c r="M70" i="4"/>
  <c r="I91" i="8" s="1"/>
  <c r="AA70" i="4"/>
  <c r="W91" i="8" s="1"/>
  <c r="N70" i="4"/>
  <c r="J91" i="8" s="1"/>
  <c r="L70" i="4"/>
  <c r="H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H70" i="4"/>
  <c r="AD91" i="8" s="1"/>
  <c r="K70" i="4"/>
  <c r="G91" i="8" s="1"/>
  <c r="AB70" i="4"/>
  <c r="X91" i="8" s="1"/>
  <c r="BF70" i="4"/>
  <c r="BB91" i="8" s="1"/>
  <c r="R70" i="4"/>
  <c r="N91" i="8" s="1"/>
  <c r="AF70" i="4"/>
  <c r="AB91" i="8" s="1"/>
  <c r="AL70" i="4"/>
  <c r="AH91" i="8" s="1"/>
  <c r="AK70" i="4"/>
  <c r="AG91" i="8" s="1"/>
  <c r="AR70" i="4"/>
  <c r="AN91" i="8" s="1"/>
  <c r="J70" i="4"/>
  <c r="F91" i="8" s="1"/>
  <c r="Y70" i="4"/>
  <c r="U91" i="8" s="1"/>
  <c r="W70" i="4"/>
  <c r="S91" i="8" s="1"/>
  <c r="T70" i="4"/>
  <c r="P91" i="8" s="1"/>
  <c r="X70" i="4"/>
  <c r="T91" i="8" s="1"/>
  <c r="AD70" i="4"/>
  <c r="Z91" i="8" s="1"/>
  <c r="P70" i="4"/>
  <c r="L91" i="8" s="1"/>
  <c r="AJ70" i="4"/>
  <c r="AF91" i="8" s="1"/>
  <c r="H70" i="4"/>
  <c r="D91" i="8" s="1"/>
  <c r="AE70" i="4"/>
  <c r="AA91" i="8" s="1"/>
  <c r="I70" i="4"/>
  <c r="E91" i="8" s="1"/>
  <c r="AC70" i="4"/>
  <c r="Y91" i="8" s="1"/>
  <c r="G70" i="4"/>
  <c r="C91" i="8" s="1"/>
  <c r="AW70" i="4"/>
  <c r="AS91" i="8" s="1"/>
  <c r="S70" i="4"/>
  <c r="O91" i="8" s="1"/>
  <c r="AX70" i="4"/>
  <c r="AT91" i="8" s="1"/>
  <c r="AI70" i="4"/>
  <c r="AE91" i="8" s="1"/>
  <c r="AG70" i="4"/>
  <c r="AC91" i="8" s="1"/>
  <c r="Q70" i="4"/>
  <c r="M91" i="8" s="1"/>
  <c r="V70" i="4"/>
  <c r="R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BL72" i="4"/>
  <c r="BH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O72" i="4"/>
  <c r="BK93" i="8" s="1"/>
  <c r="AZ72" i="4"/>
  <c r="AV93" i="8" s="1"/>
  <c r="BN72" i="4"/>
  <c r="BJ93" i="8" s="1"/>
  <c r="BK72" i="4"/>
  <c r="BG93" i="8" s="1"/>
  <c r="AR72" i="4"/>
  <c r="AN93" i="8" s="1"/>
  <c r="BF72" i="4"/>
  <c r="BB93" i="8" s="1"/>
  <c r="AW72" i="4"/>
  <c r="AS93" i="8" s="1"/>
  <c r="AX72" i="4"/>
  <c r="AT93" i="8" s="1"/>
  <c r="R72" i="4"/>
  <c r="N93" i="8" s="1"/>
  <c r="N72" i="4"/>
  <c r="J93" i="8" s="1"/>
  <c r="AH72" i="4"/>
  <c r="AD93" i="8" s="1"/>
  <c r="L72" i="4"/>
  <c r="H93" i="8" s="1"/>
  <c r="T72" i="4"/>
  <c r="P93" i="8" s="1"/>
  <c r="AB72" i="4"/>
  <c r="X93" i="8" s="1"/>
  <c r="AI72" i="4"/>
  <c r="AE93" i="8" s="1"/>
  <c r="S72" i="4"/>
  <c r="O93" i="8" s="1"/>
  <c r="AY72" i="4"/>
  <c r="AU93" i="8" s="1"/>
  <c r="BE72" i="4"/>
  <c r="BA93" i="8" s="1"/>
  <c r="AQ72" i="4"/>
  <c r="AM93" i="8" s="1"/>
  <c r="BM72" i="4"/>
  <c r="BI93" i="8" s="1"/>
  <c r="M72" i="4"/>
  <c r="I93" i="8" s="1"/>
  <c r="U72" i="4"/>
  <c r="Q93" i="8" s="1"/>
  <c r="Z72" i="4"/>
  <c r="V93" i="8" s="1"/>
  <c r="AE72" i="4"/>
  <c r="AA93" i="8" s="1"/>
  <c r="Q72" i="4"/>
  <c r="M93" i="8" s="1"/>
  <c r="X72" i="4"/>
  <c r="T93" i="8" s="1"/>
  <c r="O72" i="4"/>
  <c r="K93" i="8" s="1"/>
  <c r="W72" i="4"/>
  <c r="S93" i="8" s="1"/>
  <c r="P72" i="4"/>
  <c r="L93" i="8" s="1"/>
  <c r="AG72" i="4"/>
  <c r="AC93" i="8" s="1"/>
  <c r="J72" i="4"/>
  <c r="F93" i="8" s="1"/>
  <c r="AJ72" i="4"/>
  <c r="AF93" i="8" s="1"/>
  <c r="G72" i="4"/>
  <c r="C93" i="8" s="1"/>
  <c r="Y72" i="4"/>
  <c r="U93" i="8" s="1"/>
  <c r="K72" i="4"/>
  <c r="G93" i="8" s="1"/>
  <c r="AL72" i="4"/>
  <c r="AH93" i="8" s="1"/>
  <c r="I72" i="4"/>
  <c r="E93" i="8" s="1"/>
  <c r="V72" i="4"/>
  <c r="R93" i="8" s="1"/>
  <c r="AC72" i="4"/>
  <c r="Y93" i="8" s="1"/>
  <c r="AD72" i="4"/>
  <c r="Z93" i="8" s="1"/>
  <c r="H72" i="4"/>
  <c r="D93" i="8" s="1"/>
  <c r="AA72" i="4"/>
  <c r="W93" i="8" s="1"/>
  <c r="AF72" i="4"/>
  <c r="AB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BL74" i="4"/>
  <c r="BH95" i="8" s="1"/>
  <c r="AS74" i="4"/>
  <c r="AO95" i="8" s="1"/>
  <c r="AM74" i="4"/>
  <c r="AI95" i="8" s="1"/>
  <c r="BB74" i="4"/>
  <c r="AX95" i="8" s="1"/>
  <c r="AU74" i="4"/>
  <c r="AQ95" i="8" s="1"/>
  <c r="BQ74" i="4"/>
  <c r="BM95" i="8" s="1"/>
  <c r="AO74" i="4"/>
  <c r="AK95" i="8" s="1"/>
  <c r="BR74" i="4"/>
  <c r="BN95" i="8" s="1"/>
  <c r="BI74" i="4"/>
  <c r="BE95" i="8" s="1"/>
  <c r="BP74" i="4"/>
  <c r="BL95" i="8" s="1"/>
  <c r="BA74" i="4"/>
  <c r="AW95" i="8" s="1"/>
  <c r="BO74" i="4"/>
  <c r="BK95" i="8" s="1"/>
  <c r="AZ74" i="4"/>
  <c r="AV95" i="8" s="1"/>
  <c r="BN74" i="4"/>
  <c r="BJ95" i="8" s="1"/>
  <c r="T74" i="4"/>
  <c r="P95" i="8" s="1"/>
  <c r="N74" i="4"/>
  <c r="J95" i="8" s="1"/>
  <c r="O74" i="4"/>
  <c r="K95" i="8" s="1"/>
  <c r="S74" i="4"/>
  <c r="O95" i="8" s="1"/>
  <c r="R74" i="4"/>
  <c r="N95" i="8" s="1"/>
  <c r="M74" i="4"/>
  <c r="I95" i="8" s="1"/>
  <c r="AG74" i="4"/>
  <c r="AC95" i="8" s="1"/>
  <c r="AR74" i="4"/>
  <c r="AN95" i="8" s="1"/>
  <c r="BF74" i="4"/>
  <c r="BB95" i="8" s="1"/>
  <c r="AW74" i="4"/>
  <c r="AS95" i="8" s="1"/>
  <c r="AX74" i="4"/>
  <c r="AT95" i="8" s="1"/>
  <c r="U74" i="4"/>
  <c r="Q95" i="8" s="1"/>
  <c r="AB74" i="4"/>
  <c r="X95" i="8" s="1"/>
  <c r="AA74" i="4"/>
  <c r="W95" i="8" s="1"/>
  <c r="K74" i="4"/>
  <c r="G95" i="8" s="1"/>
  <c r="AI74" i="4"/>
  <c r="AE95" i="8" s="1"/>
  <c r="AH74" i="4"/>
  <c r="AD95" i="8" s="1"/>
  <c r="AE74" i="4"/>
  <c r="AA95" i="8" s="1"/>
  <c r="V74" i="4"/>
  <c r="R95" i="8" s="1"/>
  <c r="AC74" i="4"/>
  <c r="Y95" i="8" s="1"/>
  <c r="AJ74" i="4"/>
  <c r="AF95" i="8" s="1"/>
  <c r="BM74" i="4"/>
  <c r="BI95" i="8" s="1"/>
  <c r="J74" i="4"/>
  <c r="F95" i="8" s="1"/>
  <c r="AQ74" i="4"/>
  <c r="AM95" i="8" s="1"/>
  <c r="L74" i="4"/>
  <c r="H95" i="8" s="1"/>
  <c r="Q74" i="4"/>
  <c r="M95" i="8" s="1"/>
  <c r="W74" i="4"/>
  <c r="S95" i="8" s="1"/>
  <c r="BE74" i="4"/>
  <c r="BA95" i="8" s="1"/>
  <c r="Z74" i="4"/>
  <c r="V95" i="8" s="1"/>
  <c r="AL74" i="4"/>
  <c r="AH95" i="8" s="1"/>
  <c r="AY74" i="4"/>
  <c r="AU95" i="8" s="1"/>
  <c r="AF74" i="4"/>
  <c r="AB95" i="8" s="1"/>
  <c r="X74" i="4"/>
  <c r="T95" i="8" s="1"/>
  <c r="AK74" i="4"/>
  <c r="AG95" i="8" s="1"/>
  <c r="I74" i="4"/>
  <c r="E95" i="8" s="1"/>
  <c r="AD74" i="4"/>
  <c r="Z95" i="8" s="1"/>
  <c r="P74" i="4"/>
  <c r="L95" i="8" s="1"/>
  <c r="G74" i="4"/>
  <c r="C95" i="8" s="1"/>
  <c r="H74" i="4"/>
  <c r="D95" i="8" s="1"/>
  <c r="Y74" i="4"/>
  <c r="U95" i="8" s="1"/>
  <c r="AV47" i="4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K47" i="4"/>
  <c r="BG68" i="8" s="1"/>
  <c r="AR47" i="4"/>
  <c r="AN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O47" i="4"/>
  <c r="BK68" i="8" s="1"/>
  <c r="AZ47" i="4"/>
  <c r="AV68" i="8" s="1"/>
  <c r="BN47" i="4"/>
  <c r="BJ68" i="8" s="1"/>
  <c r="BL47" i="4"/>
  <c r="BH68" i="8" s="1"/>
  <c r="M47" i="4"/>
  <c r="I68" i="8" s="1"/>
  <c r="AA47" i="4"/>
  <c r="W68" i="8" s="1"/>
  <c r="BF47" i="4"/>
  <c r="BB68" i="8" s="1"/>
  <c r="AW47" i="4"/>
  <c r="AS68" i="8" s="1"/>
  <c r="AX47" i="4"/>
  <c r="AT68" i="8" s="1"/>
  <c r="O47" i="4"/>
  <c r="K68" i="8" s="1"/>
  <c r="J47" i="4"/>
  <c r="F68" i="8" s="1"/>
  <c r="AE47" i="4"/>
  <c r="AA68" i="8" s="1"/>
  <c r="U47" i="4"/>
  <c r="Q68" i="8" s="1"/>
  <c r="K47" i="4"/>
  <c r="G68" i="8" s="1"/>
  <c r="R47" i="4"/>
  <c r="N68" i="8" s="1"/>
  <c r="AY47" i="4"/>
  <c r="AU68" i="8" s="1"/>
  <c r="BE47" i="4"/>
  <c r="BA68" i="8" s="1"/>
  <c r="AQ47" i="4"/>
  <c r="AM68" i="8" s="1"/>
  <c r="BM47" i="4"/>
  <c r="BI68" i="8" s="1"/>
  <c r="AB47" i="4"/>
  <c r="X68" i="8" s="1"/>
  <c r="AI47" i="4"/>
  <c r="AE68" i="8" s="1"/>
  <c r="AH47" i="4"/>
  <c r="AD68" i="8" s="1"/>
  <c r="L47" i="4"/>
  <c r="H68" i="8" s="1"/>
  <c r="Z47" i="4"/>
  <c r="V68" i="8" s="1"/>
  <c r="N47" i="4"/>
  <c r="J68" i="8" s="1"/>
  <c r="S47" i="4"/>
  <c r="O68" i="8" s="1"/>
  <c r="AK47" i="4"/>
  <c r="AG68" i="8" s="1"/>
  <c r="I47" i="4"/>
  <c r="E68" i="8" s="1"/>
  <c r="T47" i="4"/>
  <c r="P68" i="8" s="1"/>
  <c r="AG47" i="4"/>
  <c r="AC68" i="8" s="1"/>
  <c r="X47" i="4"/>
  <c r="T68" i="8" s="1"/>
  <c r="P47" i="4"/>
  <c r="L68" i="8" s="1"/>
  <c r="V47" i="4"/>
  <c r="R68" i="8" s="1"/>
  <c r="AC47" i="4"/>
  <c r="Y68" i="8" s="1"/>
  <c r="H47" i="4"/>
  <c r="D68" i="8" s="1"/>
  <c r="Y47" i="4"/>
  <c r="U68" i="8" s="1"/>
  <c r="G47" i="4"/>
  <c r="C68" i="8" s="1"/>
  <c r="AD47" i="4"/>
  <c r="Z68" i="8" s="1"/>
  <c r="AL47" i="4"/>
  <c r="AH68" i="8" s="1"/>
  <c r="AF47" i="4"/>
  <c r="AB68" i="8" s="1"/>
  <c r="Q47" i="4"/>
  <c r="M68" i="8" s="1"/>
  <c r="W47" i="4"/>
  <c r="S68" i="8" s="1"/>
  <c r="AJ47" i="4"/>
  <c r="AF6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K49" i="4"/>
  <c r="BG70" i="8" s="1"/>
  <c r="AR49" i="4"/>
  <c r="AN70" i="8" s="1"/>
  <c r="BR49" i="4"/>
  <c r="BN70" i="8" s="1"/>
  <c r="BL49" i="4"/>
  <c r="BH70" i="8" s="1"/>
  <c r="BJ49" i="4"/>
  <c r="BF70" i="8" s="1"/>
  <c r="BQ49" i="4"/>
  <c r="BM70" i="8" s="1"/>
  <c r="AO49" i="4"/>
  <c r="AK70" i="8" s="1"/>
  <c r="AM49" i="4"/>
  <c r="AI70" i="8" s="1"/>
  <c r="BB49" i="4"/>
  <c r="AX70" i="8" s="1"/>
  <c r="BP49" i="4"/>
  <c r="BL70" i="8" s="1"/>
  <c r="AN49" i="4"/>
  <c r="AJ70" i="8" s="1"/>
  <c r="BA49" i="4"/>
  <c r="AW70" i="8" s="1"/>
  <c r="BO49" i="4"/>
  <c r="BK70" i="8" s="1"/>
  <c r="AZ49" i="4"/>
  <c r="AV70" i="8" s="1"/>
  <c r="BN49" i="4"/>
  <c r="BJ70" i="8" s="1"/>
  <c r="AI49" i="4"/>
  <c r="AE70" i="8" s="1"/>
  <c r="AB49" i="4"/>
  <c r="X70" i="8" s="1"/>
  <c r="T49" i="4"/>
  <c r="P70" i="8" s="1"/>
  <c r="AH49" i="4"/>
  <c r="AD70" i="8" s="1"/>
  <c r="K49" i="4"/>
  <c r="G70" i="8" s="1"/>
  <c r="AE49" i="4"/>
  <c r="AA70" i="8" s="1"/>
  <c r="J49" i="4"/>
  <c r="F70" i="8" s="1"/>
  <c r="R49" i="4"/>
  <c r="N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S49" i="4"/>
  <c r="O70" i="8" s="1"/>
  <c r="N49" i="4"/>
  <c r="J70" i="8" s="1"/>
  <c r="U49" i="4"/>
  <c r="Q70" i="8" s="1"/>
  <c r="Z49" i="4"/>
  <c r="V70" i="8" s="1"/>
  <c r="AG49" i="4"/>
  <c r="AC70" i="8" s="1"/>
  <c r="AQ49" i="4"/>
  <c r="AM70" i="8" s="1"/>
  <c r="Y49" i="4"/>
  <c r="U70" i="8" s="1"/>
  <c r="AK49" i="4"/>
  <c r="AG70" i="8" s="1"/>
  <c r="AJ49" i="4"/>
  <c r="AF70" i="8" s="1"/>
  <c r="G49" i="4"/>
  <c r="C70" i="8" s="1"/>
  <c r="BE49" i="4"/>
  <c r="BA70" i="8" s="1"/>
  <c r="H49" i="4"/>
  <c r="D70" i="8" s="1"/>
  <c r="AY49" i="4"/>
  <c r="AU70" i="8" s="1"/>
  <c r="W49" i="4"/>
  <c r="S70" i="8" s="1"/>
  <c r="I49" i="4"/>
  <c r="E70" i="8" s="1"/>
  <c r="X49" i="4"/>
  <c r="T70" i="8" s="1"/>
  <c r="AL49" i="4"/>
  <c r="AH70" i="8" s="1"/>
  <c r="BM49" i="4"/>
  <c r="BI70" i="8" s="1"/>
  <c r="L49" i="4"/>
  <c r="H70" i="8" s="1"/>
  <c r="AD49" i="4"/>
  <c r="Z70" i="8" s="1"/>
  <c r="P49" i="4"/>
  <c r="L70" i="8" s="1"/>
  <c r="V49" i="4"/>
  <c r="R70" i="8" s="1"/>
  <c r="AF49" i="4"/>
  <c r="AB70" i="8" s="1"/>
  <c r="Q49" i="4"/>
  <c r="M70" i="8" s="1"/>
  <c r="AC49" i="4"/>
  <c r="Y70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BH51" i="4"/>
  <c r="BD72" i="8" s="1"/>
  <c r="AS51" i="4"/>
  <c r="AO72" i="8" s="1"/>
  <c r="BG51" i="4"/>
  <c r="BC72" i="8" s="1"/>
  <c r="BK51" i="4"/>
  <c r="BG72" i="8" s="1"/>
  <c r="AR51" i="4"/>
  <c r="AN72" i="8" s="1"/>
  <c r="AT51" i="4"/>
  <c r="AP72" i="8" s="1"/>
  <c r="T51" i="4"/>
  <c r="P72" i="8" s="1"/>
  <c r="AY51" i="4"/>
  <c r="AU72" i="8" s="1"/>
  <c r="BE51" i="4"/>
  <c r="BA72" i="8" s="1"/>
  <c r="AQ51" i="4"/>
  <c r="AM72" i="8" s="1"/>
  <c r="BM51" i="4"/>
  <c r="BI72" i="8" s="1"/>
  <c r="AG51" i="4"/>
  <c r="AC72" i="8" s="1"/>
  <c r="AE51" i="4"/>
  <c r="AA72" i="8" s="1"/>
  <c r="L51" i="4"/>
  <c r="H72" i="8" s="1"/>
  <c r="N51" i="4"/>
  <c r="J72" i="8" s="1"/>
  <c r="O51" i="4"/>
  <c r="K72" i="8" s="1"/>
  <c r="AH51" i="4"/>
  <c r="AD72" i="8" s="1"/>
  <c r="Z51" i="4"/>
  <c r="V72" i="8" s="1"/>
  <c r="BF51" i="4"/>
  <c r="BB72" i="8" s="1"/>
  <c r="AW51" i="4"/>
  <c r="AS72" i="8" s="1"/>
  <c r="AX51" i="4"/>
  <c r="AT72" i="8" s="1"/>
  <c r="U51" i="4"/>
  <c r="Q72" i="8" s="1"/>
  <c r="AI51" i="4"/>
  <c r="AE72" i="8" s="1"/>
  <c r="AA51" i="4"/>
  <c r="W72" i="8" s="1"/>
  <c r="K51" i="4"/>
  <c r="G72" i="8" s="1"/>
  <c r="AB51" i="4"/>
  <c r="X72" i="8" s="1"/>
  <c r="Y51" i="4"/>
  <c r="U72" i="8" s="1"/>
  <c r="X51" i="4"/>
  <c r="T72" i="8" s="1"/>
  <c r="AL51" i="4"/>
  <c r="AH72" i="8" s="1"/>
  <c r="I51" i="4"/>
  <c r="E72" i="8" s="1"/>
  <c r="R51" i="4"/>
  <c r="N72" i="8" s="1"/>
  <c r="Q51" i="4"/>
  <c r="M72" i="8" s="1"/>
  <c r="G51" i="4"/>
  <c r="C72" i="8" s="1"/>
  <c r="AK51" i="4"/>
  <c r="AG72" i="8" s="1"/>
  <c r="W51" i="4"/>
  <c r="S72" i="8" s="1"/>
  <c r="P51" i="4"/>
  <c r="L72" i="8" s="1"/>
  <c r="H51" i="4"/>
  <c r="D72" i="8" s="1"/>
  <c r="AF51" i="4"/>
  <c r="AB72" i="8" s="1"/>
  <c r="AC51" i="4"/>
  <c r="Y72" i="8" s="1"/>
  <c r="M51" i="4"/>
  <c r="I72" i="8" s="1"/>
  <c r="AD51" i="4"/>
  <c r="Z72" i="8" s="1"/>
  <c r="AJ51" i="4"/>
  <c r="AF72" i="8" s="1"/>
  <c r="V51" i="4"/>
  <c r="R72" i="8" s="1"/>
  <c r="S51" i="4"/>
  <c r="O72" i="8" s="1"/>
  <c r="J51" i="4"/>
  <c r="F72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L53" i="4"/>
  <c r="BH74" i="8" s="1"/>
  <c r="BA53" i="4"/>
  <c r="AW74" i="8" s="1"/>
  <c r="AS53" i="4"/>
  <c r="AO74" i="8" s="1"/>
  <c r="BC53" i="4"/>
  <c r="AY74" i="8" s="1"/>
  <c r="AP53" i="4"/>
  <c r="AL74" i="8" s="1"/>
  <c r="AU53" i="4"/>
  <c r="AQ74" i="8" s="1"/>
  <c r="BH53" i="4"/>
  <c r="BD74" i="8" s="1"/>
  <c r="BG53" i="4"/>
  <c r="BC74" i="8" s="1"/>
  <c r="BK53" i="4"/>
  <c r="BG74" i="8" s="1"/>
  <c r="AR53" i="4"/>
  <c r="AN74" i="8" s="1"/>
  <c r="AB53" i="4"/>
  <c r="X74" i="8" s="1"/>
  <c r="AA53" i="4"/>
  <c r="W74" i="8" s="1"/>
  <c r="M53" i="4"/>
  <c r="I74" i="8" s="1"/>
  <c r="AH53" i="4"/>
  <c r="AD74" i="8" s="1"/>
  <c r="U53" i="4"/>
  <c r="Q74" i="8" s="1"/>
  <c r="AI53" i="4"/>
  <c r="AE74" i="8" s="1"/>
  <c r="O53" i="4"/>
  <c r="K74" i="8" s="1"/>
  <c r="T53" i="4"/>
  <c r="P74" i="8" s="1"/>
  <c r="AY53" i="4"/>
  <c r="AU74" i="8" s="1"/>
  <c r="BE53" i="4"/>
  <c r="BA74" i="8" s="1"/>
  <c r="AQ53" i="4"/>
  <c r="AM74" i="8" s="1"/>
  <c r="BM53" i="4"/>
  <c r="BI74" i="8" s="1"/>
  <c r="N53" i="4"/>
  <c r="J74" i="8" s="1"/>
  <c r="S53" i="4"/>
  <c r="O74" i="8" s="1"/>
  <c r="K53" i="4"/>
  <c r="G74" i="8" s="1"/>
  <c r="L53" i="4"/>
  <c r="H74" i="8" s="1"/>
  <c r="AG53" i="4"/>
  <c r="AC74" i="8" s="1"/>
  <c r="R53" i="4"/>
  <c r="N74" i="8" s="1"/>
  <c r="G53" i="4"/>
  <c r="C74" i="8" s="1"/>
  <c r="Z53" i="4"/>
  <c r="V74" i="8" s="1"/>
  <c r="AE53" i="4"/>
  <c r="AA74" i="8" s="1"/>
  <c r="X53" i="4"/>
  <c r="T74" i="8" s="1"/>
  <c r="V53" i="4"/>
  <c r="R74" i="8" s="1"/>
  <c r="AJ53" i="4"/>
  <c r="AF74" i="8" s="1"/>
  <c r="H53" i="4"/>
  <c r="D74" i="8" s="1"/>
  <c r="Y53" i="4"/>
  <c r="U74" i="8" s="1"/>
  <c r="AF53" i="4"/>
  <c r="AB74" i="8" s="1"/>
  <c r="AK53" i="4"/>
  <c r="AG74" i="8" s="1"/>
  <c r="AX53" i="4"/>
  <c r="AT74" i="8" s="1"/>
  <c r="J53" i="4"/>
  <c r="F74" i="8" s="1"/>
  <c r="AC53" i="4"/>
  <c r="Y74" i="8" s="1"/>
  <c r="AW53" i="4"/>
  <c r="AS74" i="8" s="1"/>
  <c r="Q53" i="4"/>
  <c r="M74" i="8" s="1"/>
  <c r="AD53" i="4"/>
  <c r="Z74" i="8" s="1"/>
  <c r="W53" i="4"/>
  <c r="S74" i="8" s="1"/>
  <c r="BF53" i="4"/>
  <c r="BB74" i="8" s="1"/>
  <c r="AL53" i="4"/>
  <c r="AH74" i="8" s="1"/>
  <c r="I53" i="4"/>
  <c r="E74" i="8" s="1"/>
  <c r="P53" i="4"/>
  <c r="L74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K55" i="4"/>
  <c r="BG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O55" i="4"/>
  <c r="BK76" i="8" s="1"/>
  <c r="AZ55" i="4"/>
  <c r="AV76" i="8" s="1"/>
  <c r="BN55" i="4"/>
  <c r="BJ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T55" i="4"/>
  <c r="P76" i="8" s="1"/>
  <c r="S55" i="4"/>
  <c r="O76" i="8" s="1"/>
  <c r="O55" i="4"/>
  <c r="K76" i="8" s="1"/>
  <c r="Z55" i="4"/>
  <c r="V76" i="8" s="1"/>
  <c r="AH55" i="4"/>
  <c r="AD76" i="8" s="1"/>
  <c r="M55" i="4"/>
  <c r="I76" i="8" s="1"/>
  <c r="L55" i="4"/>
  <c r="H76" i="8" s="1"/>
  <c r="AG55" i="4"/>
  <c r="AC76" i="8" s="1"/>
  <c r="J55" i="4"/>
  <c r="F76" i="8" s="1"/>
  <c r="AY55" i="4"/>
  <c r="AU76" i="8" s="1"/>
  <c r="BE55" i="4"/>
  <c r="BA76" i="8" s="1"/>
  <c r="AQ55" i="4"/>
  <c r="AM76" i="8" s="1"/>
  <c r="BM55" i="4"/>
  <c r="BI76" i="8" s="1"/>
  <c r="AA55" i="4"/>
  <c r="W76" i="8" s="1"/>
  <c r="AE55" i="4"/>
  <c r="AA76" i="8" s="1"/>
  <c r="U55" i="4"/>
  <c r="Q76" i="8" s="1"/>
  <c r="AC55" i="4"/>
  <c r="Y76" i="8" s="1"/>
  <c r="R55" i="4"/>
  <c r="N76" i="8" s="1"/>
  <c r="AF55" i="4"/>
  <c r="AB76" i="8" s="1"/>
  <c r="X55" i="4"/>
  <c r="T76" i="8" s="1"/>
  <c r="V55" i="4"/>
  <c r="R76" i="8" s="1"/>
  <c r="AB55" i="4"/>
  <c r="X76" i="8" s="1"/>
  <c r="G55" i="4"/>
  <c r="C76" i="8" s="1"/>
  <c r="H55" i="4"/>
  <c r="D76" i="8" s="1"/>
  <c r="Y55" i="4"/>
  <c r="U76" i="8" s="1"/>
  <c r="AL55" i="4"/>
  <c r="AH76" i="8" s="1"/>
  <c r="AD55" i="4"/>
  <c r="Z76" i="8" s="1"/>
  <c r="P55" i="4"/>
  <c r="L76" i="8" s="1"/>
  <c r="N55" i="4"/>
  <c r="J76" i="8" s="1"/>
  <c r="Q55" i="4"/>
  <c r="M76" i="8" s="1"/>
  <c r="AK55" i="4"/>
  <c r="AG76" i="8" s="1"/>
  <c r="W55" i="4"/>
  <c r="S76" i="8" s="1"/>
  <c r="I55" i="4"/>
  <c r="E76" i="8" s="1"/>
  <c r="AJ55" i="4"/>
  <c r="AF76" i="8" s="1"/>
  <c r="K55" i="4"/>
  <c r="G76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D57" i="4"/>
  <c r="AZ78" i="8" s="1"/>
  <c r="AS57" i="4"/>
  <c r="AO78" i="8" s="1"/>
  <c r="BL57" i="4"/>
  <c r="BH78" i="8" s="1"/>
  <c r="O57" i="4"/>
  <c r="K78" i="8" s="1"/>
  <c r="M57" i="4"/>
  <c r="I78" i="8" s="1"/>
  <c r="AE57" i="4"/>
  <c r="AA78" i="8" s="1"/>
  <c r="AR57" i="4"/>
  <c r="AN78" i="8" s="1"/>
  <c r="BF57" i="4"/>
  <c r="BB78" i="8" s="1"/>
  <c r="AW57" i="4"/>
  <c r="AS78" i="8" s="1"/>
  <c r="AX57" i="4"/>
  <c r="AT78" i="8" s="1"/>
  <c r="N57" i="4"/>
  <c r="J78" i="8" s="1"/>
  <c r="AI57" i="4"/>
  <c r="AE78" i="8" s="1"/>
  <c r="AA57" i="4"/>
  <c r="W78" i="8" s="1"/>
  <c r="S57" i="4"/>
  <c r="O78" i="8" s="1"/>
  <c r="K57" i="4"/>
  <c r="G78" i="8" s="1"/>
  <c r="R57" i="4"/>
  <c r="N78" i="8" s="1"/>
  <c r="AH57" i="4"/>
  <c r="AD78" i="8" s="1"/>
  <c r="U57" i="4"/>
  <c r="Q78" i="8" s="1"/>
  <c r="L57" i="4"/>
  <c r="H78" i="8" s="1"/>
  <c r="T57" i="4"/>
  <c r="P78" i="8" s="1"/>
  <c r="AY57" i="4"/>
  <c r="AU78" i="8" s="1"/>
  <c r="BE57" i="4"/>
  <c r="BA78" i="8" s="1"/>
  <c r="AQ57" i="4"/>
  <c r="AM78" i="8" s="1"/>
  <c r="BM57" i="4"/>
  <c r="BI78" i="8" s="1"/>
  <c r="AB57" i="4"/>
  <c r="X78" i="8" s="1"/>
  <c r="Z57" i="4"/>
  <c r="V78" i="8" s="1"/>
  <c r="W57" i="4"/>
  <c r="S78" i="8" s="1"/>
  <c r="I57" i="4"/>
  <c r="E78" i="8" s="1"/>
  <c r="AK57" i="4"/>
  <c r="AG78" i="8" s="1"/>
  <c r="P57" i="4"/>
  <c r="L78" i="8" s="1"/>
  <c r="Q57" i="4"/>
  <c r="M78" i="8" s="1"/>
  <c r="Y57" i="4"/>
  <c r="U78" i="8" s="1"/>
  <c r="AF57" i="4"/>
  <c r="AB78" i="8" s="1"/>
  <c r="AL57" i="4"/>
  <c r="AH78" i="8" s="1"/>
  <c r="J57" i="4"/>
  <c r="F78" i="8" s="1"/>
  <c r="AC57" i="4"/>
  <c r="Y78" i="8" s="1"/>
  <c r="V57" i="4"/>
  <c r="R78" i="8" s="1"/>
  <c r="AJ57" i="4"/>
  <c r="AF78" i="8" s="1"/>
  <c r="AG57" i="4"/>
  <c r="AC78" i="8" s="1"/>
  <c r="X57" i="4"/>
  <c r="T78" i="8" s="1"/>
  <c r="AD57" i="4"/>
  <c r="Z78" i="8" s="1"/>
  <c r="G57" i="4"/>
  <c r="C78" i="8" s="1"/>
  <c r="H57" i="4"/>
  <c r="D78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AY59" i="4"/>
  <c r="AU80" i="8" s="1"/>
  <c r="BE59" i="4"/>
  <c r="BA80" i="8" s="1"/>
  <c r="AQ59" i="4"/>
  <c r="AM80" i="8" s="1"/>
  <c r="BM59" i="4"/>
  <c r="BI80" i="8" s="1"/>
  <c r="M59" i="4"/>
  <c r="I80" i="8" s="1"/>
  <c r="R59" i="4"/>
  <c r="N80" i="8" s="1"/>
  <c r="U59" i="4"/>
  <c r="Q80" i="8" s="1"/>
  <c r="AB59" i="4"/>
  <c r="X80" i="8" s="1"/>
  <c r="K59" i="4"/>
  <c r="G80" i="8" s="1"/>
  <c r="AG59" i="4"/>
  <c r="AC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A59" i="4"/>
  <c r="W80" i="8" s="1"/>
  <c r="O59" i="4"/>
  <c r="K80" i="8" s="1"/>
  <c r="T59" i="4"/>
  <c r="P80" i="8" s="1"/>
  <c r="AE59" i="4"/>
  <c r="AA80" i="8" s="1"/>
  <c r="AI59" i="4"/>
  <c r="AE80" i="8" s="1"/>
  <c r="P59" i="4"/>
  <c r="L80" i="8" s="1"/>
  <c r="I59" i="4"/>
  <c r="E80" i="8" s="1"/>
  <c r="Q59" i="4"/>
  <c r="M80" i="8" s="1"/>
  <c r="X59" i="4"/>
  <c r="T80" i="8" s="1"/>
  <c r="AD59" i="4"/>
  <c r="Z80" i="8" s="1"/>
  <c r="AC59" i="4"/>
  <c r="Y80" i="8" s="1"/>
  <c r="AL59" i="4"/>
  <c r="AH80" i="8" s="1"/>
  <c r="AK59" i="4"/>
  <c r="AG80" i="8" s="1"/>
  <c r="Y59" i="4"/>
  <c r="U80" i="8" s="1"/>
  <c r="G59" i="4"/>
  <c r="C80" i="8" s="1"/>
  <c r="AF59" i="4"/>
  <c r="AB80" i="8" s="1"/>
  <c r="AJ59" i="4"/>
  <c r="AF80" i="8" s="1"/>
  <c r="J59" i="4"/>
  <c r="F80" i="8" s="1"/>
  <c r="W59" i="4"/>
  <c r="S80" i="8" s="1"/>
  <c r="H59" i="4"/>
  <c r="D80" i="8" s="1"/>
  <c r="V59" i="4"/>
  <c r="R80" i="8" s="1"/>
  <c r="BJ61" i="4"/>
  <c r="BF82" i="8" s="1"/>
  <c r="BR61" i="4"/>
  <c r="BN82" i="8" s="1"/>
  <c r="BD61" i="4"/>
  <c r="AZ82" i="8" s="1"/>
  <c r="AS61" i="4"/>
  <c r="AO82" i="8" s="1"/>
  <c r="BL61" i="4"/>
  <c r="BH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S61" i="4"/>
  <c r="O82" i="8" s="1"/>
  <c r="N61" i="4"/>
  <c r="J82" i="8" s="1"/>
  <c r="AB61" i="4"/>
  <c r="X82" i="8" s="1"/>
  <c r="AI61" i="4"/>
  <c r="AE82" i="8" s="1"/>
  <c r="AY61" i="4"/>
  <c r="AU82" i="8" s="1"/>
  <c r="BE61" i="4"/>
  <c r="BA82" i="8" s="1"/>
  <c r="AQ61" i="4"/>
  <c r="AM82" i="8" s="1"/>
  <c r="BM61" i="4"/>
  <c r="BI82" i="8" s="1"/>
  <c r="AG61" i="4"/>
  <c r="AC82" i="8" s="1"/>
  <c r="AE61" i="4"/>
  <c r="AA82" i="8" s="1"/>
  <c r="O61" i="4"/>
  <c r="K82" i="8" s="1"/>
  <c r="T61" i="4"/>
  <c r="P82" i="8" s="1"/>
  <c r="K61" i="4"/>
  <c r="G82" i="8" s="1"/>
  <c r="M61" i="4"/>
  <c r="I82" i="8" s="1"/>
  <c r="AA61" i="4"/>
  <c r="W82" i="8" s="1"/>
  <c r="Z61" i="4"/>
  <c r="V82" i="8" s="1"/>
  <c r="R61" i="4"/>
  <c r="N82" i="8" s="1"/>
  <c r="J61" i="4"/>
  <c r="F82" i="8" s="1"/>
  <c r="AR61" i="4"/>
  <c r="AN82" i="8" s="1"/>
  <c r="BF61" i="4"/>
  <c r="BB82" i="8" s="1"/>
  <c r="AW61" i="4"/>
  <c r="AS82" i="8" s="1"/>
  <c r="AX61" i="4"/>
  <c r="AT82" i="8" s="1"/>
  <c r="U61" i="4"/>
  <c r="Q82" i="8" s="1"/>
  <c r="L61" i="4"/>
  <c r="H82" i="8" s="1"/>
  <c r="AH61" i="4"/>
  <c r="AD82" i="8" s="1"/>
  <c r="AL61" i="4"/>
  <c r="AH82" i="8" s="1"/>
  <c r="I61" i="4"/>
  <c r="E82" i="8" s="1"/>
  <c r="G61" i="4"/>
  <c r="C82" i="8" s="1"/>
  <c r="W61" i="4"/>
  <c r="S82" i="8" s="1"/>
  <c r="P61" i="4"/>
  <c r="L82" i="8" s="1"/>
  <c r="V61" i="4"/>
  <c r="R82" i="8" s="1"/>
  <c r="H61" i="4"/>
  <c r="D82" i="8" s="1"/>
  <c r="AJ61" i="4"/>
  <c r="AF82" i="8" s="1"/>
  <c r="Q61" i="4"/>
  <c r="M82" i="8" s="1"/>
  <c r="X61" i="4"/>
  <c r="T82" i="8" s="1"/>
  <c r="AD61" i="4"/>
  <c r="Z82" i="8" s="1"/>
  <c r="Y61" i="4"/>
  <c r="U82" i="8" s="1"/>
  <c r="AF61" i="4"/>
  <c r="AB82" i="8" s="1"/>
  <c r="AC61" i="4"/>
  <c r="Y82" i="8" s="1"/>
  <c r="AK61" i="4"/>
  <c r="AG82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BI63" i="4"/>
  <c r="BE84" i="8" s="1"/>
  <c r="AT63" i="4"/>
  <c r="AP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M63" i="4"/>
  <c r="I84" i="8" s="1"/>
  <c r="Z63" i="4"/>
  <c r="V84" i="8" s="1"/>
  <c r="T63" i="4"/>
  <c r="P84" i="8" s="1"/>
  <c r="AH63" i="4"/>
  <c r="AD84" i="8" s="1"/>
  <c r="AI63" i="4"/>
  <c r="AE84" i="8" s="1"/>
  <c r="S63" i="4"/>
  <c r="O84" i="8" s="1"/>
  <c r="AY63" i="4"/>
  <c r="AU84" i="8" s="1"/>
  <c r="BE63" i="4"/>
  <c r="BA84" i="8" s="1"/>
  <c r="AQ63" i="4"/>
  <c r="AM84" i="8" s="1"/>
  <c r="BM63" i="4"/>
  <c r="BI84" i="8" s="1"/>
  <c r="AE63" i="4"/>
  <c r="AA84" i="8" s="1"/>
  <c r="U63" i="4"/>
  <c r="Q84" i="8" s="1"/>
  <c r="L63" i="4"/>
  <c r="H84" i="8" s="1"/>
  <c r="AG63" i="4"/>
  <c r="AC84" i="8" s="1"/>
  <c r="K63" i="4"/>
  <c r="G84" i="8" s="1"/>
  <c r="R63" i="4"/>
  <c r="N84" i="8" s="1"/>
  <c r="J63" i="4"/>
  <c r="F84" i="8" s="1"/>
  <c r="V63" i="4"/>
  <c r="R84" i="8" s="1"/>
  <c r="AK63" i="4"/>
  <c r="AG84" i="8" s="1"/>
  <c r="W63" i="4"/>
  <c r="S84" i="8" s="1"/>
  <c r="Y63" i="4"/>
  <c r="U84" i="8" s="1"/>
  <c r="AC63" i="4"/>
  <c r="Y84" i="8" s="1"/>
  <c r="H63" i="4"/>
  <c r="D84" i="8" s="1"/>
  <c r="G63" i="4"/>
  <c r="C84" i="8" s="1"/>
  <c r="Q63" i="4"/>
  <c r="M84" i="8" s="1"/>
  <c r="I63" i="4"/>
  <c r="E84" i="8" s="1"/>
  <c r="X63" i="4"/>
  <c r="T84" i="8" s="1"/>
  <c r="AJ63" i="4"/>
  <c r="AF84" i="8" s="1"/>
  <c r="AF63" i="4"/>
  <c r="AB84" i="8" s="1"/>
  <c r="AL63" i="4"/>
  <c r="AH84" i="8" s="1"/>
  <c r="AD63" i="4"/>
  <c r="Z84" i="8" s="1"/>
  <c r="P63" i="4"/>
  <c r="L84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BL65" i="4"/>
  <c r="BH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Q65" i="4"/>
  <c r="BM86" i="8" s="1"/>
  <c r="BB65" i="4"/>
  <c r="AX86" i="8" s="1"/>
  <c r="BA65" i="4"/>
  <c r="AW86" i="8" s="1"/>
  <c r="Z65" i="4"/>
  <c r="V86" i="8" s="1"/>
  <c r="AA65" i="4"/>
  <c r="W86" i="8" s="1"/>
  <c r="S65" i="4"/>
  <c r="O86" i="8" s="1"/>
  <c r="K65" i="4"/>
  <c r="G86" i="8" s="1"/>
  <c r="AR65" i="4"/>
  <c r="AN86" i="8" s="1"/>
  <c r="BF65" i="4"/>
  <c r="BB86" i="8" s="1"/>
  <c r="AW65" i="4"/>
  <c r="AS86" i="8" s="1"/>
  <c r="AX65" i="4"/>
  <c r="AT86" i="8" s="1"/>
  <c r="N65" i="4"/>
  <c r="J86" i="8" s="1"/>
  <c r="U65" i="4"/>
  <c r="Q86" i="8" s="1"/>
  <c r="AH65" i="4"/>
  <c r="AD86" i="8" s="1"/>
  <c r="R65" i="4"/>
  <c r="N86" i="8" s="1"/>
  <c r="AI65" i="4"/>
  <c r="AE86" i="8" s="1"/>
  <c r="O65" i="4"/>
  <c r="K86" i="8" s="1"/>
  <c r="M65" i="4"/>
  <c r="I86" i="8" s="1"/>
  <c r="L65" i="4"/>
  <c r="H86" i="8" s="1"/>
  <c r="AY65" i="4"/>
  <c r="AU86" i="8" s="1"/>
  <c r="BE65" i="4"/>
  <c r="BA86" i="8" s="1"/>
  <c r="AQ65" i="4"/>
  <c r="AM86" i="8" s="1"/>
  <c r="BM65" i="4"/>
  <c r="BI86" i="8" s="1"/>
  <c r="T65" i="4"/>
  <c r="P86" i="8" s="1"/>
  <c r="AL65" i="4"/>
  <c r="AH86" i="8" s="1"/>
  <c r="X65" i="4"/>
  <c r="T86" i="8" s="1"/>
  <c r="V65" i="4"/>
  <c r="R86" i="8" s="1"/>
  <c r="H65" i="4"/>
  <c r="D86" i="8" s="1"/>
  <c r="G65" i="4"/>
  <c r="C86" i="8" s="1"/>
  <c r="Y65" i="4"/>
  <c r="U86" i="8" s="1"/>
  <c r="AK65" i="4"/>
  <c r="AG86" i="8" s="1"/>
  <c r="AE65" i="4"/>
  <c r="AA86" i="8" s="1"/>
  <c r="J65" i="4"/>
  <c r="F86" i="8" s="1"/>
  <c r="AF65" i="4"/>
  <c r="AB86" i="8" s="1"/>
  <c r="AD65" i="4"/>
  <c r="Z86" i="8" s="1"/>
  <c r="W65" i="4"/>
  <c r="S86" i="8" s="1"/>
  <c r="AB65" i="4"/>
  <c r="X86" i="8" s="1"/>
  <c r="Q65" i="4"/>
  <c r="M86" i="8" s="1"/>
  <c r="I65" i="4"/>
  <c r="E86" i="8" s="1"/>
  <c r="AG65" i="4"/>
  <c r="AC86" i="8" s="1"/>
  <c r="P65" i="4"/>
  <c r="L86" i="8" s="1"/>
  <c r="AC65" i="4"/>
  <c r="Y86" i="8" s="1"/>
  <c r="AJ65" i="4"/>
  <c r="AF86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K67" i="4"/>
  <c r="BG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AS67" i="4"/>
  <c r="AO88" i="8" s="1"/>
  <c r="BC67" i="4"/>
  <c r="AY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I67" i="4"/>
  <c r="AE88" i="8" s="1"/>
  <c r="O67" i="4"/>
  <c r="K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H67" i="4"/>
  <c r="AD88" i="8" s="1"/>
  <c r="L67" i="4"/>
  <c r="H88" i="8" s="1"/>
  <c r="U67" i="4"/>
  <c r="Q88" i="8" s="1"/>
  <c r="M67" i="4"/>
  <c r="I88" i="8" s="1"/>
  <c r="T67" i="4"/>
  <c r="P88" i="8" s="1"/>
  <c r="Z67" i="4"/>
  <c r="V88" i="8" s="1"/>
  <c r="K67" i="4"/>
  <c r="G88" i="8" s="1"/>
  <c r="R67" i="4"/>
  <c r="N88" i="8" s="1"/>
  <c r="W67" i="4"/>
  <c r="S88" i="8" s="1"/>
  <c r="H67" i="4"/>
  <c r="D88" i="8" s="1"/>
  <c r="AD67" i="4"/>
  <c r="Z88" i="8" s="1"/>
  <c r="G67" i="4"/>
  <c r="C88" i="8" s="1"/>
  <c r="J67" i="4"/>
  <c r="F88" i="8" s="1"/>
  <c r="X67" i="4"/>
  <c r="T88" i="8" s="1"/>
  <c r="AL67" i="4"/>
  <c r="AH88" i="8" s="1"/>
  <c r="AG67" i="4"/>
  <c r="AC88" i="8" s="1"/>
  <c r="AE67" i="4"/>
  <c r="AA88" i="8" s="1"/>
  <c r="Q67" i="4"/>
  <c r="M88" i="8" s="1"/>
  <c r="AK67" i="4"/>
  <c r="AG88" i="8" s="1"/>
  <c r="AC67" i="4"/>
  <c r="Y88" i="8" s="1"/>
  <c r="P67" i="4"/>
  <c r="L88" i="8" s="1"/>
  <c r="Y67" i="4"/>
  <c r="U88" i="8" s="1"/>
  <c r="AJ67" i="4"/>
  <c r="AF88" i="8" s="1"/>
  <c r="AF67" i="4"/>
  <c r="AB88" i="8" s="1"/>
  <c r="V67" i="4"/>
  <c r="R88" i="8" s="1"/>
  <c r="I67" i="4"/>
  <c r="E88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BJ69" i="4"/>
  <c r="BF90" i="8" s="1"/>
  <c r="BC69" i="4"/>
  <c r="AY90" i="8" s="1"/>
  <c r="AS69" i="4"/>
  <c r="AO90" i="8" s="1"/>
  <c r="AH69" i="4"/>
  <c r="AD90" i="8" s="1"/>
  <c r="U69" i="4"/>
  <c r="Q90" i="8" s="1"/>
  <c r="K69" i="4"/>
  <c r="G90" i="8" s="1"/>
  <c r="AY69" i="4"/>
  <c r="AU90" i="8" s="1"/>
  <c r="BE69" i="4"/>
  <c r="BA90" i="8" s="1"/>
  <c r="AQ69" i="4"/>
  <c r="AM90" i="8" s="1"/>
  <c r="BM69" i="4"/>
  <c r="BI90" i="8" s="1"/>
  <c r="AB69" i="4"/>
  <c r="X90" i="8" s="1"/>
  <c r="O69" i="4"/>
  <c r="K90" i="8" s="1"/>
  <c r="T69" i="4"/>
  <c r="P90" i="8" s="1"/>
  <c r="J69" i="4"/>
  <c r="F90" i="8" s="1"/>
  <c r="M69" i="4"/>
  <c r="I90" i="8" s="1"/>
  <c r="AA69" i="4"/>
  <c r="W90" i="8" s="1"/>
  <c r="S69" i="4"/>
  <c r="O90" i="8" s="1"/>
  <c r="R69" i="4"/>
  <c r="N90" i="8" s="1"/>
  <c r="AG69" i="4"/>
  <c r="AC90" i="8" s="1"/>
  <c r="AR69" i="4"/>
  <c r="AN90" i="8" s="1"/>
  <c r="BF69" i="4"/>
  <c r="BB90" i="8" s="1"/>
  <c r="AW69" i="4"/>
  <c r="AS90" i="8" s="1"/>
  <c r="AX69" i="4"/>
  <c r="AT90" i="8" s="1"/>
  <c r="N69" i="4"/>
  <c r="J90" i="8" s="1"/>
  <c r="AE69" i="4"/>
  <c r="AA90" i="8" s="1"/>
  <c r="AI69" i="4"/>
  <c r="AE90" i="8" s="1"/>
  <c r="AD69" i="4"/>
  <c r="Z90" i="8" s="1"/>
  <c r="AC69" i="4"/>
  <c r="Y90" i="8" s="1"/>
  <c r="L69" i="4"/>
  <c r="H90" i="8" s="1"/>
  <c r="Z69" i="4"/>
  <c r="V90" i="8" s="1"/>
  <c r="AL69" i="4"/>
  <c r="AH90" i="8" s="1"/>
  <c r="I69" i="4"/>
  <c r="E90" i="8" s="1"/>
  <c r="P69" i="4"/>
  <c r="L90" i="8" s="1"/>
  <c r="H69" i="4"/>
  <c r="D90" i="8" s="1"/>
  <c r="V69" i="4"/>
  <c r="R90" i="8" s="1"/>
  <c r="AJ69" i="4"/>
  <c r="AF90" i="8" s="1"/>
  <c r="W69" i="4"/>
  <c r="S90" i="8" s="1"/>
  <c r="Y69" i="4"/>
  <c r="U90" i="8" s="1"/>
  <c r="AF69" i="4"/>
  <c r="AB90" i="8" s="1"/>
  <c r="Q69" i="4"/>
  <c r="M90" i="8" s="1"/>
  <c r="AK69" i="4"/>
  <c r="AG90" i="8" s="1"/>
  <c r="G69" i="4"/>
  <c r="C90" i="8" s="1"/>
  <c r="X69" i="4"/>
  <c r="T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B71" i="4"/>
  <c r="AX92" i="8" s="1"/>
  <c r="BK71" i="4"/>
  <c r="BG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AB71" i="4"/>
  <c r="X92" i="8" s="1"/>
  <c r="S71" i="4"/>
  <c r="O92" i="8" s="1"/>
  <c r="M71" i="4"/>
  <c r="I92" i="8" s="1"/>
  <c r="J71" i="4"/>
  <c r="F92" i="8" s="1"/>
  <c r="T71" i="4"/>
  <c r="P92" i="8" s="1"/>
  <c r="AY71" i="4"/>
  <c r="AU92" i="8" s="1"/>
  <c r="BE71" i="4"/>
  <c r="BA92" i="8" s="1"/>
  <c r="AQ71" i="4"/>
  <c r="AM92" i="8" s="1"/>
  <c r="BM71" i="4"/>
  <c r="BI92" i="8" s="1"/>
  <c r="R71" i="4"/>
  <c r="N92" i="8" s="1"/>
  <c r="AI71" i="4"/>
  <c r="AE92" i="8" s="1"/>
  <c r="Z71" i="4"/>
  <c r="V92" i="8" s="1"/>
  <c r="O71" i="4"/>
  <c r="K92" i="8" s="1"/>
  <c r="AA71" i="4"/>
  <c r="W92" i="8" s="1"/>
  <c r="L71" i="4"/>
  <c r="H92" i="8" s="1"/>
  <c r="K71" i="4"/>
  <c r="G92" i="8" s="1"/>
  <c r="AF71" i="4"/>
  <c r="AB92" i="8" s="1"/>
  <c r="AL71" i="4"/>
  <c r="AH92" i="8" s="1"/>
  <c r="AJ71" i="4"/>
  <c r="AF92" i="8" s="1"/>
  <c r="Q71" i="4"/>
  <c r="M92" i="8" s="1"/>
  <c r="AK71" i="4"/>
  <c r="AG92" i="8" s="1"/>
  <c r="V71" i="4"/>
  <c r="R92" i="8" s="1"/>
  <c r="H71" i="4"/>
  <c r="D92" i="8" s="1"/>
  <c r="AG71" i="4"/>
  <c r="AC92" i="8" s="1"/>
  <c r="X71" i="4"/>
  <c r="T92" i="8" s="1"/>
  <c r="AD71" i="4"/>
  <c r="Z92" i="8" s="1"/>
  <c r="G71" i="4"/>
  <c r="C92" i="8" s="1"/>
  <c r="P71" i="4"/>
  <c r="L92" i="8" s="1"/>
  <c r="W71" i="4"/>
  <c r="S92" i="8" s="1"/>
  <c r="AE71" i="4"/>
  <c r="AA92" i="8" s="1"/>
  <c r="Y71" i="4"/>
  <c r="U92" i="8" s="1"/>
  <c r="I71" i="4"/>
  <c r="E92" i="8" s="1"/>
  <c r="AC71" i="4"/>
  <c r="Y92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K73" i="4"/>
  <c r="BG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AB73" i="4"/>
  <c r="X94" i="8" s="1"/>
  <c r="O73" i="4"/>
  <c r="K94" i="8" s="1"/>
  <c r="Z73" i="4"/>
  <c r="V94" i="8" s="1"/>
  <c r="AR73" i="4"/>
  <c r="AN94" i="8" s="1"/>
  <c r="BF73" i="4"/>
  <c r="BB94" i="8" s="1"/>
  <c r="AW73" i="4"/>
  <c r="AS94" i="8" s="1"/>
  <c r="AX73" i="4"/>
  <c r="AT94" i="8" s="1"/>
  <c r="K73" i="4"/>
  <c r="G94" i="8" s="1"/>
  <c r="AI73" i="4"/>
  <c r="AE94" i="8" s="1"/>
  <c r="R73" i="4"/>
  <c r="N94" i="8" s="1"/>
  <c r="AG73" i="4"/>
  <c r="AC94" i="8" s="1"/>
  <c r="AH73" i="4"/>
  <c r="AD94" i="8" s="1"/>
  <c r="S73" i="4"/>
  <c r="O94" i="8" s="1"/>
  <c r="AE73" i="4"/>
  <c r="AA94" i="8" s="1"/>
  <c r="AY73" i="4"/>
  <c r="AU94" i="8" s="1"/>
  <c r="BE73" i="4"/>
  <c r="BA94" i="8" s="1"/>
  <c r="AQ73" i="4"/>
  <c r="AM94" i="8" s="1"/>
  <c r="BM73" i="4"/>
  <c r="BI94" i="8" s="1"/>
  <c r="M73" i="4"/>
  <c r="I94" i="8" s="1"/>
  <c r="L73" i="4"/>
  <c r="H94" i="8" s="1"/>
  <c r="T73" i="4"/>
  <c r="P94" i="8" s="1"/>
  <c r="AF73" i="4"/>
  <c r="AB94" i="8" s="1"/>
  <c r="G73" i="4"/>
  <c r="C94" i="8" s="1"/>
  <c r="H73" i="4"/>
  <c r="D94" i="8" s="1"/>
  <c r="U73" i="4"/>
  <c r="Q94" i="8" s="1"/>
  <c r="AD73" i="4"/>
  <c r="Z94" i="8" s="1"/>
  <c r="AK73" i="4"/>
  <c r="AG94" i="8" s="1"/>
  <c r="V73" i="4"/>
  <c r="R94" i="8" s="1"/>
  <c r="Y73" i="4"/>
  <c r="U94" i="8" s="1"/>
  <c r="AC73" i="4"/>
  <c r="Y94" i="8" s="1"/>
  <c r="I73" i="4"/>
  <c r="E94" i="8" s="1"/>
  <c r="N73" i="4"/>
  <c r="J94" i="8" s="1"/>
  <c r="AA73" i="4"/>
  <c r="W94" i="8" s="1"/>
  <c r="X73" i="4"/>
  <c r="T94" i="8" s="1"/>
  <c r="P73" i="4"/>
  <c r="L94" i="8" s="1"/>
  <c r="AL73" i="4"/>
  <c r="AH94" i="8" s="1"/>
  <c r="W73" i="4"/>
  <c r="S94" i="8" s="1"/>
  <c r="Q73" i="4"/>
  <c r="M94" i="8" s="1"/>
  <c r="J73" i="4"/>
  <c r="F94" i="8" s="1"/>
  <c r="AJ73" i="4"/>
  <c r="AF94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E116" i="4" s="1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D116" i="4" s="1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V115" i="4" s="1"/>
  <c r="AD100" i="4"/>
  <c r="AL100" i="4"/>
  <c r="AT100" i="4"/>
  <c r="BB100" i="4"/>
  <c r="BJ100" i="4"/>
  <c r="BR100" i="4"/>
  <c r="BR115" i="4" s="1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J114" i="4" s="1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AV115" i="4" s="1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H114" i="4" s="1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B114" i="4"/>
  <c r="BJ114" i="4"/>
  <c r="AT115" i="4"/>
  <c r="AM116" i="4"/>
  <c r="AU116" i="4"/>
  <c r="BC116" i="4"/>
  <c r="AM114" i="4"/>
  <c r="BC114" i="4"/>
  <c r="BK114" i="4"/>
  <c r="BK119" i="4" s="1"/>
  <c r="AM115" i="4"/>
  <c r="AN116" i="4"/>
  <c r="BD116" i="4"/>
  <c r="BL114" i="4"/>
  <c r="AW116" i="4"/>
  <c r="BM116" i="4"/>
  <c r="AP116" i="4"/>
  <c r="BF116" i="4"/>
  <c r="BN116" i="4"/>
  <c r="AX114" i="4"/>
  <c r="BN114" i="4"/>
  <c r="AP115" i="4"/>
  <c r="AY116" i="4"/>
  <c r="BG116" i="4"/>
  <c r="BO116" i="4"/>
  <c r="AQ114" i="4"/>
  <c r="AQ119" i="4" s="1"/>
  <c r="AQ115" i="4"/>
  <c r="AR116" i="4"/>
  <c r="AZ116" i="4"/>
  <c r="BH116" i="4"/>
  <c r="BP116" i="4"/>
  <c r="AR114" i="4"/>
  <c r="AR119" i="4" s="1"/>
  <c r="BH114" i="4"/>
  <c r="BP114" i="4"/>
  <c r="BI116" i="4"/>
  <c r="AS116" i="4"/>
  <c r="AS115" i="4"/>
  <c r="BF115" i="4"/>
  <c r="AS114" i="4"/>
  <c r="AS119" i="4" s="1"/>
  <c r="AY115" i="4"/>
  <c r="BO115" i="4"/>
  <c r="AZ115" i="4"/>
  <c r="BA115" i="4"/>
  <c r="BI115" i="4"/>
  <c r="BQ115" i="4"/>
  <c r="BB115" i="4"/>
  <c r="BJ115" i="4"/>
  <c r="BC115" i="4"/>
  <c r="BL115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AB115" i="4"/>
  <c r="AD115" i="4"/>
  <c r="N114" i="4"/>
  <c r="U116" i="4"/>
  <c r="U114" i="4"/>
  <c r="G115" i="4"/>
  <c r="U115" i="4"/>
  <c r="AG115" i="4"/>
  <c r="V116" i="4"/>
  <c r="I115" i="4"/>
  <c r="AC116" i="4"/>
  <c r="AC114" i="4"/>
  <c r="J115" i="4"/>
  <c r="W115" i="4"/>
  <c r="AI115" i="4"/>
  <c r="AL116" i="4"/>
  <c r="Y115" i="4"/>
  <c r="AL114" i="4"/>
  <c r="O115" i="4"/>
  <c r="N115" i="4"/>
  <c r="Z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M115" i="4" l="1"/>
  <c r="BA116" i="4"/>
  <c r="BA118" i="4" s="1"/>
  <c r="Q115" i="4"/>
  <c r="AV114" i="4"/>
  <c r="AI114" i="4"/>
  <c r="AU115" i="4"/>
  <c r="AU114" i="4"/>
  <c r="K114" i="4"/>
  <c r="K119" i="4" s="1"/>
  <c r="BF114" i="4"/>
  <c r="BF119" i="4" s="1"/>
  <c r="V114" i="4"/>
  <c r="V117" i="4" s="1"/>
  <c r="BQ114" i="4"/>
  <c r="BQ119" i="4" s="1"/>
  <c r="AZ114" i="4"/>
  <c r="O116" i="4"/>
  <c r="AJ116" i="4"/>
  <c r="AQ116" i="4"/>
  <c r="AX116" i="4"/>
  <c r="AX117" i="4" s="1"/>
  <c r="BL116" i="4"/>
  <c r="R114" i="4"/>
  <c r="R117" i="4" s="1"/>
  <c r="BM114" i="4"/>
  <c r="AF115" i="4"/>
  <c r="AE114" i="4"/>
  <c r="BK116" i="4"/>
  <c r="BK117" i="4" s="1"/>
  <c r="T116" i="4"/>
  <c r="BE119" i="4"/>
  <c r="BJ118" i="4"/>
  <c r="BP119" i="4"/>
  <c r="BH119" i="4"/>
  <c r="BC119" i="4"/>
  <c r="AU119" i="4"/>
  <c r="AZ119" i="4"/>
  <c r="BJ119" i="4"/>
  <c r="BB119" i="4"/>
  <c r="BD119" i="4"/>
  <c r="AT119" i="4"/>
  <c r="AM119" i="4"/>
  <c r="BN119" i="4"/>
  <c r="AX119" i="4"/>
  <c r="BL119" i="4"/>
  <c r="AP118" i="4"/>
  <c r="P119" i="4"/>
  <c r="AK119" i="4"/>
  <c r="BO114" i="4"/>
  <c r="BO119" i="4" s="1"/>
  <c r="R115" i="4"/>
  <c r="BM115" i="4"/>
  <c r="BM118" i="4" s="1"/>
  <c r="AP114" i="4"/>
  <c r="AP119" i="4" s="1"/>
  <c r="L119" i="4"/>
  <c r="M114" i="4"/>
  <c r="M119" i="4" s="1"/>
  <c r="AO114" i="4"/>
  <c r="AF114" i="4"/>
  <c r="AF119" i="4" s="1"/>
  <c r="Q114" i="4"/>
  <c r="Q119" i="4" s="1"/>
  <c r="AA116" i="4"/>
  <c r="AA119" i="4" s="1"/>
  <c r="AH116" i="4"/>
  <c r="AH119" i="4" s="1"/>
  <c r="AO116" i="4"/>
  <c r="AO118" i="4" s="1"/>
  <c r="I114" i="4"/>
  <c r="I119" i="4" s="1"/>
  <c r="AD114" i="4"/>
  <c r="AD119" i="4" s="1"/>
  <c r="AN114" i="4"/>
  <c r="AN119" i="4" s="1"/>
  <c r="O114" i="4"/>
  <c r="O119" i="4" s="1"/>
  <c r="AY114" i="4"/>
  <c r="AY119" i="4" s="1"/>
  <c r="Y114" i="4"/>
  <c r="Y119" i="4" s="1"/>
  <c r="BG114" i="4"/>
  <c r="BG119" i="4" s="1"/>
  <c r="AJ114" i="4"/>
  <c r="AJ119" i="4" s="1"/>
  <c r="AW114" i="4"/>
  <c r="AW119" i="4" s="1"/>
  <c r="AE115" i="4"/>
  <c r="AE119" i="4" s="1"/>
  <c r="BI114" i="4"/>
  <c r="BI119" i="4" s="1"/>
  <c r="AV116" i="4"/>
  <c r="AV117" i="4" s="1"/>
  <c r="AL119" i="4"/>
  <c r="BR114" i="4"/>
  <c r="BR119" i="4" s="1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T119" i="4"/>
  <c r="H119" i="4"/>
  <c r="G119" i="4"/>
  <c r="AI119" i="4"/>
  <c r="Z119" i="4"/>
  <c r="S119" i="4"/>
  <c r="BQ118" i="4"/>
  <c r="BQ117" i="4"/>
  <c r="AR118" i="4"/>
  <c r="AR117" i="4"/>
  <c r="AY118" i="4"/>
  <c r="BF118" i="4"/>
  <c r="BF117" i="4"/>
  <c r="BM117" i="4"/>
  <c r="AQ118" i="4"/>
  <c r="AQ117" i="4"/>
  <c r="BE118" i="4"/>
  <c r="BE117" i="4"/>
  <c r="AS118" i="4"/>
  <c r="AS117" i="4"/>
  <c r="AW118" i="4"/>
  <c r="BL118" i="4"/>
  <c r="BL117" i="4"/>
  <c r="BD118" i="4"/>
  <c r="BD117" i="4"/>
  <c r="BK118" i="4"/>
  <c r="BC118" i="4"/>
  <c r="BC117" i="4"/>
  <c r="BR118" i="4"/>
  <c r="BP117" i="4"/>
  <c r="BP118" i="4"/>
  <c r="AN118" i="4"/>
  <c r="AU117" i="4"/>
  <c r="AU118" i="4"/>
  <c r="BJ117" i="4"/>
  <c r="BI118" i="4"/>
  <c r="BH117" i="4"/>
  <c r="BH118" i="4"/>
  <c r="BO118" i="4"/>
  <c r="AM118" i="4"/>
  <c r="AM117" i="4"/>
  <c r="BB117" i="4"/>
  <c r="BB118" i="4"/>
  <c r="AZ118" i="4"/>
  <c r="AZ117" i="4"/>
  <c r="BG118" i="4"/>
  <c r="BN118" i="4"/>
  <c r="BN117" i="4"/>
  <c r="AT118" i="4"/>
  <c r="AT117" i="4"/>
  <c r="J117" i="4"/>
  <c r="J118" i="4"/>
  <c r="L118" i="4"/>
  <c r="L117" i="4"/>
  <c r="AI117" i="4"/>
  <c r="AI118" i="4"/>
  <c r="AF118" i="4"/>
  <c r="U117" i="4"/>
  <c r="U118" i="4"/>
  <c r="AD118" i="4"/>
  <c r="AC118" i="4"/>
  <c r="AC117" i="4"/>
  <c r="M118" i="4"/>
  <c r="X118" i="4"/>
  <c r="AK118" i="4"/>
  <c r="AK117" i="4"/>
  <c r="S117" i="4"/>
  <c r="S118" i="4"/>
  <c r="P117" i="4"/>
  <c r="P118" i="4"/>
  <c r="V118" i="4"/>
  <c r="K118" i="4"/>
  <c r="AG118" i="4"/>
  <c r="H118" i="4"/>
  <c r="H117" i="4"/>
  <c r="AE117" i="4"/>
  <c r="T118" i="4"/>
  <c r="T117" i="4"/>
  <c r="Y118" i="4"/>
  <c r="W117" i="4"/>
  <c r="W118" i="4"/>
  <c r="AJ118" i="4"/>
  <c r="Z117" i="4"/>
  <c r="Z118" i="4"/>
  <c r="Q118" i="4"/>
  <c r="O118" i="4"/>
  <c r="AL117" i="4"/>
  <c r="AL118" i="4"/>
  <c r="AB118" i="4"/>
  <c r="AB117" i="4"/>
  <c r="I118" i="4"/>
  <c r="G118" i="4"/>
  <c r="G117" i="4"/>
  <c r="F115" i="4"/>
  <c r="F116" i="4"/>
  <c r="F114" i="4"/>
  <c r="AX118" i="4" l="1"/>
  <c r="K117" i="4"/>
  <c r="R119" i="4"/>
  <c r="V119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E122" i="4" a="1"/>
  <c r="F119" i="4"/>
  <c r="F117" i="4"/>
  <c r="F118" i="4"/>
  <c r="E122" i="4" l="1"/>
  <c r="S127" i="4"/>
  <c r="AR129" i="4"/>
  <c r="BN131" i="4"/>
  <c r="AI135" i="4"/>
  <c r="F128" i="4"/>
  <c r="BM132" i="4"/>
  <c r="BN126" i="4"/>
  <c r="BJ133" i="4"/>
  <c r="AS128" i="4"/>
  <c r="BA134" i="4"/>
  <c r="BR129" i="4"/>
  <c r="AX135" i="4"/>
  <c r="AM131" i="4"/>
  <c r="BP123" i="4"/>
  <c r="AW132" i="4"/>
  <c r="V126" i="4"/>
  <c r="AT133" i="4"/>
  <c r="R128" i="4"/>
  <c r="AW135" i="4"/>
  <c r="AY134" i="4"/>
  <c r="BA133" i="4"/>
  <c r="BC132" i="4"/>
  <c r="AJ131" i="4"/>
  <c r="BO129" i="4"/>
  <c r="AD128" i="4"/>
  <c r="AL126" i="4"/>
  <c r="BN123" i="4"/>
  <c r="AV135" i="4"/>
  <c r="AX134" i="4"/>
  <c r="AZ133" i="4"/>
  <c r="BB132" i="4"/>
  <c r="AI131" i="4"/>
  <c r="BL129" i="4"/>
  <c r="AC128" i="4"/>
  <c r="AJ126" i="4"/>
  <c r="BL123" i="4"/>
  <c r="AU135" i="4"/>
  <c r="AW134" i="4"/>
  <c r="AY133" i="4"/>
  <c r="BA132" i="4"/>
  <c r="AH131" i="4"/>
  <c r="BK129" i="4"/>
  <c r="Z128" i="4"/>
  <c r="AH126" i="4"/>
  <c r="BH123" i="4"/>
  <c r="BB135" i="4"/>
  <c r="BD134" i="4"/>
  <c r="BF133" i="4"/>
  <c r="BH132" i="4"/>
  <c r="AR131" i="4"/>
  <c r="I130" i="4"/>
  <c r="AL128" i="4"/>
  <c r="AZ126" i="4"/>
  <c r="N124" i="4"/>
  <c r="BI135" i="4"/>
  <c r="BK134" i="4"/>
  <c r="BM133" i="4"/>
  <c r="R127" i="4"/>
  <c r="BP125" i="4"/>
  <c r="BF128" i="4"/>
  <c r="AM133" i="4"/>
  <c r="Z123" i="4"/>
  <c r="AG132" i="4"/>
  <c r="AT125" i="4"/>
  <c r="AD133" i="4"/>
  <c r="BG127" i="4"/>
  <c r="U134" i="4"/>
  <c r="S129" i="4"/>
  <c r="R135" i="4"/>
  <c r="BA130" i="4"/>
  <c r="AX122" i="4"/>
  <c r="M132" i="4"/>
  <c r="BR124" i="4"/>
  <c r="N133" i="4"/>
  <c r="AH127" i="4"/>
  <c r="AO135" i="4"/>
  <c r="AQ134" i="4"/>
  <c r="AS133" i="4"/>
  <c r="AU132" i="4"/>
  <c r="X131" i="4"/>
  <c r="BB129" i="4"/>
  <c r="Q128" i="4"/>
  <c r="R126" i="4"/>
  <c r="AR123" i="4"/>
  <c r="AN135" i="4"/>
  <c r="AP134" i="4"/>
  <c r="AR133" i="4"/>
  <c r="AT132" i="4"/>
  <c r="W131" i="4"/>
  <c r="AZ129" i="4"/>
  <c r="P128" i="4"/>
  <c r="N126" i="4"/>
  <c r="AP123" i="4"/>
  <c r="AM135" i="4"/>
  <c r="AO134" i="4"/>
  <c r="AQ133" i="4"/>
  <c r="AS132" i="4"/>
  <c r="T131" i="4"/>
  <c r="AY129" i="4"/>
  <c r="N128" i="4"/>
  <c r="L126" i="4"/>
  <c r="AN123" i="4"/>
  <c r="AT135" i="4"/>
  <c r="AV134" i="4"/>
  <c r="AX133" i="4"/>
  <c r="AZ132" i="4"/>
  <c r="AF131" i="4"/>
  <c r="BJ129" i="4"/>
  <c r="Y128" i="4"/>
  <c r="AD126" i="4"/>
  <c r="BF123" i="4"/>
  <c r="BA135" i="4"/>
  <c r="BC134" i="4"/>
  <c r="BE133" i="4"/>
  <c r="BG132" i="4"/>
  <c r="AQ131" i="4"/>
  <c r="F130" i="4"/>
  <c r="AK128" i="4"/>
  <c r="AX126" i="4"/>
  <c r="J124" i="4"/>
  <c r="BH135" i="4"/>
  <c r="BJ134" i="4"/>
  <c r="BL133" i="4"/>
  <c r="BN132" i="4"/>
  <c r="BC131" i="4"/>
  <c r="R130" i="4"/>
  <c r="AV128" i="4"/>
  <c r="BP126" i="4"/>
  <c r="BP134" i="4"/>
  <c r="AJ134" i="4"/>
  <c r="AV124" i="4"/>
  <c r="O131" i="4"/>
  <c r="BG135" i="4"/>
  <c r="AZ131" i="4"/>
  <c r="Z124" i="4"/>
  <c r="BL132" i="4"/>
  <c r="BJ126" i="4"/>
  <c r="BC133" i="4"/>
  <c r="AG128" i="4"/>
  <c r="AZ134" i="4"/>
  <c r="BP129" i="4"/>
  <c r="AQ135" i="4"/>
  <c r="AA131" i="4"/>
  <c r="AX123" i="4"/>
  <c r="AV132" i="4"/>
  <c r="T126" i="4"/>
  <c r="AG135" i="4"/>
  <c r="AI134" i="4"/>
  <c r="AK133" i="4"/>
  <c r="AM132" i="4"/>
  <c r="K131" i="4"/>
  <c r="AN129" i="4"/>
  <c r="E128" i="4"/>
  <c r="BJ125" i="4"/>
  <c r="X123" i="4"/>
  <c r="AF135" i="4"/>
  <c r="AH134" i="4"/>
  <c r="AJ133" i="4"/>
  <c r="AL132" i="4"/>
  <c r="J131" i="4"/>
  <c r="AM129" i="4"/>
  <c r="BP127" i="4"/>
  <c r="BH125" i="4"/>
  <c r="T123" i="4"/>
  <c r="AE135" i="4"/>
  <c r="AG134" i="4"/>
  <c r="AI133" i="4"/>
  <c r="AK132" i="4"/>
  <c r="H131" i="4"/>
  <c r="AL129" i="4"/>
  <c r="BO127" i="4"/>
  <c r="BD125" i="4"/>
  <c r="R123" i="4"/>
  <c r="AL135" i="4"/>
  <c r="AN134" i="4"/>
  <c r="AP133" i="4"/>
  <c r="AR132" i="4"/>
  <c r="S131" i="4"/>
  <c r="AV129" i="4"/>
  <c r="M128" i="4"/>
  <c r="J126" i="4"/>
  <c r="AJ123" i="4"/>
  <c r="AS135" i="4"/>
  <c r="AU134" i="4"/>
  <c r="AW133" i="4"/>
  <c r="AY132" i="4"/>
  <c r="AE131" i="4"/>
  <c r="BH129" i="4"/>
  <c r="X128" i="4"/>
  <c r="AB126" i="4"/>
  <c r="BD123" i="4"/>
  <c r="AZ135" i="4"/>
  <c r="BB134" i="4"/>
  <c r="BD133" i="4"/>
  <c r="BF132" i="4"/>
  <c r="AP131" i="4"/>
  <c r="E130" i="4"/>
  <c r="AH128" i="4"/>
  <c r="AT126" i="4"/>
  <c r="H124" i="4"/>
  <c r="O132" i="4"/>
  <c r="Q131" i="4"/>
  <c r="S130" i="4"/>
  <c r="U129" i="4"/>
  <c r="W128" i="4"/>
  <c r="Y127" i="4"/>
  <c r="AA126" i="4"/>
  <c r="AC125" i="4"/>
  <c r="AE124" i="4"/>
  <c r="AG123" i="4"/>
  <c r="AI122" i="4"/>
  <c r="G127" i="4"/>
  <c r="I126" i="4"/>
  <c r="F133" i="4"/>
  <c r="AN132" i="4"/>
  <c r="BN135" i="4"/>
  <c r="H128" i="4"/>
  <c r="AA135" i="4"/>
  <c r="BP130" i="4"/>
  <c r="H123" i="4"/>
  <c r="AF132" i="4"/>
  <c r="AR125" i="4"/>
  <c r="W133" i="4"/>
  <c r="AV127" i="4"/>
  <c r="T134" i="4"/>
  <c r="P129" i="4"/>
  <c r="K135" i="4"/>
  <c r="AP130" i="4"/>
  <c r="AD122" i="4"/>
  <c r="J132" i="4"/>
  <c r="BN124" i="4"/>
  <c r="Y135" i="4"/>
  <c r="AA134" i="4"/>
  <c r="AC133" i="4"/>
  <c r="AE132" i="4"/>
  <c r="BM130" i="4"/>
  <c r="AB129" i="4"/>
  <c r="BF127" i="4"/>
  <c r="AN125" i="4"/>
  <c r="BP122" i="4"/>
  <c r="X135" i="4"/>
  <c r="Z134" i="4"/>
  <c r="AB133" i="4"/>
  <c r="AD132" i="4"/>
  <c r="BJ130" i="4"/>
  <c r="AA129" i="4"/>
  <c r="BD127" i="4"/>
  <c r="AL125" i="4"/>
  <c r="BN122" i="4"/>
  <c r="W135" i="4"/>
  <c r="Y134" i="4"/>
  <c r="AA133" i="4"/>
  <c r="AC132" i="4"/>
  <c r="BI130" i="4"/>
  <c r="X129" i="4"/>
  <c r="BC127" i="4"/>
  <c r="AJ125" i="4"/>
  <c r="BJ122" i="4"/>
  <c r="AD135" i="4"/>
  <c r="AF134" i="4"/>
  <c r="AH133" i="4"/>
  <c r="AJ132" i="4"/>
  <c r="G131" i="4"/>
  <c r="AJ129" i="4"/>
  <c r="BN127" i="4"/>
  <c r="BB125" i="4"/>
  <c r="P123" i="4"/>
  <c r="AK135" i="4"/>
  <c r="AM134" i="4"/>
  <c r="AO133" i="4"/>
  <c r="AQ132" i="4"/>
  <c r="R131" i="4"/>
  <c r="AU129" i="4"/>
  <c r="J128" i="4"/>
  <c r="F126" i="4"/>
  <c r="AH123" i="4"/>
  <c r="AR135" i="4"/>
  <c r="AT134" i="4"/>
  <c r="AV133" i="4"/>
  <c r="AX132" i="4"/>
  <c r="AB131" i="4"/>
  <c r="BG129" i="4"/>
  <c r="V128" i="4"/>
  <c r="Z126" i="4"/>
  <c r="AZ123" i="4"/>
  <c r="G132" i="4"/>
  <c r="I131" i="4"/>
  <c r="K130" i="4"/>
  <c r="M129" i="4"/>
  <c r="O128" i="4"/>
  <c r="Q127" i="4"/>
  <c r="S126" i="4"/>
  <c r="U125" i="4"/>
  <c r="W124" i="4"/>
  <c r="Y123" i="4"/>
  <c r="AA122" i="4"/>
  <c r="BM126" i="4"/>
  <c r="BO125" i="4"/>
  <c r="AC130" i="4"/>
  <c r="AQ129" i="4"/>
  <c r="BR133" i="4"/>
  <c r="AB123" i="4"/>
  <c r="BI134" i="4"/>
  <c r="Q130" i="4"/>
  <c r="BF135" i="4"/>
  <c r="AY131" i="4"/>
  <c r="X124" i="4"/>
  <c r="BE132" i="4"/>
  <c r="AR126" i="4"/>
  <c r="BB133" i="4"/>
  <c r="AF128" i="4"/>
  <c r="AS134" i="4"/>
  <c r="BD129" i="4"/>
  <c r="AP135" i="4"/>
  <c r="Z131" i="4"/>
  <c r="AV123" i="4"/>
  <c r="Q135" i="4"/>
  <c r="S134" i="4"/>
  <c r="U133" i="4"/>
  <c r="V132" i="4"/>
  <c r="AZ130" i="4"/>
  <c r="O129" i="4"/>
  <c r="AR127" i="4"/>
  <c r="T125" i="4"/>
  <c r="AT122" i="4"/>
  <c r="P135" i="4"/>
  <c r="R134" i="4"/>
  <c r="T133" i="4"/>
  <c r="U132" i="4"/>
  <c r="AX130" i="4"/>
  <c r="N129" i="4"/>
  <c r="AQ127" i="4"/>
  <c r="P125" i="4"/>
  <c r="AR122" i="4"/>
  <c r="O135" i="4"/>
  <c r="Q134" i="4"/>
  <c r="S133" i="4"/>
  <c r="R132" i="4"/>
  <c r="AW130" i="4"/>
  <c r="L129" i="4"/>
  <c r="AP127" i="4"/>
  <c r="N125" i="4"/>
  <c r="AP122" i="4"/>
  <c r="V135" i="4"/>
  <c r="X134" i="4"/>
  <c r="Z133" i="4"/>
  <c r="AB132" i="4"/>
  <c r="BH130" i="4"/>
  <c r="W129" i="4"/>
  <c r="AZ127" i="4"/>
  <c r="AF125" i="4"/>
  <c r="BH122" i="4"/>
  <c r="AC135" i="4"/>
  <c r="AE134" i="4"/>
  <c r="AG133" i="4"/>
  <c r="AB130" i="4"/>
  <c r="BL125" i="4"/>
  <c r="BL131" i="4"/>
  <c r="AH135" i="4"/>
  <c r="AC134" i="4"/>
  <c r="AE129" i="4"/>
  <c r="Z135" i="4"/>
  <c r="BN130" i="4"/>
  <c r="BR122" i="4"/>
  <c r="Y132" i="4"/>
  <c r="X125" i="4"/>
  <c r="V133" i="4"/>
  <c r="AU127" i="4"/>
  <c r="M134" i="4"/>
  <c r="F129" i="4"/>
  <c r="J135" i="4"/>
  <c r="AO130" i="4"/>
  <c r="AB122" i="4"/>
  <c r="I135" i="4"/>
  <c r="K134" i="4"/>
  <c r="M133" i="4"/>
  <c r="I132" i="4"/>
  <c r="AL130" i="4"/>
  <c r="BQ128" i="4"/>
  <c r="AF127" i="4"/>
  <c r="BL124" i="4"/>
  <c r="Z122" i="4"/>
  <c r="H135" i="4"/>
  <c r="J134" i="4"/>
  <c r="L133" i="4"/>
  <c r="H132" i="4"/>
  <c r="AK130" i="4"/>
  <c r="BN128" i="4"/>
  <c r="AB127" i="4"/>
  <c r="BJ124" i="4"/>
  <c r="V122" i="4"/>
  <c r="G135" i="4"/>
  <c r="I134" i="4"/>
  <c r="K133" i="4"/>
  <c r="F132" i="4"/>
  <c r="AJ130" i="4"/>
  <c r="BM128" i="4"/>
  <c r="AA127" i="4"/>
  <c r="BF124" i="4"/>
  <c r="T122" i="4"/>
  <c r="N135" i="4"/>
  <c r="P134" i="4"/>
  <c r="R133" i="4"/>
  <c r="Q132" i="4"/>
  <c r="AT130" i="4"/>
  <c r="K129" i="4"/>
  <c r="AN127" i="4"/>
  <c r="L125" i="4"/>
  <c r="AL122" i="4"/>
  <c r="U135" i="4"/>
  <c r="W134" i="4"/>
  <c r="Y133" i="4"/>
  <c r="AA132" i="4"/>
  <c r="BF130" i="4"/>
  <c r="V129" i="4"/>
  <c r="AY127" i="4"/>
  <c r="AD125" i="4"/>
  <c r="BF122" i="4"/>
  <c r="AB135" i="4"/>
  <c r="AD134" i="4"/>
  <c r="AF133" i="4"/>
  <c r="AH132" i="4"/>
  <c r="BQ130" i="4"/>
  <c r="AF129" i="4"/>
  <c r="BK127" i="4"/>
  <c r="BQ134" i="4"/>
  <c r="AK134" i="4"/>
  <c r="BO135" i="4"/>
  <c r="BE128" i="4"/>
  <c r="AL133" i="4"/>
  <c r="BK133" i="4"/>
  <c r="AT128" i="4"/>
  <c r="BH134" i="4"/>
  <c r="N130" i="4"/>
  <c r="AY135" i="4"/>
  <c r="AN131" i="4"/>
  <c r="F124" i="4"/>
  <c r="BD132" i="4"/>
  <c r="AP126" i="4"/>
  <c r="AU133" i="4"/>
  <c r="U128" i="4"/>
  <c r="AR134" i="4"/>
  <c r="BC129" i="4"/>
  <c r="BM135" i="4"/>
  <c r="BO134" i="4"/>
  <c r="BQ133" i="4"/>
  <c r="E133" i="4"/>
  <c r="BK131" i="4"/>
  <c r="Z130" i="4"/>
  <c r="BD128" i="4"/>
  <c r="P127" i="4"/>
  <c r="AP124" i="4"/>
  <c r="BL135" i="4"/>
  <c r="BN134" i="4"/>
  <c r="BP133" i="4"/>
  <c r="BR132" i="4"/>
  <c r="BH131" i="4"/>
  <c r="Y130" i="4"/>
  <c r="BB128" i="4"/>
  <c r="L127" i="4"/>
  <c r="AN124" i="4"/>
  <c r="BK135" i="4"/>
  <c r="BM134" i="4"/>
  <c r="BO133" i="4"/>
  <c r="BQ132" i="4"/>
  <c r="BG131" i="4"/>
  <c r="V130" i="4"/>
  <c r="BA128" i="4"/>
  <c r="J127" i="4"/>
  <c r="AL124" i="4"/>
  <c r="BR135" i="4"/>
  <c r="F135" i="4"/>
  <c r="H134" i="4"/>
  <c r="J133" i="4"/>
  <c r="E132" i="4"/>
  <c r="AH130" i="4"/>
  <c r="BL128" i="4"/>
  <c r="Z127" i="4"/>
  <c r="BD124" i="4"/>
  <c r="R122" i="4"/>
  <c r="M135" i="4"/>
  <c r="O134" i="4"/>
  <c r="Q133" i="4"/>
  <c r="P132" i="4"/>
  <c r="AS130" i="4"/>
  <c r="H129" i="4"/>
  <c r="AM127" i="4"/>
  <c r="H125" i="4"/>
  <c r="AJ122" i="4"/>
  <c r="T135" i="4"/>
  <c r="V134" i="4"/>
  <c r="X133" i="4"/>
  <c r="Z132" i="4"/>
  <c r="BE130" i="4"/>
  <c r="T129" i="4"/>
  <c r="AX127" i="4"/>
  <c r="AB125" i="4"/>
  <c r="BB122" i="4"/>
  <c r="AW131" i="4"/>
  <c r="AY130" i="4"/>
  <c r="BA129" i="4"/>
  <c r="BC128" i="4"/>
  <c r="BE127" i="4"/>
  <c r="BG126" i="4"/>
  <c r="BI125" i="4"/>
  <c r="BK124" i="4"/>
  <c r="BM123" i="4"/>
  <c r="BO122" i="4"/>
  <c r="J122" i="4"/>
  <c r="AO126" i="4"/>
  <c r="G133" i="4"/>
  <c r="AO132" i="4"/>
  <c r="E134" i="4"/>
  <c r="AT124" i="4"/>
  <c r="L131" i="4"/>
  <c r="AE133" i="4"/>
  <c r="BH127" i="4"/>
  <c r="AB134" i="4"/>
  <c r="AD129" i="4"/>
  <c r="S135" i="4"/>
  <c r="BB130" i="4"/>
  <c r="AZ122" i="4"/>
  <c r="X132" i="4"/>
  <c r="V125" i="4"/>
  <c r="O133" i="4"/>
  <c r="AI127" i="4"/>
  <c r="L134" i="4"/>
  <c r="BR128" i="4"/>
  <c r="BE135" i="4"/>
  <c r="BG134" i="4"/>
  <c r="BI133" i="4"/>
  <c r="BK132" i="4"/>
  <c r="AX131" i="4"/>
  <c r="M130" i="4"/>
  <c r="AP128" i="4"/>
  <c r="BH126" i="4"/>
  <c r="V124" i="4"/>
  <c r="BD135" i="4"/>
  <c r="BF134" i="4"/>
  <c r="BH133" i="4"/>
  <c r="BJ132" i="4"/>
  <c r="AV131" i="4"/>
  <c r="L130" i="4"/>
  <c r="AO128" i="4"/>
  <c r="BF126" i="4"/>
  <c r="R124" i="4"/>
  <c r="BC135" i="4"/>
  <c r="BE134" i="4"/>
  <c r="BG133" i="4"/>
  <c r="BI132" i="4"/>
  <c r="AU131" i="4"/>
  <c r="J130" i="4"/>
  <c r="AN128" i="4"/>
  <c r="BB126" i="4"/>
  <c r="P124" i="4"/>
  <c r="BJ135" i="4"/>
  <c r="BL134" i="4"/>
  <c r="BN133" i="4"/>
  <c r="BP132" i="4"/>
  <c r="BF131" i="4"/>
  <c r="U130" i="4"/>
  <c r="AX128" i="4"/>
  <c r="H127" i="4"/>
  <c r="AH124" i="4"/>
  <c r="BQ135" i="4"/>
  <c r="E135" i="4"/>
  <c r="G134" i="4"/>
  <c r="I133" i="4"/>
  <c r="BP131" i="4"/>
  <c r="AG130" i="4"/>
  <c r="BJ128" i="4"/>
  <c r="X127" i="4"/>
  <c r="BB124" i="4"/>
  <c r="N122" i="4"/>
  <c r="L135" i="4"/>
  <c r="N134" i="4"/>
  <c r="P133" i="4"/>
  <c r="N132" i="4"/>
  <c r="AR130" i="4"/>
  <c r="G129" i="4"/>
  <c r="AJ127" i="4"/>
  <c r="F125" i="4"/>
  <c r="AH122" i="4"/>
  <c r="AO131" i="4"/>
  <c r="AQ130" i="4"/>
  <c r="AS129" i="4"/>
  <c r="AU128" i="4"/>
  <c r="AW127" i="4"/>
  <c r="AY126" i="4"/>
  <c r="BA125" i="4"/>
  <c r="BC124" i="4"/>
  <c r="BE123" i="4"/>
  <c r="BG122" i="4"/>
  <c r="AE127" i="4"/>
  <c r="AG126" i="4"/>
  <c r="I129" i="4"/>
  <c r="BA124" i="4"/>
  <c r="V127" i="4"/>
  <c r="AD123" i="4"/>
  <c r="BE129" i="4"/>
  <c r="BM125" i="4"/>
  <c r="E123" i="4"/>
  <c r="G124" i="4"/>
  <c r="AI129" i="4"/>
  <c r="AJ135" i="4"/>
  <c r="P131" i="4"/>
  <c r="AX124" i="4"/>
  <c r="AG131" i="4"/>
  <c r="AK129" i="4"/>
  <c r="AW128" i="4"/>
  <c r="BR134" i="4"/>
  <c r="AD130" i="4"/>
  <c r="AD124" i="4"/>
  <c r="Y131" i="4"/>
  <c r="AC129" i="4"/>
  <c r="AG127" i="4"/>
  <c r="AK125" i="4"/>
  <c r="AO123" i="4"/>
  <c r="O127" i="4"/>
  <c r="AI125" i="4"/>
  <c r="AK124" i="4"/>
  <c r="AM123" i="4"/>
  <c r="AO122" i="4"/>
  <c r="BJ131" i="4"/>
  <c r="BL130" i="4"/>
  <c r="BN129" i="4"/>
  <c r="BP128" i="4"/>
  <c r="BR127" i="4"/>
  <c r="F127" i="4"/>
  <c r="H126" i="4"/>
  <c r="J125" i="4"/>
  <c r="L124" i="4"/>
  <c r="N123" i="4"/>
  <c r="P122" i="4"/>
  <c r="AK131" i="4"/>
  <c r="AM130" i="4"/>
  <c r="AO129" i="4"/>
  <c r="AQ128" i="4"/>
  <c r="AS127" i="4"/>
  <c r="AU126" i="4"/>
  <c r="AW125" i="4"/>
  <c r="AY124" i="4"/>
  <c r="BA123" i="4"/>
  <c r="BC122" i="4"/>
  <c r="K127" i="4"/>
  <c r="M126" i="4"/>
  <c r="O125" i="4"/>
  <c r="Q124" i="4"/>
  <c r="S123" i="4"/>
  <c r="U122" i="4"/>
  <c r="AL134" i="4"/>
  <c r="AT129" i="4"/>
  <c r="AF123" i="4"/>
  <c r="BO130" i="4"/>
  <c r="E129" i="4"/>
  <c r="M125" i="4"/>
  <c r="Q123" i="4"/>
  <c r="AA125" i="4"/>
  <c r="AC124" i="4"/>
  <c r="AG122" i="4"/>
  <c r="BL127" i="4"/>
  <c r="I127" i="4"/>
  <c r="BE126" i="4"/>
  <c r="AE123" i="4"/>
  <c r="BB131" i="4"/>
  <c r="BO132" i="4"/>
  <c r="BR126" i="4"/>
  <c r="F134" i="4"/>
  <c r="BI128" i="4"/>
  <c r="J123" i="4"/>
  <c r="BG130" i="4"/>
  <c r="BK128" i="4"/>
  <c r="BO126" i="4"/>
  <c r="E125" i="4"/>
  <c r="I123" i="4"/>
  <c r="AW126" i="4"/>
  <c r="S125" i="4"/>
  <c r="U124" i="4"/>
  <c r="W123" i="4"/>
  <c r="Y122" i="4"/>
  <c r="AT131" i="4"/>
  <c r="AV130" i="4"/>
  <c r="AX129" i="4"/>
  <c r="AZ128" i="4"/>
  <c r="BB127" i="4"/>
  <c r="BD126" i="4"/>
  <c r="BF125" i="4"/>
  <c r="BH124" i="4"/>
  <c r="BJ123" i="4"/>
  <c r="BL122" i="4"/>
  <c r="S132" i="4"/>
  <c r="U131" i="4"/>
  <c r="W130" i="4"/>
  <c r="Y129" i="4"/>
  <c r="AA128" i="4"/>
  <c r="AC127" i="4"/>
  <c r="AE126" i="4"/>
  <c r="AG125" i="4"/>
  <c r="AI124" i="4"/>
  <c r="AK123" i="4"/>
  <c r="AM122" i="4"/>
  <c r="BI126" i="4"/>
  <c r="BK125" i="4"/>
  <c r="BM124" i="4"/>
  <c r="BO123" i="4"/>
  <c r="BQ122" i="4"/>
  <c r="AF124" i="4"/>
  <c r="H133" i="4"/>
  <c r="W132" i="4"/>
  <c r="AE128" i="4"/>
  <c r="AM124" i="4"/>
  <c r="Q126" i="4"/>
  <c r="E124" i="4"/>
  <c r="I122" i="4"/>
  <c r="AF130" i="4"/>
  <c r="AJ128" i="4"/>
  <c r="AN126" i="4"/>
  <c r="AR124" i="4"/>
  <c r="AV122" i="4"/>
  <c r="E131" i="4"/>
  <c r="K128" i="4"/>
  <c r="O126" i="4"/>
  <c r="S124" i="4"/>
  <c r="W122" i="4"/>
  <c r="AW124" i="4"/>
  <c r="BA122" i="4"/>
  <c r="BR130" i="4"/>
  <c r="L123" i="4"/>
  <c r="AP132" i="4"/>
  <c r="BR125" i="4"/>
  <c r="BM131" i="4"/>
  <c r="BQ129" i="4"/>
  <c r="G128" i="4"/>
  <c r="K126" i="4"/>
  <c r="O124" i="4"/>
  <c r="S122" i="4"/>
  <c r="BG125" i="4"/>
  <c r="BI124" i="4"/>
  <c r="BK123" i="4"/>
  <c r="BM122" i="4"/>
  <c r="T132" i="4"/>
  <c r="V131" i="4"/>
  <c r="X130" i="4"/>
  <c r="Z129" i="4"/>
  <c r="AB128" i="4"/>
  <c r="AD127" i="4"/>
  <c r="AF126" i="4"/>
  <c r="AH125" i="4"/>
  <c r="AJ124" i="4"/>
  <c r="AL123" i="4"/>
  <c r="BI131" i="4"/>
  <c r="BK130" i="4"/>
  <c r="BM129" i="4"/>
  <c r="BO128" i="4"/>
  <c r="E127" i="4"/>
  <c r="I125" i="4"/>
  <c r="O122" i="4"/>
  <c r="AM125" i="4"/>
  <c r="AQ123" i="4"/>
  <c r="T130" i="4"/>
  <c r="BO131" i="4"/>
  <c r="BE131" i="4"/>
  <c r="K122" i="4"/>
  <c r="BE122" i="4"/>
  <c r="N131" i="4"/>
  <c r="T128" i="4"/>
  <c r="Z125" i="4"/>
  <c r="AF122" i="4"/>
  <c r="BC130" i="4"/>
  <c r="BI127" i="4"/>
  <c r="BQ123" i="4"/>
  <c r="AI132" i="4"/>
  <c r="AZ125" i="4"/>
  <c r="AN133" i="4"/>
  <c r="I128" i="4"/>
  <c r="L122" i="4"/>
  <c r="AI130" i="4"/>
  <c r="AM128" i="4"/>
  <c r="AQ126" i="4"/>
  <c r="AU124" i="4"/>
  <c r="AY122" i="4"/>
  <c r="Y126" i="4"/>
  <c r="K125" i="4"/>
  <c r="M124" i="4"/>
  <c r="O123" i="4"/>
  <c r="Q122" i="4"/>
  <c r="AL131" i="4"/>
  <c r="AN130" i="4"/>
  <c r="AP129" i="4"/>
  <c r="AR128" i="4"/>
  <c r="AT127" i="4"/>
  <c r="AV126" i="4"/>
  <c r="AX125" i="4"/>
  <c r="AZ124" i="4"/>
  <c r="BB123" i="4"/>
  <c r="BD122" i="4"/>
  <c r="K132" i="4"/>
  <c r="M131" i="4"/>
  <c r="O130" i="4"/>
  <c r="Q129" i="4"/>
  <c r="S128" i="4"/>
  <c r="U127" i="4"/>
  <c r="W126" i="4"/>
  <c r="Y125" i="4"/>
  <c r="AA124" i="4"/>
  <c r="AC123" i="4"/>
  <c r="AE122" i="4"/>
  <c r="BA126" i="4"/>
  <c r="BC125" i="4"/>
  <c r="BE124" i="4"/>
  <c r="BG123" i="4"/>
  <c r="BI122" i="4"/>
  <c r="BD131" i="4"/>
  <c r="T127" i="4"/>
  <c r="AA130" i="4"/>
  <c r="AI126" i="4"/>
  <c r="AQ122" i="4"/>
  <c r="BQ124" i="4"/>
  <c r="G123" i="4"/>
  <c r="AD131" i="4"/>
  <c r="AH129" i="4"/>
  <c r="AL127" i="4"/>
  <c r="AP125" i="4"/>
  <c r="AT123" i="4"/>
  <c r="BQ131" i="4"/>
  <c r="G130" i="4"/>
  <c r="M127" i="4"/>
  <c r="Q125" i="4"/>
  <c r="U123" i="4"/>
  <c r="AS126" i="4"/>
  <c r="AU125" i="4"/>
  <c r="AY123" i="4"/>
  <c r="AN122" i="4"/>
  <c r="BQ127" i="4"/>
  <c r="G126" i="4"/>
  <c r="K124" i="4"/>
  <c r="M123" i="4"/>
  <c r="AK126" i="4"/>
  <c r="AO124" i="4"/>
  <c r="AS122" i="4"/>
  <c r="BP135" i="4"/>
  <c r="AV125" i="4"/>
  <c r="BI129" i="4"/>
  <c r="BM127" i="4"/>
  <c r="BQ125" i="4"/>
  <c r="AY125" i="4"/>
  <c r="BC123" i="4"/>
  <c r="L132" i="4"/>
  <c r="P130" i="4"/>
  <c r="R129" i="4"/>
  <c r="X126" i="4"/>
  <c r="AB124" i="4"/>
  <c r="BA131" i="4"/>
  <c r="BG128" i="4"/>
  <c r="BK126" i="4"/>
  <c r="BO124" i="4"/>
  <c r="AS124" i="4"/>
  <c r="J129" i="4"/>
  <c r="R125" i="4"/>
  <c r="AS131" i="4"/>
  <c r="BA127" i="4"/>
  <c r="BI123" i="4"/>
  <c r="U126" i="4"/>
  <c r="AI123" i="4"/>
  <c r="AU123" i="4"/>
  <c r="BH128" i="4"/>
  <c r="BP124" i="4"/>
  <c r="AC131" i="4"/>
  <c r="AK127" i="4"/>
  <c r="AS123" i="4"/>
  <c r="E126" i="4"/>
  <c r="AA123" i="4"/>
  <c r="AW122" i="4"/>
  <c r="L128" i="4"/>
  <c r="T124" i="4"/>
  <c r="AU130" i="4"/>
  <c r="BC126" i="4"/>
  <c r="BK122" i="4"/>
  <c r="AE125" i="4"/>
  <c r="K123" i="4"/>
  <c r="AO127" i="4"/>
  <c r="BR131" i="4"/>
  <c r="BJ127" i="4"/>
  <c r="BR123" i="4"/>
  <c r="AE130" i="4"/>
  <c r="AM126" i="4"/>
  <c r="AU122" i="4"/>
  <c r="W125" i="4"/>
  <c r="AK122" i="4"/>
  <c r="AI128" i="4"/>
  <c r="AC126" i="4"/>
  <c r="AS125" i="4"/>
  <c r="F131" i="4"/>
  <c r="N127" i="4"/>
  <c r="V123" i="4"/>
  <c r="AW129" i="4"/>
  <c r="BE125" i="4"/>
  <c r="G122" i="4"/>
  <c r="G125" i="4"/>
  <c r="AC122" i="4"/>
  <c r="AW123" i="4"/>
  <c r="BD130" i="4"/>
  <c r="BL126" i="4"/>
  <c r="F123" i="4"/>
  <c r="AG129" i="4"/>
  <c r="AO125" i="4"/>
  <c r="F122" i="4"/>
  <c r="AG124" i="4"/>
  <c r="M122" i="4"/>
  <c r="W127" i="4"/>
  <c r="H130" i="4"/>
  <c r="P126" i="4"/>
  <c r="X122" i="4"/>
  <c r="AY128" i="4"/>
  <c r="BG124" i="4"/>
  <c r="BQ126" i="4"/>
  <c r="Y124" i="4"/>
  <c r="AQ125" i="4"/>
  <c r="BF129" i="4"/>
  <c r="BN125" i="4"/>
  <c r="H122" i="4"/>
  <c r="AQ124" i="4"/>
  <c r="I1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<sst xmlns="http://schemas.openxmlformats.org/spreadsheetml/2006/main" count="196" uniqueCount="89">
  <si>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</si>
  <si>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</si>
  <si>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</si>
  <si>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</si>
  <si>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</si>
  <si>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</si>
  <si>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</si>
  <si>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</si>
  <si>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</si>
  <si>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</si>
  <si>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</si>
  <si>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</si>
  <si>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</si>
  <si>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</si>
  <si>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</si>
  <si>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</si>
  <si>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</si>
  <si>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</si>
  <si>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</si>
  <si>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</si>
  <si>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</si>
  <si>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</si>
  <si>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</si>
  <si>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</si>
  <si>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</si>
  <si>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</si>
  <si>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</si>
  <si>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</si>
  <si>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</si>
  <si>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</si>
  <si>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</si>
  <si>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</si>
  <si>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</si>
  <si>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</si>
  <si>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</si>
  <si>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</si>
  <si>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</si>
  <si>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</si>
  <si>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</si>
  <si>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</si>
  <si>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</si>
  <si>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</si>
  <si>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</si>
  <si>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</si>
  <si>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</si>
  <si>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</si>
  <si>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</si>
  <si>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</si>
  <si>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</si>
  <si>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</si>
  <si>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</si>
  <si>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</si>
  <si>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</si>
  <si>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*Ga[1]</t>
  </si>
  <si>
    <t>(1)Ga[l]</t>
  </si>
  <si>
    <t>(1)GeSe[l]</t>
  </si>
  <si>
    <t>(1)Ge[l]</t>
  </si>
  <si>
    <t>*Ga2Se3</t>
  </si>
  <si>
    <t>*GeSe2</t>
  </si>
  <si>
    <t>Ga2Se</t>
  </si>
  <si>
    <t>(1)Se</t>
  </si>
  <si>
    <t>(1)Ga2Se3</t>
  </si>
  <si>
    <t>(1)Ga2Se</t>
  </si>
  <si>
    <t>(1)Se[R]</t>
  </si>
  <si>
    <t>(2)Ga[1]</t>
  </si>
  <si>
    <t>(2)Ge[1]</t>
  </si>
  <si>
    <t>(2)GeSe[1]</t>
  </si>
  <si>
    <t>(1)Se[A]</t>
  </si>
  <si>
    <t>(1)Se[M]</t>
  </si>
  <si>
    <t>(1)Ge</t>
  </si>
  <si>
    <t>(1)Ga</t>
  </si>
  <si>
    <t>(1)GeSe2</t>
  </si>
  <si>
    <t>(1)GeSe</t>
  </si>
  <si>
    <t>(1)GaSe</t>
  </si>
  <si>
    <t>*Se[l]</t>
  </si>
  <si>
    <t>*GaSe2</t>
  </si>
  <si>
    <t>*GeSe[l]</t>
  </si>
  <si>
    <t>Se4</t>
  </si>
  <si>
    <t>Se5</t>
  </si>
  <si>
    <t>Se6</t>
  </si>
  <si>
    <t>Se?</t>
  </si>
  <si>
    <t>Se8</t>
  </si>
  <si>
    <t>Se3</t>
  </si>
  <si>
    <t>Se2</t>
  </si>
  <si>
    <t>(l)Ga[l]</t>
  </si>
  <si>
    <t>(l)Ge[l]</t>
  </si>
  <si>
    <t>(l)GeSe[l]</t>
  </si>
  <si>
    <t>end</t>
  </si>
  <si>
    <t>(l)Se[l]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</si>
</sst>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2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</cellStyleXfs>
  <cellXfs count="11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10" borderId="0" xfId="4" applyNumberFormat="1" applyFont="1">
      <alignment vertical="top"/>
    </xf>
    <xf numFmtId="164" fontId="30" fillId="0" borderId="0" xfId="0" applyNumberFormat="1" applyFont="1"/>
    <xf numFmtId="164" fontId="30" fillId="0" borderId="0" xfId="0" applyNumberFormat="1" applyFont="1" applyAlignment="1"/>
    <xf numFmtId="1" fontId="8" fillId="7" borderId="31" xfId="2" applyBorder="1">
      <alignment horizontal="left" vertical="center"/>
    </xf>
    <xf numFmtId="164" fontId="10" fillId="0" borderId="0" xfId="7"/>
    <xf numFmtId="1" fontId="8" fillId="7" borderId="32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0" xfId="0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9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2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rgbClr val="0070C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6F2-4B4F-8101-7DEE68B74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1EF-44BA-AAAA-9AD66152902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A9EC-4FB3-B49F-FC7DFD03B3C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A9EC-4FB3-B49F-FC7DFD03B3C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A9EC-4FB3-B49F-FC7DFD03B3C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A9EC-4FB3-B49F-FC7DFD03B3C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A9EC-4FB3-B49F-FC7DFD03B3C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A9EC-4FB3-B49F-FC7DFD03B3C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F2-4B4F-8101-7DEE68B74E1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D6F2-4B4F-8101-7DEE68B74E1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6F2-4B4F-8101-7DEE68B74E1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D6F2-4B4F-8101-7DEE68B74E1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D6F2-4B4F-8101-7DEE68B74E1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D6F2-4B4F-8101-7DEE68B74E1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D6F2-4B4F-8101-7DEE68B74E1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D6F2-4B4F-8101-7DEE68B74E1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D6F2-4B4F-8101-7DEE68B74E1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6F2-4B4F-8101-7DEE68B74E1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D6F2-4B4F-8101-7DEE68B74E1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D6F2-4B4F-8101-7DEE68B74E1B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D6F2-4B4F-8101-7DEE68B74E1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D6F2-4B4F-8101-7DEE68B74E1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D6F2-4B4F-8101-7DEE68B74E1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D6F2-4B4F-8101-7DEE68B74E1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D6F2-4B4F-8101-7DEE68B74E1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D6F2-4B4F-8101-7DEE68B74E1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D6F2-4B4F-8101-7DEE68B74E1B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D6F2-4B4F-8101-7DEE68B74E1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D6F2-4B4F-8101-7DEE68B74E1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D6F2-4B4F-8101-7DEE68B74E1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D6F2-4B4F-8101-7DEE68B74E1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D6F2-4B4F-8101-7DEE68B74E1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D6F2-4B4F-8101-7DEE68B74E1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D6F2-4B4F-8101-7DEE68B74E1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D6F2-4B4F-8101-7DEE68B74E1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D6F2-4B4F-8101-7DEE68B74E1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D6F2-4B4F-8101-7DEE68B74E1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4-D6F2-4B4F-8101-7DEE68B74E1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5-D6F2-4B4F-8101-7DEE68B74E1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437-4A6C-AECE-BB727C6FF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EF-46D6-A94F-2517E60135C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C12C-44BE-9FB4-FFBBBE0F618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12C-44BE-9FB4-FFBBBE0F618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C12C-44BE-9FB4-FFBBBE0F618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C12C-44BE-9FB4-FFBBBE0F618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C12C-44BE-9FB4-FFBBBE0F618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C12C-44BE-9FB4-FFBBBE0F618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4-F437-4A6C-AECE-BB727C6FF1D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5-F437-4A6C-AECE-BB727C6FF1DA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6-F437-4A6C-AECE-BB727C6FF1DA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7-F437-4A6C-AECE-BB727C6FF1D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8-F437-4A6C-AECE-BB727C6FF1D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9-F437-4A6C-AECE-BB727C6FF1D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A-F437-4A6C-AECE-BB727C6FF1D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B-F437-4A6C-AECE-BB727C6FF1D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C-F437-4A6C-AECE-BB727C6FF1D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D-F437-4A6C-AECE-BB727C6FF1DA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E-F437-4A6C-AECE-BB727C6FF1DA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F-F437-4A6C-AECE-BB727C6FF1DA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0-F437-4A6C-AECE-BB727C6FF1DA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1-F437-4A6C-AECE-BB727C6FF1DA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2-F437-4A6C-AECE-BB727C6FF1DA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4-F437-4A6C-AECE-BB727C6FF1DA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5-F437-4A6C-AECE-BB727C6FF1DA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6-F437-4A6C-AECE-BB727C6FF1DA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7-F437-4A6C-AECE-BB727C6FF1DA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8-F437-4A6C-AECE-BB727C6FF1DA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9-F437-4A6C-AECE-BB727C6FF1DA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A-F437-4A6C-AECE-BB727C6FF1DA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B-F437-4A6C-AECE-BB727C6FF1DA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F437-4A6C-AECE-BB727C6FF1DA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F437-4A6C-AECE-BB727C6FF1DA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F437-4A6C-AECE-BB727C6FF1DA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F437-4A6C-AECE-BB727C6FF1DA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F437-4A6C-AECE-BB727C6FF1DA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F437-4A6C-AECE-BB727C6FF1DA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F437-4A6C-AECE-BB727C6FF1DA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F437-4A6C-AECE-BB727C6FF1D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6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81"/>
          <c:order val="81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FC3-4701-B6CB-E393E8D22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E43-435B-B057-21EAE1F9E5D7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E43-435B-B057-21EAE1F9E5D7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4E43-435B-B057-21EAE1F9E5D7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E43-435B-B057-21EAE1F9E5D7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E43-435B-B057-21EAE1F9E5D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E43-435B-B057-21EAE1F9E5D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4E43-435B-B057-21EAE1F9E5D7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E43-435B-B057-21EAE1F9E5D7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E43-435B-B057-21EAE1F9E5D7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E43-435B-B057-21EAE1F9E5D7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E43-435B-B057-21EAE1F9E5D7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E43-435B-B057-21EAE1F9E5D7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E43-435B-B057-21EAE1F9E5D7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E43-435B-B057-21EAE1F9E5D7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E43-435B-B057-21EAE1F9E5D7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E43-435B-B057-21EAE1F9E5D7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E43-435B-B057-21EAE1F9E5D7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E43-435B-B057-21EAE1F9E5D7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E43-435B-B057-21EAE1F9E5D7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E43-435B-B057-21EAE1F9E5D7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E43-435B-B057-21EAE1F9E5D7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E43-435B-B057-21EAE1F9E5D7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E43-435B-B057-21EAE1F9E5D7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E43-435B-B057-21EAE1F9E5D7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E43-435B-B057-21EAE1F9E5D7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E43-435B-B057-21EAE1F9E5D7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E43-435B-B057-21EAE1F9E5D7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E43-435B-B057-21EAE1F9E5D7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E43-435B-B057-21EAE1F9E5D7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E43-435B-B057-21EAE1F9E5D7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E43-435B-B057-21EAE1F9E5D7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E43-435B-B057-21EAE1F9E5D7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E43-435B-B057-21EAE1F9E5D7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E43-435B-B057-21EAE1F9E5D7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E43-435B-B057-21EAE1F9E5D7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E43-435B-B057-21EAE1F9E5D7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E43-435B-B057-21EAE1F9E5D7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E43-435B-B057-21EAE1F9E5D7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E43-435B-B057-21EAE1F9E5D7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E43-435B-B057-21EAE1F9E5D7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4E43-435B-B057-21EAE1F9E5D7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E43-435B-B057-21EAE1F9E5D7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E43-435B-B057-21EAE1F9E5D7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E43-435B-B057-21EAE1F9E5D7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E43-435B-B057-21EAE1F9E5D7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E43-435B-B057-21EAE1F9E5D7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E43-435B-B057-21EAE1F9E5D7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E43-435B-B057-21EAE1F9E5D7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E43-435B-B057-21EAE1F9E5D7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E43-435B-B057-21EAE1F9E5D7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E43-435B-B057-21EAE1F9E5D7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E43-435B-B057-21EAE1F9E5D7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E43-435B-B057-21EAE1F9E5D7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4E43-435B-B057-21EAE1F9E5D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4E43-435B-B057-21EAE1F9E5D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4E43-435B-B057-21EAE1F9E5D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4E43-435B-B057-21EAE1F9E5D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4E43-435B-B057-21EAE1F9E5D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4E43-435B-B057-21EAE1F9E5D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4E43-435B-B057-21EAE1F9E5D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4-1FC3-4701-B6CB-E393E8D2248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5-1FC3-4701-B6CB-E393E8D2248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6-1FC3-4701-B6CB-E393E8D2248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7-1FC3-4701-B6CB-E393E8D2248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8-1FC3-4701-B6CB-E393E8D2248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9-1FC3-4701-B6CB-E393E8D2248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A-1FC3-4701-B6CB-E393E8D2248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B-1FC3-4701-B6CB-E393E8D2248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C-1FC3-4701-B6CB-E393E8D2248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D-1FC3-4701-B6CB-E393E8D2248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E-1FC3-4701-B6CB-E393E8D2248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F-1FC3-4701-B6CB-E393E8D2248B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0-1FC3-4701-B6CB-E393E8D2248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1-1FC3-4701-B6CB-E393E8D2248B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2-1FC3-4701-B6CB-E393E8D2248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3-1FC3-4701-B6CB-E393E8D2248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4-1FC3-4701-B6CB-E393E8D2248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5-1FC3-4701-B6CB-E393E8D2248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6-1FC3-4701-B6CB-E393E8D2248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7-1FC3-4701-B6CB-E393E8D2248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9-1FC3-4701-B6CB-E393E8D2248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A-1FC3-4701-B6CB-E393E8D2248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B-1FC3-4701-B6CB-E393E8D2248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1FC3-4701-B6CB-E393E8D2248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1FC3-4701-B6CB-E393E8D2248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1FC3-4701-B6CB-E393E8D2248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1FC3-4701-B6CB-E393E8D2248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1FC3-4701-B6CB-E393E8D2248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1FC3-4701-B6CB-E393E8D2248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1FC3-4701-B6CB-E393E8D2248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1FC3-4701-B6CB-E393E8D2248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1EB-4EB1-950C-67C57BEE7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16-4E7F-975B-C1DF40B9138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6-4E7F-975B-C1DF40B9138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>
                    <c:ext xmlns:c16="http://schemas.microsoft.com/office/drawing/2014/chart" uri="{C3380CC4-5D6E-409C-BE32-E72D297353CC}">
                      <c16:uniqueId val="{00000000-CD16-4E7F-975B-C1DF40B91386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CD16-4E7F-975B-C1DF40B9138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6-4E7F-975B-C1DF40B9138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16-4E7F-975B-C1DF40B9138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16-4E7F-975B-C1DF40B9138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D16-4E7F-975B-C1DF40B9138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16-4E7F-975B-C1DF40B9138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16-4E7F-975B-C1DF40B9138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D16-4E7F-975B-C1DF40B9138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D16-4E7F-975B-C1DF40B9138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D16-4E7F-975B-C1DF40B9138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D16-4E7F-975B-C1DF40B9138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16-4E7F-975B-C1DF40B9138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16-4E7F-975B-C1DF40B9138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D16-4E7F-975B-C1DF40B9138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D16-4E7F-975B-C1DF40B9138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D16-4E7F-975B-C1DF40B9138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D16-4E7F-975B-C1DF40B9138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D16-4E7F-975B-C1DF40B9138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D16-4E7F-975B-C1DF40B9138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D16-4E7F-975B-C1DF40B9138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D16-4E7F-975B-C1DF40B9138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D16-4E7F-975B-C1DF40B9138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D16-4E7F-975B-C1DF40B9138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D16-4E7F-975B-C1DF40B9138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D16-4E7F-975B-C1DF40B9138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D16-4E7F-975B-C1DF40B9138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D16-4E7F-975B-C1DF40B9138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D16-4E7F-975B-C1DF40B9138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D16-4E7F-975B-C1DF40B9138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D16-4E7F-975B-C1DF40B9138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D16-4E7F-975B-C1DF40B9138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D16-4E7F-975B-C1DF40B9138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D16-4E7F-975B-C1DF40B9138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D16-4E7F-975B-C1DF40B9138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D16-4E7F-975B-C1DF40B9138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D16-4E7F-975B-C1DF40B9138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D16-4E7F-975B-C1DF40B9138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D16-4E7F-975B-C1DF40B9138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D16-4E7F-975B-C1DF40B9138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D16-4E7F-975B-C1DF40B9138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D16-4E7F-975B-C1DF40B9138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D16-4E7F-975B-C1DF40B9138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D16-4E7F-975B-C1DF40B9138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D16-4E7F-975B-C1DF40B9138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D16-4E7F-975B-C1DF40B9138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D16-4E7F-975B-C1DF40B9138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D16-4E7F-975B-C1DF40B9138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D16-4E7F-975B-C1DF40B9138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D16-4E7F-975B-C1DF40B9138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D16-4E7F-975B-C1DF40B9138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CD16-4E7F-975B-C1DF40B9138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9-CD16-4E7F-975B-C1DF40B9138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A-CD16-4E7F-975B-C1DF40B9138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B-CD16-4E7F-975B-C1DF40B9138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CD16-4E7F-975B-C1DF40B9138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CD16-4E7F-975B-C1DF40B9138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CD16-4E7F-975B-C1DF40B9138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1EB-4EB1-950C-67C57BEE7D6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41EB-4EB1-950C-67C57BEE7D6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41EB-4EB1-950C-67C57BEE7D6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1EB-4EB1-950C-67C57BEE7D6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1EB-4EB1-950C-67C57BEE7D6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41EB-4EB1-950C-67C57BEE7D61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41EB-4EB1-950C-67C57BEE7D6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41EB-4EB1-950C-67C57BEE7D6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EB-4EB1-950C-67C57BEE7D6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41EB-4EB1-950C-67C57BEE7D6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41EB-4EB1-950C-67C57BEE7D6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41EB-4EB1-950C-67C57BEE7D6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41EB-4EB1-950C-67C57BEE7D6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41EB-4EB1-950C-67C57BEE7D6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41EB-4EB1-950C-67C57BEE7D6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41EB-4EB1-950C-67C57BEE7D6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41EB-4EB1-950C-67C57BEE7D6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41EB-4EB1-950C-67C57BEE7D6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41EB-4EB1-950C-67C57BEE7D6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41EB-4EB1-950C-67C57BEE7D6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41EB-4EB1-950C-67C57BEE7D6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41EB-4EB1-950C-67C57BEE7D6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41EB-4EB1-950C-67C57BEE7D6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41EB-4EB1-950C-67C57BEE7D6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41EB-4EB1-950C-67C57BEE7D6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41EB-4EB1-950C-67C57BEE7D6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41EB-4EB1-950C-67C57BEE7D6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41EB-4EB1-950C-67C57BEE7D6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41EB-4EB1-950C-67C57BEE7D6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41EB-4EB1-950C-67C57BEE7D6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2-41EB-4EB1-950C-67C57BEE7D6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ser>
          <c:idx val="61"/>
          <c:order val="61"/>
          <c:tx>
            <c:strRef>
              <c:f>'Gibbs-EVAL'!$A$162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'Gibbs-EVAL'!$B$162:$BT$162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DF-440C-A6AC-31BB6B3F1CFD}"/>
            </c:ext>
          </c:extLst>
        </c:ser>
        <c:ser>
          <c:idx val="62"/>
          <c:order val="62"/>
          <c:tx>
            <c:strRef>
              <c:f>'Gibbs-EVAL'!$A$163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'Gibbs-EVAL'!$B$163:$BT$163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DF-440C-A6AC-31BB6B3F1CFD}"/>
            </c:ext>
          </c:extLst>
        </c:ser>
        <c:ser>
          <c:idx val="63"/>
          <c:order val="63"/>
          <c:tx>
            <c:strRef>
              <c:f>'Gibbs-EVAL'!$A$164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'Gibbs-EVAL'!$B$164:$BT$164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1DF-440C-A6AC-31BB6B3F1CFD}"/>
            </c:ext>
          </c:extLst>
        </c:ser>
        <c:ser>
          <c:idx val="64"/>
          <c:order val="64"/>
          <c:tx>
            <c:strRef>
              <c:f>'Gibbs-EVAL'!$A$165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'Gibbs-EVAL'!$B$165:$BT$165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DF-440C-A6AC-31BB6B3F1CFD}"/>
            </c:ext>
          </c:extLst>
        </c:ser>
        <c:ser>
          <c:idx val="65"/>
          <c:order val="65"/>
          <c:tx>
            <c:strRef>
              <c:f>'Gibbs-EVAL'!$A$166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'Gibbs-EVAL'!$B$166:$BT$166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1DF-440C-A6AC-31BB6B3F1CFD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1DF-440C-A6AC-31BB6B3F1CFD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1DF-440C-A6AC-31BB6B3F1CFD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1DF-440C-A6AC-31BB6B3F1CFD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1DF-440C-A6AC-31BB6B3F1CFD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1DF-440C-A6AC-31BB6B3F1CFD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1DF-440C-A6AC-31BB6B3F1CFD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1DF-440C-A6AC-31BB6B3F1CFD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1DF-440C-A6AC-31BB6B3F1CFD}"/>
            </c:ext>
          </c:extLst>
        </c:ser>
        <c:ser>
          <c:idx val="74"/>
          <c:order val="74"/>
          <c:tx>
            <c:strRef>
              <c:f>'Gibbs-EVAL'!$A$175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1DF-440C-A6AC-31BB6B3F1CFD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1DF-440C-A6AC-31BB6B3F1CFD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1DF-440C-A6AC-31BB6B3F1CFD}"/>
            </c:ext>
          </c:extLst>
        </c:ser>
        <c:ser>
          <c:idx val="77"/>
          <c:order val="77"/>
          <c:tx>
            <c:strRef>
              <c:f>'Gibbs-EVAL'!$A$178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'Gibbs-EVAL'!$B$178:$BT$178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1DF-440C-A6AC-31BB6B3F1CFD}"/>
            </c:ext>
          </c:extLst>
        </c:ser>
        <c:ser>
          <c:idx val="78"/>
          <c:order val="78"/>
          <c:tx>
            <c:strRef>
              <c:f>'Gibbs-EVAL'!$A$179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1DF-440C-A6AC-31BB6B3F1CFD}"/>
            </c:ext>
          </c:extLst>
        </c:ser>
        <c:ser>
          <c:idx val="79"/>
          <c:order val="79"/>
          <c:tx>
            <c:strRef>
              <c:f>'Gibbs-EVAL'!$A$180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1DF-440C-A6AC-31BB6B3F1CFD}"/>
            </c:ext>
          </c:extLst>
        </c:ser>
        <c:ser>
          <c:idx val="80"/>
          <c:order val="80"/>
          <c:tx>
            <c:strRef>
              <c:f>'Gibbs-EVAL'!$A$181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'Gibbs-EVAL'!$B$181:$BT$181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1DF-440C-A6AC-31BB6B3F1CFD}"/>
            </c:ext>
          </c:extLst>
        </c:ser>
        <c:ser>
          <c:idx val="81"/>
          <c:order val="81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1DF-440C-A6AC-31BB6B3F1CFD}"/>
            </c:ext>
          </c:extLst>
        </c:ser>
        <c:ser>
          <c:idx val="82"/>
          <c:order val="82"/>
          <c:tx>
            <c:strRef>
              <c:f>'Gibbs-EVAL'!$A$183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'Gibbs-EVAL'!$B$183:$BT$183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1DF-440C-A6AC-31BB6B3F1CFD}"/>
            </c:ext>
          </c:extLst>
        </c:ser>
        <c:ser>
          <c:idx val="83"/>
          <c:order val="83"/>
          <c:tx>
            <c:strRef>
              <c:f>'Gibbs-EVAL'!$A$184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'Gibbs-EVAL'!$B$184:$BT$184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1DF-440C-A6AC-31BB6B3F1CFD}"/>
            </c:ext>
          </c:extLst>
        </c:ser>
        <c:ser>
          <c:idx val="84"/>
          <c:order val="84"/>
          <c:tx>
            <c:strRef>
              <c:f>'Gibbs-EVAL'!$A$185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'Gibbs-EVAL'!$B$185:$BT$185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1DF-440C-A6AC-31BB6B3F1CFD}"/>
            </c:ext>
          </c:extLst>
        </c:ser>
        <c:ser>
          <c:idx val="85"/>
          <c:order val="85"/>
          <c:tx>
            <c:strRef>
              <c:f>'Gibbs-EVAL'!$A$186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'Gibbs-EVAL'!$B$186:$BT$186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1DF-440C-A6AC-31BB6B3F1CFD}"/>
            </c:ext>
          </c:extLst>
        </c:ser>
        <c:ser>
          <c:idx val="86"/>
          <c:order val="86"/>
          <c:tx>
            <c:strRef>
              <c:f>'Gibbs-EVAL'!$A$187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'Gibbs-EVAL'!$B$187:$BT$187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1DF-440C-A6AC-31BB6B3F1CFD}"/>
            </c:ext>
          </c:extLst>
        </c:ser>
        <c:ser>
          <c:idx val="87"/>
          <c:order val="87"/>
          <c:tx>
            <c:strRef>
              <c:f>'Gibbs-EVAL'!$A$188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'Gibbs-EVAL'!$B$188:$BT$188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1DF-440C-A6AC-31BB6B3F1CFD}"/>
            </c:ext>
          </c:extLst>
        </c:ser>
        <c:ser>
          <c:idx val="88"/>
          <c:order val="88"/>
          <c:tx>
            <c:strRef>
              <c:f>'Gibbs-EVAL'!$A$189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'Gibbs-EVAL'!$B$189:$BT$189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1DF-440C-A6AC-31BB6B3F1CFD}"/>
            </c:ext>
          </c:extLst>
        </c:ser>
        <c:ser>
          <c:idx val="89"/>
          <c:order val="89"/>
          <c:tx>
            <c:strRef>
              <c:f>'Gibbs-EVAL'!$A$190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'Gibbs-EVAL'!$B$190:$BT$190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1DF-440C-A6AC-31BB6B3F1CFD}"/>
            </c:ext>
          </c:extLst>
        </c:ser>
        <c:ser>
          <c:idx val="90"/>
          <c:order val="90"/>
          <c:tx>
            <c:strRef>
              <c:f>'Gibbs-EVAL'!$A$191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'Gibbs-EVAL'!$B$191:$BT$191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1DF-440C-A6AC-31BB6B3F1CFD}"/>
            </c:ext>
          </c:extLst>
        </c:ser>
        <c:ser>
          <c:idx val="91"/>
          <c:order val="91"/>
          <c:tx>
            <c:strRef>
              <c:f>'Gibbs-EVAL'!$A$192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'Gibbs-EVAL'!$B$192:$BT$192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1DF-440C-A6AC-31BB6B3F1CFD}"/>
            </c:ext>
          </c:extLst>
        </c:ser>
        <c:ser>
          <c:idx val="92"/>
          <c:order val="92"/>
          <c:tx>
            <c:strRef>
              <c:f>'Gibbs-EVAL'!$A$193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'Gibbs-EVAL'!$B$193:$BT$193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1DF-440C-A6AC-31BB6B3F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ser>
          <c:idx val="61"/>
          <c:order val="61"/>
          <c:tx>
            <c:strRef>
              <c:f>'Gibbs-EVAL'!$A$162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'Gibbs-EVAL'!$B$162:$BT$162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64-4485-8C5C-8E8FF139346D}"/>
            </c:ext>
          </c:extLst>
        </c:ser>
        <c:ser>
          <c:idx val="62"/>
          <c:order val="62"/>
          <c:tx>
            <c:strRef>
              <c:f>'Gibbs-EVAL'!$A$164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'Gibbs-EVAL'!$B$164:$BT$164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64-4485-8C5C-8E8FF139346D}"/>
            </c:ext>
          </c:extLst>
        </c:ser>
        <c:ser>
          <c:idx val="63"/>
          <c:order val="63"/>
          <c:tx>
            <c:strRef>
              <c:f>'Gibbs-EVAL'!$A$165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'Gibbs-EVAL'!$B$165:$BT$165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64-4485-8C5C-8E8FF139346D}"/>
            </c:ext>
          </c:extLst>
        </c:ser>
        <c:ser>
          <c:idx val="64"/>
          <c:order val="64"/>
          <c:tx>
            <c:strRef>
              <c:f>'Gibbs-EVAL'!$A$166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'Gibbs-EVAL'!$B$166:$BT$166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64-4485-8C5C-8E8FF139346D}"/>
            </c:ext>
          </c:extLst>
        </c:ser>
        <c:ser>
          <c:idx val="65"/>
          <c:order val="65"/>
          <c:tx>
            <c:strRef>
              <c:f>'Gibbs-EVAL'!$A$167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F64-4485-8C5C-8E8FF139346D}"/>
            </c:ext>
          </c:extLst>
        </c:ser>
        <c:ser>
          <c:idx val="66"/>
          <c:order val="66"/>
          <c:tx>
            <c:strRef>
              <c:f>'Gibbs-EVAL'!$A$168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F64-4485-8C5C-8E8FF139346D}"/>
            </c:ext>
          </c:extLst>
        </c:ser>
        <c:ser>
          <c:idx val="67"/>
          <c:order val="67"/>
          <c:tx>
            <c:strRef>
              <c:f>'Gibbs-EVAL'!$A$169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F64-4485-8C5C-8E8FF139346D}"/>
            </c:ext>
          </c:extLst>
        </c:ser>
        <c:ser>
          <c:idx val="68"/>
          <c:order val="68"/>
          <c:tx>
            <c:strRef>
              <c:f>'Gibbs-EVAL'!$A$170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F64-4485-8C5C-8E8FF139346D}"/>
            </c:ext>
          </c:extLst>
        </c:ser>
        <c:ser>
          <c:idx val="69"/>
          <c:order val="69"/>
          <c:tx>
            <c:strRef>
              <c:f>'Gibbs-EVAL'!$A$171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F64-4485-8C5C-8E8FF139346D}"/>
            </c:ext>
          </c:extLst>
        </c:ser>
        <c:ser>
          <c:idx val="70"/>
          <c:order val="70"/>
          <c:tx>
            <c:strRef>
              <c:f>'Gibbs-EVAL'!$A$172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F64-4485-8C5C-8E8FF139346D}"/>
            </c:ext>
          </c:extLst>
        </c:ser>
        <c:ser>
          <c:idx val="71"/>
          <c:order val="71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F64-4485-8C5C-8E8FF139346D}"/>
            </c:ext>
          </c:extLst>
        </c:ser>
        <c:ser>
          <c:idx val="72"/>
          <c:order val="72"/>
          <c:tx>
            <c:strRef>
              <c:f>'Gibbs-EVAL'!$A$174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F64-4485-8C5C-8E8FF139346D}"/>
            </c:ext>
          </c:extLst>
        </c:ser>
        <c:ser>
          <c:idx val="73"/>
          <c:order val="73"/>
          <c:tx>
            <c:strRef>
              <c:f>'Gibbs-EVAL'!$A$175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F64-4485-8C5C-8E8FF139346D}"/>
            </c:ext>
          </c:extLst>
        </c:ser>
        <c:ser>
          <c:idx val="74"/>
          <c:order val="74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F64-4485-8C5C-8E8FF139346D}"/>
            </c:ext>
          </c:extLst>
        </c:ser>
        <c:ser>
          <c:idx val="75"/>
          <c:order val="75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F64-4485-8C5C-8E8FF139346D}"/>
            </c:ext>
          </c:extLst>
        </c:ser>
        <c:ser>
          <c:idx val="76"/>
          <c:order val="76"/>
          <c:tx>
            <c:strRef>
              <c:f>'Gibbs-EVAL'!$A$178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'Gibbs-EVAL'!$B$178:$BT$178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F64-4485-8C5C-8E8FF139346D}"/>
            </c:ext>
          </c:extLst>
        </c:ser>
        <c:ser>
          <c:idx val="77"/>
          <c:order val="77"/>
          <c:tx>
            <c:strRef>
              <c:f>'Gibbs-EVAL'!$A$179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F64-4485-8C5C-8E8FF139346D}"/>
            </c:ext>
          </c:extLst>
        </c:ser>
        <c:ser>
          <c:idx val="78"/>
          <c:order val="78"/>
          <c:tx>
            <c:strRef>
              <c:f>'Gibbs-EVAL'!$A$180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F64-4485-8C5C-8E8FF139346D}"/>
            </c:ext>
          </c:extLst>
        </c:ser>
        <c:ser>
          <c:idx val="79"/>
          <c:order val="79"/>
          <c:tx>
            <c:strRef>
              <c:f>'Gibbs-EVAL'!$A$181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'Gibbs-EVAL'!$B$181:$BT$181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F64-4485-8C5C-8E8FF139346D}"/>
            </c:ext>
          </c:extLst>
        </c:ser>
        <c:ser>
          <c:idx val="80"/>
          <c:order val="80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F64-4485-8C5C-8E8FF139346D}"/>
            </c:ext>
          </c:extLst>
        </c:ser>
        <c:ser>
          <c:idx val="81"/>
          <c:order val="81"/>
          <c:tx>
            <c:strRef>
              <c:f>'Gibbs-EVAL'!$A$183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'Gibbs-EVAL'!$B$183:$BT$183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F64-4485-8C5C-8E8FF139346D}"/>
            </c:ext>
          </c:extLst>
        </c:ser>
        <c:ser>
          <c:idx val="82"/>
          <c:order val="82"/>
          <c:tx>
            <c:strRef>
              <c:f>'Gibbs-EVAL'!$A$184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'Gibbs-EVAL'!$B$184:$BT$184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F64-4485-8C5C-8E8FF139346D}"/>
            </c:ext>
          </c:extLst>
        </c:ser>
        <c:ser>
          <c:idx val="83"/>
          <c:order val="83"/>
          <c:tx>
            <c:strRef>
              <c:f>'Gibbs-EVAL'!$A$185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'Gibbs-EVAL'!$B$185:$BT$185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F64-4485-8C5C-8E8FF139346D}"/>
            </c:ext>
          </c:extLst>
        </c:ser>
        <c:ser>
          <c:idx val="84"/>
          <c:order val="84"/>
          <c:tx>
            <c:strRef>
              <c:f>'Gibbs-EVAL'!$A$186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'Gibbs-EVAL'!$B$186:$BT$186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F64-4485-8C5C-8E8FF139346D}"/>
            </c:ext>
          </c:extLst>
        </c:ser>
        <c:ser>
          <c:idx val="85"/>
          <c:order val="85"/>
          <c:tx>
            <c:strRef>
              <c:f>'Gibbs-EVAL'!$A$187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'Gibbs-EVAL'!$B$187:$BT$187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F64-4485-8C5C-8E8FF139346D}"/>
            </c:ext>
          </c:extLst>
        </c:ser>
        <c:ser>
          <c:idx val="86"/>
          <c:order val="86"/>
          <c:tx>
            <c:strRef>
              <c:f>'Gibbs-EVAL'!$A$188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'Gibbs-EVAL'!$B$188:$BT$188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F64-4485-8C5C-8E8FF139346D}"/>
            </c:ext>
          </c:extLst>
        </c:ser>
        <c:ser>
          <c:idx val="87"/>
          <c:order val="87"/>
          <c:tx>
            <c:strRef>
              <c:f>'Gibbs-EVAL'!$A$189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'Gibbs-EVAL'!$B$189:$BT$189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F64-4485-8C5C-8E8FF139346D}"/>
            </c:ext>
          </c:extLst>
        </c:ser>
        <c:ser>
          <c:idx val="88"/>
          <c:order val="88"/>
          <c:tx>
            <c:strRef>
              <c:f>'Gibbs-EVAL'!$A$190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'Gibbs-EVAL'!$B$190:$BT$190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F64-4485-8C5C-8E8FF139346D}"/>
            </c:ext>
          </c:extLst>
        </c:ser>
        <c:ser>
          <c:idx val="89"/>
          <c:order val="89"/>
          <c:tx>
            <c:strRef>
              <c:f>'Gibbs-EVAL'!$A$191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'Gibbs-EVAL'!$B$191:$BT$191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F64-4485-8C5C-8E8FF139346D}"/>
            </c:ext>
          </c:extLst>
        </c:ser>
        <c:ser>
          <c:idx val="90"/>
          <c:order val="90"/>
          <c:tx>
            <c:strRef>
              <c:f>'Gibbs-EVAL'!$A$192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'Gibbs-EVAL'!$B$192:$BT$192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F64-4485-8C5C-8E8FF139346D}"/>
            </c:ext>
          </c:extLst>
        </c:ser>
        <c:ser>
          <c:idx val="91"/>
          <c:order val="91"/>
          <c:tx>
            <c:strRef>
              <c:f>'Gibbs-EVAL'!$A$193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'Gibbs-EVAL'!$B$193:$BT$193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F64-4485-8C5C-8E8FF139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3" sqref="E3:G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09" t="s">
        <v>37</v>
      </c>
      <c r="E1" s="110"/>
      <c r="F1" s="110"/>
      <c r="G1" s="110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/>
      <c r="F3" s="37"/>
      <c r="G3" s="37"/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34" zoomScale="85" zoomScaleNormal="85" zoomScaleSheetLayoutView="25" workbookViewId="0">
      <selection activeCell="F7" sqref="F7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51"/>
      <c r="U3" s="54"/>
      <c r="V3" s="3"/>
      <c r="W3" s="1"/>
      <c r="X3" s="52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5">
        <v>1</v>
      </c>
      <c r="F33" s="107">
        <f>IF(G3&gt;F3,1,0)</f>
        <v>0</v>
      </c>
      <c r="G33" s="107">
        <f t="shared" ref="G33:BR33" si="4">IF(H3&gt;G3,1,0)</f>
        <v>0</v>
      </c>
      <c r="H33" s="107">
        <f t="shared" si="4"/>
        <v>0</v>
      </c>
      <c r="I33" s="107">
        <f t="shared" si="4"/>
        <v>0</v>
      </c>
      <c r="J33" s="107">
        <f t="shared" si="4"/>
        <v>0</v>
      </c>
      <c r="K33" s="107">
        <f t="shared" si="4"/>
        <v>0</v>
      </c>
      <c r="L33" s="107">
        <f t="shared" si="4"/>
        <v>0</v>
      </c>
      <c r="M33" s="107">
        <f t="shared" si="4"/>
        <v>0</v>
      </c>
      <c r="N33" s="107">
        <f t="shared" si="4"/>
        <v>0</v>
      </c>
      <c r="O33" s="107">
        <f t="shared" si="4"/>
        <v>0</v>
      </c>
      <c r="P33" s="107">
        <f t="shared" si="4"/>
        <v>0</v>
      </c>
      <c r="Q33" s="107">
        <f t="shared" si="4"/>
        <v>0</v>
      </c>
      <c r="R33" s="107">
        <f t="shared" si="4"/>
        <v>0</v>
      </c>
      <c r="S33" s="107">
        <f t="shared" si="4"/>
        <v>0</v>
      </c>
      <c r="T33" s="107">
        <f t="shared" si="4"/>
        <v>0</v>
      </c>
      <c r="U33" s="107">
        <f t="shared" si="4"/>
        <v>0</v>
      </c>
      <c r="V33" s="107">
        <f t="shared" si="4"/>
        <v>0</v>
      </c>
      <c r="W33" s="107">
        <f t="shared" si="4"/>
        <v>0</v>
      </c>
      <c r="X33" s="107">
        <f t="shared" si="4"/>
        <v>0</v>
      </c>
      <c r="Y33" s="107">
        <f t="shared" si="4"/>
        <v>0</v>
      </c>
      <c r="Z33" s="107">
        <f t="shared" si="4"/>
        <v>0</v>
      </c>
      <c r="AA33" s="107">
        <f t="shared" si="4"/>
        <v>0</v>
      </c>
      <c r="AB33" s="107">
        <f t="shared" si="4"/>
        <v>0</v>
      </c>
      <c r="AC33" s="107">
        <f t="shared" si="4"/>
        <v>0</v>
      </c>
      <c r="AD33" s="107">
        <f t="shared" si="4"/>
        <v>0</v>
      </c>
      <c r="AE33" s="107">
        <f t="shared" si="4"/>
        <v>0</v>
      </c>
      <c r="AF33" s="107">
        <f t="shared" si="4"/>
        <v>0</v>
      </c>
      <c r="AG33" s="107">
        <f t="shared" si="4"/>
        <v>0</v>
      </c>
      <c r="AH33" s="107">
        <f t="shared" si="4"/>
        <v>0</v>
      </c>
      <c r="AI33" s="107">
        <f t="shared" si="4"/>
        <v>0</v>
      </c>
      <c r="AJ33" s="107">
        <f t="shared" si="4"/>
        <v>0</v>
      </c>
      <c r="AK33" s="107">
        <f t="shared" si="4"/>
        <v>0</v>
      </c>
      <c r="AL33" s="107">
        <f t="shared" si="4"/>
        <v>0</v>
      </c>
      <c r="AM33" s="107">
        <f t="shared" si="4"/>
        <v>0</v>
      </c>
      <c r="AN33" s="107">
        <f t="shared" si="4"/>
        <v>0</v>
      </c>
      <c r="AO33" s="107">
        <f t="shared" si="4"/>
        <v>0</v>
      </c>
      <c r="AP33" s="107">
        <f t="shared" si="4"/>
        <v>0</v>
      </c>
      <c r="AQ33" s="107">
        <f t="shared" si="4"/>
        <v>0</v>
      </c>
      <c r="AR33" s="107">
        <f t="shared" si="4"/>
        <v>0</v>
      </c>
      <c r="AS33" s="107">
        <f t="shared" si="4"/>
        <v>0</v>
      </c>
      <c r="AT33" s="107">
        <f t="shared" si="4"/>
        <v>0</v>
      </c>
      <c r="AU33" s="107">
        <f t="shared" si="4"/>
        <v>0</v>
      </c>
      <c r="AV33" s="107">
        <f t="shared" si="4"/>
        <v>0</v>
      </c>
      <c r="AW33" s="107">
        <f t="shared" si="4"/>
        <v>0</v>
      </c>
      <c r="AX33" s="107">
        <f t="shared" si="4"/>
        <v>0</v>
      </c>
      <c r="AY33" s="107">
        <f t="shared" si="4"/>
        <v>0</v>
      </c>
      <c r="AZ33" s="107">
        <f t="shared" si="4"/>
        <v>0</v>
      </c>
      <c r="BA33" s="107">
        <f t="shared" si="4"/>
        <v>0</v>
      </c>
      <c r="BB33" s="107">
        <f t="shared" si="4"/>
        <v>0</v>
      </c>
      <c r="BC33" s="107">
        <f t="shared" si="4"/>
        <v>0</v>
      </c>
      <c r="BD33" s="107">
        <f t="shared" si="4"/>
        <v>0</v>
      </c>
      <c r="BE33" s="107">
        <f t="shared" si="4"/>
        <v>0</v>
      </c>
      <c r="BF33" s="107">
        <f t="shared" si="4"/>
        <v>0</v>
      </c>
      <c r="BG33" s="107">
        <f t="shared" si="4"/>
        <v>0</v>
      </c>
      <c r="BH33" s="107">
        <f t="shared" si="4"/>
        <v>0</v>
      </c>
      <c r="BI33" s="107">
        <f t="shared" si="4"/>
        <v>0</v>
      </c>
      <c r="BJ33" s="107">
        <f t="shared" si="4"/>
        <v>0</v>
      </c>
      <c r="BK33" s="107">
        <f t="shared" si="4"/>
        <v>0</v>
      </c>
      <c r="BL33" s="107">
        <f t="shared" si="4"/>
        <v>0</v>
      </c>
      <c r="BM33" s="107">
        <f t="shared" si="4"/>
        <v>0</v>
      </c>
      <c r="BN33" s="107">
        <f t="shared" si="4"/>
        <v>0</v>
      </c>
      <c r="BO33" s="107">
        <f t="shared" si="4"/>
        <v>0</v>
      </c>
      <c r="BP33" s="107">
        <f t="shared" si="4"/>
        <v>0</v>
      </c>
      <c r="BQ33" s="107">
        <f t="shared" si="4"/>
        <v>0</v>
      </c>
      <c r="BR33" s="107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 t="e">
        <f t="shared" ref="B35:B37" ca="1" si="6">IF(E35=C35,1,0)</f>
        <v>#N/A</v>
      </c>
      <c r="C35" s="11" t="s">
        <v>5</v>
      </c>
      <c r="D35" s="44" t="e">
        <f t="shared" ref="D35:D37" si="7">MATCH(C35,$E$4:$E$33)</f>
        <v>#N/A</v>
      </c>
      <c r="E35" s="11" t="e">
        <f t="shared" ref="E35:E37" ca="1" si="8">OFFSET($E$3:$AL$3,$D35,0)</f>
        <v>#N/A</v>
      </c>
      <c r="F35" s="14" t="e">
        <f t="shared" ref="F35:U37" ca="1" si="9">OFFSET($E$3:$BR$3,$D35,0)</f>
        <v>#N/A</v>
      </c>
      <c r="G35" s="14" t="e">
        <f t="shared" ca="1" si="9"/>
        <v>#N/A</v>
      </c>
      <c r="H35" s="14" t="e">
        <f t="shared" ca="1" si="9"/>
        <v>#N/A</v>
      </c>
      <c r="I35" s="14" t="e">
        <f t="shared" ca="1" si="9"/>
        <v>#N/A</v>
      </c>
      <c r="J35" s="14" t="e">
        <f t="shared" ca="1" si="9"/>
        <v>#N/A</v>
      </c>
      <c r="K35" s="14" t="e">
        <f t="shared" ca="1" si="9"/>
        <v>#N/A</v>
      </c>
      <c r="L35" s="14" t="e">
        <f t="shared" ca="1" si="9"/>
        <v>#N/A</v>
      </c>
      <c r="M35" s="14" t="e">
        <f t="shared" ca="1" si="9"/>
        <v>#N/A</v>
      </c>
      <c r="N35" s="14" t="e">
        <f t="shared" ca="1" si="9"/>
        <v>#N/A</v>
      </c>
      <c r="O35" s="14" t="e">
        <f t="shared" ca="1" si="9"/>
        <v>#N/A</v>
      </c>
      <c r="P35" s="14" t="e">
        <f t="shared" ca="1" si="9"/>
        <v>#N/A</v>
      </c>
      <c r="Q35" s="14" t="e">
        <f t="shared" ca="1" si="9"/>
        <v>#N/A</v>
      </c>
      <c r="R35" s="14" t="e">
        <f t="shared" ca="1" si="9"/>
        <v>#N/A</v>
      </c>
      <c r="S35" s="14" t="e">
        <f t="shared" ca="1" si="9"/>
        <v>#N/A</v>
      </c>
      <c r="T35" s="14" t="e">
        <f t="shared" ca="1" si="9"/>
        <v>#N/A</v>
      </c>
      <c r="U35" s="14" t="e">
        <f t="shared" ca="1" si="9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 t="e">
        <f t="shared" ca="1" si="6"/>
        <v>#N/A</v>
      </c>
      <c r="C36" s="11" t="s">
        <v>6</v>
      </c>
      <c r="D36" s="44" t="e">
        <f t="shared" si="7"/>
        <v>#N/A</v>
      </c>
      <c r="E36" s="11" t="e">
        <f t="shared" ca="1" si="8"/>
        <v>#N/A</v>
      </c>
      <c r="F36" s="14" t="e">
        <f t="shared" ca="1" si="9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 t="e">
        <f t="shared" ca="1" si="6"/>
        <v>#N/A</v>
      </c>
      <c r="C37" s="11" t="s">
        <v>7</v>
      </c>
      <c r="D37" s="44" t="e">
        <f t="shared" si="7"/>
        <v>#N/A</v>
      </c>
      <c r="E37" s="11" t="e">
        <f t="shared" ca="1" si="8"/>
        <v>#N/A</v>
      </c>
      <c r="F37" s="14" t="e">
        <f t="shared" ca="1" si="9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10">G3</f>
        <v>0</v>
      </c>
      <c r="H40" s="8">
        <f t="shared" si="10"/>
        <v>0</v>
      </c>
      <c r="I40" s="8">
        <f t="shared" si="10"/>
        <v>0</v>
      </c>
      <c r="J40" s="8">
        <f t="shared" si="10"/>
        <v>0</v>
      </c>
      <c r="K40" s="8">
        <f t="shared" si="10"/>
        <v>0</v>
      </c>
      <c r="L40" s="8">
        <f t="shared" si="10"/>
        <v>0</v>
      </c>
      <c r="M40" s="8">
        <f t="shared" si="10"/>
        <v>0</v>
      </c>
      <c r="N40" s="8">
        <f t="shared" si="10"/>
        <v>0</v>
      </c>
      <c r="O40" s="8">
        <f t="shared" si="10"/>
        <v>0</v>
      </c>
      <c r="P40" s="8">
        <f t="shared" si="10"/>
        <v>0</v>
      </c>
      <c r="Q40" s="8">
        <f t="shared" si="10"/>
        <v>0</v>
      </c>
      <c r="R40" s="8">
        <f t="shared" si="10"/>
        <v>0</v>
      </c>
      <c r="S40" s="8">
        <f t="shared" si="10"/>
        <v>0</v>
      </c>
      <c r="T40" s="8">
        <f t="shared" si="10"/>
        <v>0</v>
      </c>
      <c r="U40" s="8">
        <f t="shared" si="10"/>
        <v>0</v>
      </c>
      <c r="V40" s="8">
        <f t="shared" si="10"/>
        <v>0</v>
      </c>
      <c r="W40" s="8">
        <f t="shared" si="10"/>
        <v>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1">($B$41*H.Ge+$C$41*H.Ga+$D$41*H.Se)*F$40*$B$2/1000</f>
        <v>#DIV/0!</v>
      </c>
      <c r="G41" s="10" t="e">
        <f t="shared" ca="1" si="11"/>
        <v>#DIV/0!</v>
      </c>
      <c r="H41" s="10" t="e">
        <f t="shared" ca="1" si="11"/>
        <v>#DIV/0!</v>
      </c>
      <c r="I41" s="10" t="e">
        <f t="shared" ca="1" si="11"/>
        <v>#DIV/0!</v>
      </c>
      <c r="J41" s="10" t="e">
        <f t="shared" ca="1" si="11"/>
        <v>#DIV/0!</v>
      </c>
      <c r="K41" s="10" t="e">
        <f t="shared" ca="1" si="11"/>
        <v>#DIV/0!</v>
      </c>
      <c r="L41" s="10" t="e">
        <f t="shared" ca="1" si="11"/>
        <v>#DIV/0!</v>
      </c>
      <c r="M41" s="10" t="e">
        <f t="shared" ca="1" si="11"/>
        <v>#DIV/0!</v>
      </c>
      <c r="N41" s="10" t="e">
        <f t="shared" ca="1" si="11"/>
        <v>#DIV/0!</v>
      </c>
      <c r="O41" s="10" t="e">
        <f t="shared" ca="1" si="11"/>
        <v>#DIV/0!</v>
      </c>
      <c r="P41" s="10" t="e">
        <f t="shared" ca="1" si="11"/>
        <v>#DIV/0!</v>
      </c>
      <c r="Q41" s="10" t="e">
        <f t="shared" ca="1" si="11"/>
        <v>#DIV/0!</v>
      </c>
      <c r="R41" s="10" t="e">
        <f t="shared" ca="1" si="11"/>
        <v>#DIV/0!</v>
      </c>
      <c r="S41" s="10" t="e">
        <f t="shared" ca="1" si="11"/>
        <v>#DIV/0!</v>
      </c>
      <c r="T41" s="10" t="e">
        <f t="shared" ca="1" si="11"/>
        <v>#DIV/0!</v>
      </c>
      <c r="U41" s="10" t="e">
        <f t="shared" ca="1" si="11"/>
        <v>#DIV/0!</v>
      </c>
      <c r="V41" s="10" t="e">
        <f t="shared" ca="1" si="11"/>
        <v>#DIV/0!</v>
      </c>
      <c r="W41" s="10" t="e">
        <f t="shared" ca="1" si="11"/>
        <v>#DIV/0!</v>
      </c>
      <c r="X41" s="10" t="e">
        <f t="shared" ca="1" si="11"/>
        <v>#DIV/0!</v>
      </c>
      <c r="Y41" s="10" t="e">
        <f t="shared" ca="1" si="11"/>
        <v>#DIV/0!</v>
      </c>
      <c r="Z41" s="10" t="e">
        <f t="shared" ca="1" si="11"/>
        <v>#DIV/0!</v>
      </c>
      <c r="AA41" s="10" t="e">
        <f t="shared" ca="1" si="11"/>
        <v>#DIV/0!</v>
      </c>
      <c r="AB41" s="10" t="e">
        <f t="shared" ca="1" si="11"/>
        <v>#DIV/0!</v>
      </c>
      <c r="AC41" s="10" t="e">
        <f t="shared" ca="1" si="11"/>
        <v>#DIV/0!</v>
      </c>
      <c r="AD41" s="10" t="e">
        <f t="shared" ca="1" si="11"/>
        <v>#DIV/0!</v>
      </c>
      <c r="AE41" s="10" t="e">
        <f t="shared" ca="1" si="11"/>
        <v>#DIV/0!</v>
      </c>
      <c r="AF41" s="10" t="e">
        <f t="shared" ca="1" si="11"/>
        <v>#DIV/0!</v>
      </c>
      <c r="AG41" s="10" t="e">
        <f t="shared" ca="1" si="11"/>
        <v>#DIV/0!</v>
      </c>
      <c r="AH41" s="10" t="e">
        <f t="shared" ca="1" si="11"/>
        <v>#DIV/0!</v>
      </c>
      <c r="AI41" s="10" t="e">
        <f t="shared" ca="1" si="11"/>
        <v>#DIV/0!</v>
      </c>
      <c r="AJ41" s="10" t="e">
        <f t="shared" ca="1" si="11"/>
        <v>#DIV/0!</v>
      </c>
      <c r="AK41" s="10" t="e">
        <f t="shared" ca="1" si="11"/>
        <v>#DIV/0!</v>
      </c>
      <c r="AL41" s="10" t="e">
        <f t="shared" ca="1" si="11"/>
        <v>#DIV/0!</v>
      </c>
      <c r="AM41" s="10" t="e">
        <f t="shared" ca="1" si="11"/>
        <v>#DIV/0!</v>
      </c>
      <c r="AN41" s="10" t="e">
        <f t="shared" ca="1" si="11"/>
        <v>#DIV/0!</v>
      </c>
      <c r="AO41" s="10" t="e">
        <f t="shared" ca="1" si="11"/>
        <v>#DIV/0!</v>
      </c>
      <c r="AP41" s="10" t="e">
        <f t="shared" ca="1" si="11"/>
        <v>#DIV/0!</v>
      </c>
      <c r="AQ41" s="10" t="e">
        <f t="shared" ca="1" si="11"/>
        <v>#DIV/0!</v>
      </c>
      <c r="AR41" s="10" t="e">
        <f t="shared" ca="1" si="11"/>
        <v>#DIV/0!</v>
      </c>
      <c r="AS41" s="10" t="e">
        <f t="shared" ca="1" si="11"/>
        <v>#DIV/0!</v>
      </c>
      <c r="AT41" s="10" t="e">
        <f t="shared" ca="1" si="11"/>
        <v>#DIV/0!</v>
      </c>
      <c r="AU41" s="10" t="e">
        <f t="shared" ca="1" si="11"/>
        <v>#DIV/0!</v>
      </c>
      <c r="AV41" s="10" t="e">
        <f t="shared" ca="1" si="11"/>
        <v>#DIV/0!</v>
      </c>
      <c r="AW41" s="10" t="e">
        <f t="shared" ca="1" si="11"/>
        <v>#DIV/0!</v>
      </c>
      <c r="AX41" s="10" t="e">
        <f t="shared" ca="1" si="11"/>
        <v>#DIV/0!</v>
      </c>
      <c r="AY41" s="10" t="e">
        <f t="shared" ca="1" si="11"/>
        <v>#DIV/0!</v>
      </c>
      <c r="AZ41" s="10" t="e">
        <f t="shared" ca="1" si="11"/>
        <v>#DIV/0!</v>
      </c>
      <c r="BA41" s="10" t="e">
        <f t="shared" ca="1" si="11"/>
        <v>#DIV/0!</v>
      </c>
      <c r="BB41" s="10" t="e">
        <f t="shared" ca="1" si="11"/>
        <v>#DIV/0!</v>
      </c>
      <c r="BC41" s="10" t="e">
        <f t="shared" ca="1" si="11"/>
        <v>#DIV/0!</v>
      </c>
      <c r="BD41" s="10" t="e">
        <f t="shared" ca="1" si="11"/>
        <v>#DIV/0!</v>
      </c>
      <c r="BE41" s="10" t="e">
        <f t="shared" ca="1" si="11"/>
        <v>#DIV/0!</v>
      </c>
      <c r="BF41" s="10" t="e">
        <f t="shared" ca="1" si="11"/>
        <v>#DIV/0!</v>
      </c>
      <c r="BG41" s="10" t="e">
        <f t="shared" ca="1" si="11"/>
        <v>#DIV/0!</v>
      </c>
      <c r="BH41" s="10" t="e">
        <f t="shared" ca="1" si="11"/>
        <v>#DIV/0!</v>
      </c>
      <c r="BI41" s="10" t="e">
        <f t="shared" ca="1" si="11"/>
        <v>#DIV/0!</v>
      </c>
      <c r="BJ41" s="10" t="e">
        <f t="shared" ca="1" si="11"/>
        <v>#DIV/0!</v>
      </c>
      <c r="BK41" s="10" t="e">
        <f t="shared" ca="1" si="11"/>
        <v>#DIV/0!</v>
      </c>
      <c r="BL41" s="10" t="e">
        <f t="shared" ca="1" si="11"/>
        <v>#DIV/0!</v>
      </c>
      <c r="BM41" s="10" t="e">
        <f t="shared" ca="1" si="11"/>
        <v>#DIV/0!</v>
      </c>
      <c r="BN41" s="10" t="e">
        <f t="shared" ca="1" si="11"/>
        <v>#DIV/0!</v>
      </c>
      <c r="BO41" s="10" t="e">
        <f t="shared" ca="1" si="11"/>
        <v>#DIV/0!</v>
      </c>
      <c r="BP41" s="10" t="e">
        <f t="shared" ca="1" si="11"/>
        <v>#DIV/0!</v>
      </c>
      <c r="BQ41" s="10" t="e">
        <f t="shared" ca="1" si="11"/>
        <v>#DIV/0!</v>
      </c>
      <c r="BR41" s="10" t="e">
        <f t="shared" ref="BR41" ca="1" si="12">($B$41*H.Ge+$C$41*H.Ga+$D$41*H.Se)*BR$40*$B$2/1000</f>
        <v>#DIV/0!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0</v>
      </c>
      <c r="G45" s="3">
        <f t="shared" ref="G45:BR45" si="14">G3</f>
        <v>0</v>
      </c>
      <c r="H45" s="3">
        <f t="shared" si="14"/>
        <v>0</v>
      </c>
      <c r="I45" s="3">
        <f t="shared" si="14"/>
        <v>0</v>
      </c>
      <c r="J45" s="3">
        <f t="shared" si="14"/>
        <v>0</v>
      </c>
      <c r="K45" s="3">
        <f t="shared" si="14"/>
        <v>0</v>
      </c>
      <c r="L45" s="3">
        <f t="shared" si="14"/>
        <v>0</v>
      </c>
      <c r="M45" s="3">
        <f t="shared" si="14"/>
        <v>0</v>
      </c>
      <c r="N45" s="3">
        <f t="shared" si="14"/>
        <v>0</v>
      </c>
      <c r="O45" s="3">
        <f t="shared" si="14"/>
        <v>0</v>
      </c>
      <c r="P45" s="3">
        <f t="shared" si="14"/>
        <v>0</v>
      </c>
      <c r="Q45" s="3">
        <f t="shared" si="14"/>
        <v>0</v>
      </c>
      <c r="R45" s="3">
        <f t="shared" si="14"/>
        <v>0</v>
      </c>
      <c r="S45" s="3">
        <f t="shared" si="14"/>
        <v>0</v>
      </c>
      <c r="T45" s="3">
        <f t="shared" si="14"/>
        <v>0</v>
      </c>
      <c r="U45" s="3">
        <f t="shared" si="14"/>
        <v>0</v>
      </c>
      <c r="V45" s="3">
        <f t="shared" si="14"/>
        <v>0</v>
      </c>
      <c r="W45" s="3">
        <f t="shared" si="14"/>
        <v>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0</v>
      </c>
      <c r="E46" s="6">
        <f t="shared" si="15"/>
        <v>0</v>
      </c>
      <c r="F46" s="14" t="e">
        <f t="shared" ref="F46:U55" ca="1" si="16">$A46*H.Ar + $B46*H.Se + $C46*H.Ge + $D46*H.Ga</f>
        <v>#N/A</v>
      </c>
      <c r="G46" s="14" t="e">
        <f t="shared" ca="1" si="16"/>
        <v>#N/A</v>
      </c>
      <c r="H46" s="14" t="e">
        <f t="shared" ca="1" si="16"/>
        <v>#N/A</v>
      </c>
      <c r="I46" s="14" t="e">
        <f t="shared" ca="1" si="16"/>
        <v>#N/A</v>
      </c>
      <c r="J46" s="14" t="e">
        <f t="shared" ca="1" si="16"/>
        <v>#N/A</v>
      </c>
      <c r="K46" s="14" t="e">
        <f t="shared" ca="1" si="16"/>
        <v>#N/A</v>
      </c>
      <c r="L46" s="14" t="e">
        <f t="shared" ca="1" si="16"/>
        <v>#N/A</v>
      </c>
      <c r="M46" s="14" t="e">
        <f t="shared" ca="1" si="16"/>
        <v>#N/A</v>
      </c>
      <c r="N46" s="14" t="e">
        <f t="shared" ca="1" si="16"/>
        <v>#N/A</v>
      </c>
      <c r="O46" s="14" t="e">
        <f t="shared" ca="1" si="16"/>
        <v>#N/A</v>
      </c>
      <c r="P46" s="14" t="e">
        <f t="shared" ca="1" si="16"/>
        <v>#N/A</v>
      </c>
      <c r="Q46" s="14" t="e">
        <f t="shared" ca="1" si="16"/>
        <v>#N/A</v>
      </c>
      <c r="R46" s="14" t="e">
        <f t="shared" ca="1" si="16"/>
        <v>#N/A</v>
      </c>
      <c r="S46" s="14" t="e">
        <f t="shared" ca="1" si="16"/>
        <v>#N/A</v>
      </c>
      <c r="T46" s="14" t="e">
        <f t="shared" ca="1" si="16"/>
        <v>#N/A</v>
      </c>
      <c r="U46" s="14" t="e">
        <f t="shared" ca="1" si="16"/>
        <v>#N/A</v>
      </c>
      <c r="V46" s="14" t="e">
        <f t="shared" ref="G46:BR50" ca="1" si="17">$A46*H.Ar + $B46*H.Se + $C46*H.Ge + $D46*H.Ga</f>
        <v>#N/A</v>
      </c>
      <c r="W46" s="14" t="e">
        <f t="shared" ca="1" si="17"/>
        <v>#N/A</v>
      </c>
      <c r="X46" s="14" t="e">
        <f t="shared" ca="1" si="17"/>
        <v>#N/A</v>
      </c>
      <c r="Y46" s="14" t="e">
        <f t="shared" ca="1" si="17"/>
        <v>#N/A</v>
      </c>
      <c r="Z46" s="14" t="e">
        <f t="shared" ca="1" si="17"/>
        <v>#N/A</v>
      </c>
      <c r="AA46" s="14" t="e">
        <f t="shared" ca="1" si="17"/>
        <v>#N/A</v>
      </c>
      <c r="AB46" s="14" t="e">
        <f t="shared" ca="1" si="17"/>
        <v>#N/A</v>
      </c>
      <c r="AC46" s="14" t="e">
        <f t="shared" ca="1" si="17"/>
        <v>#N/A</v>
      </c>
      <c r="AD46" s="14" t="e">
        <f t="shared" ca="1" si="17"/>
        <v>#N/A</v>
      </c>
      <c r="AE46" s="14" t="e">
        <f t="shared" ca="1" si="17"/>
        <v>#N/A</v>
      </c>
      <c r="AF46" s="14" t="e">
        <f t="shared" ca="1" si="17"/>
        <v>#N/A</v>
      </c>
      <c r="AG46" s="14" t="e">
        <f t="shared" ca="1" si="17"/>
        <v>#N/A</v>
      </c>
      <c r="AH46" s="14" t="e">
        <f t="shared" ca="1" si="17"/>
        <v>#N/A</v>
      </c>
      <c r="AI46" s="14" t="e">
        <f t="shared" ca="1" si="17"/>
        <v>#N/A</v>
      </c>
      <c r="AJ46" s="14" t="e">
        <f t="shared" ca="1" si="17"/>
        <v>#N/A</v>
      </c>
      <c r="AK46" s="14" t="e">
        <f t="shared" ca="1" si="17"/>
        <v>#N/A</v>
      </c>
      <c r="AL46" s="14" t="e">
        <f t="shared" ca="1" si="17"/>
        <v>#N/A</v>
      </c>
      <c r="AM46" s="14" t="e">
        <f t="shared" ca="1" si="17"/>
        <v>#N/A</v>
      </c>
      <c r="AN46" s="14" t="e">
        <f t="shared" ca="1" si="17"/>
        <v>#N/A</v>
      </c>
      <c r="AO46" s="14" t="e">
        <f t="shared" ca="1" si="17"/>
        <v>#N/A</v>
      </c>
      <c r="AP46" s="14" t="e">
        <f t="shared" ca="1" si="17"/>
        <v>#N/A</v>
      </c>
      <c r="AQ46" s="14" t="e">
        <f t="shared" ca="1" si="17"/>
        <v>#N/A</v>
      </c>
      <c r="AR46" s="14" t="e">
        <f t="shared" ca="1" si="17"/>
        <v>#N/A</v>
      </c>
      <c r="AS46" s="14" t="e">
        <f t="shared" ca="1" si="17"/>
        <v>#N/A</v>
      </c>
      <c r="AT46" s="14" t="e">
        <f t="shared" ca="1" si="17"/>
        <v>#N/A</v>
      </c>
      <c r="AU46" s="14" t="e">
        <f t="shared" ca="1" si="17"/>
        <v>#N/A</v>
      </c>
      <c r="AV46" s="14" t="e">
        <f t="shared" ca="1" si="17"/>
        <v>#N/A</v>
      </c>
      <c r="AW46" s="14" t="e">
        <f t="shared" ca="1" si="17"/>
        <v>#N/A</v>
      </c>
      <c r="AX46" s="14" t="e">
        <f t="shared" ca="1" si="17"/>
        <v>#N/A</v>
      </c>
      <c r="AY46" s="14" t="e">
        <f t="shared" ca="1" si="17"/>
        <v>#N/A</v>
      </c>
      <c r="AZ46" s="14" t="e">
        <f t="shared" ca="1" si="17"/>
        <v>#N/A</v>
      </c>
      <c r="BA46" s="14" t="e">
        <f t="shared" ca="1" si="17"/>
        <v>#N/A</v>
      </c>
      <c r="BB46" s="14" t="e">
        <f t="shared" ca="1" si="17"/>
        <v>#N/A</v>
      </c>
      <c r="BC46" s="14" t="e">
        <f t="shared" ca="1" si="17"/>
        <v>#N/A</v>
      </c>
      <c r="BD46" s="14" t="e">
        <f t="shared" ca="1" si="17"/>
        <v>#N/A</v>
      </c>
      <c r="BE46" s="14" t="e">
        <f t="shared" ca="1" si="17"/>
        <v>#N/A</v>
      </c>
      <c r="BF46" s="14" t="e">
        <f t="shared" ca="1" si="17"/>
        <v>#N/A</v>
      </c>
      <c r="BG46" s="14" t="e">
        <f t="shared" ca="1" si="17"/>
        <v>#N/A</v>
      </c>
      <c r="BH46" s="14" t="e">
        <f t="shared" ca="1" si="17"/>
        <v>#N/A</v>
      </c>
      <c r="BI46" s="14" t="e">
        <f t="shared" ca="1" si="17"/>
        <v>#N/A</v>
      </c>
      <c r="BJ46" s="14" t="e">
        <f t="shared" ca="1" si="17"/>
        <v>#N/A</v>
      </c>
      <c r="BK46" s="14" t="e">
        <f t="shared" ca="1" si="17"/>
        <v>#N/A</v>
      </c>
      <c r="BL46" s="14" t="e">
        <f t="shared" ca="1" si="17"/>
        <v>#N/A</v>
      </c>
      <c r="BM46" s="14" t="e">
        <f t="shared" ca="1" si="17"/>
        <v>#N/A</v>
      </c>
      <c r="BN46" s="14" t="e">
        <f t="shared" ca="1" si="17"/>
        <v>#N/A</v>
      </c>
      <c r="BO46" s="14" t="e">
        <f t="shared" ca="1" si="17"/>
        <v>#N/A</v>
      </c>
      <c r="BP46" s="14" t="e">
        <f t="shared" ca="1" si="17"/>
        <v>#N/A</v>
      </c>
      <c r="BQ46" s="14" t="e">
        <f t="shared" ca="1" si="17"/>
        <v>#N/A</v>
      </c>
      <c r="BR46" s="14" t="e">
        <f t="shared" ca="1" si="17"/>
        <v>#N/A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>
        <f t="shared" si="15"/>
        <v>0</v>
      </c>
      <c r="F47" s="14" t="e">
        <f t="shared" ca="1" si="16"/>
        <v>#N/A</v>
      </c>
      <c r="G47" s="14" t="e">
        <f t="shared" ca="1" si="17"/>
        <v>#N/A</v>
      </c>
      <c r="H47" s="14" t="e">
        <f t="shared" ca="1" si="17"/>
        <v>#N/A</v>
      </c>
      <c r="I47" s="14" t="e">
        <f t="shared" ca="1" si="17"/>
        <v>#N/A</v>
      </c>
      <c r="J47" s="14" t="e">
        <f t="shared" ca="1" si="17"/>
        <v>#N/A</v>
      </c>
      <c r="K47" s="14" t="e">
        <f t="shared" ca="1" si="17"/>
        <v>#N/A</v>
      </c>
      <c r="L47" s="14" t="e">
        <f t="shared" ca="1" si="17"/>
        <v>#N/A</v>
      </c>
      <c r="M47" s="14" t="e">
        <f t="shared" ca="1" si="17"/>
        <v>#N/A</v>
      </c>
      <c r="N47" s="14" t="e">
        <f t="shared" ca="1" si="17"/>
        <v>#N/A</v>
      </c>
      <c r="O47" s="14" t="e">
        <f t="shared" ca="1" si="17"/>
        <v>#N/A</v>
      </c>
      <c r="P47" s="14" t="e">
        <f t="shared" ca="1" si="17"/>
        <v>#N/A</v>
      </c>
      <c r="Q47" s="14" t="e">
        <f t="shared" ca="1" si="17"/>
        <v>#N/A</v>
      </c>
      <c r="R47" s="14" t="e">
        <f t="shared" ca="1" si="17"/>
        <v>#N/A</v>
      </c>
      <c r="S47" s="14" t="e">
        <f t="shared" ca="1" si="17"/>
        <v>#N/A</v>
      </c>
      <c r="T47" s="14" t="e">
        <f t="shared" ca="1" si="17"/>
        <v>#N/A</v>
      </c>
      <c r="U47" s="14" t="e">
        <f t="shared" ca="1" si="17"/>
        <v>#N/A</v>
      </c>
      <c r="V47" s="14" t="e">
        <f t="shared" ca="1" si="17"/>
        <v>#N/A</v>
      </c>
      <c r="W47" s="14" t="e">
        <f t="shared" ca="1" si="17"/>
        <v>#N/A</v>
      </c>
      <c r="X47" s="14" t="e">
        <f t="shared" ca="1" si="17"/>
        <v>#N/A</v>
      </c>
      <c r="Y47" s="14" t="e">
        <f t="shared" ca="1" si="17"/>
        <v>#N/A</v>
      </c>
      <c r="Z47" s="14" t="e">
        <f t="shared" ca="1" si="17"/>
        <v>#N/A</v>
      </c>
      <c r="AA47" s="14" t="e">
        <f t="shared" ca="1" si="17"/>
        <v>#N/A</v>
      </c>
      <c r="AB47" s="14" t="e">
        <f t="shared" ca="1" si="17"/>
        <v>#N/A</v>
      </c>
      <c r="AC47" s="14" t="e">
        <f t="shared" ca="1" si="17"/>
        <v>#N/A</v>
      </c>
      <c r="AD47" s="14" t="e">
        <f t="shared" ca="1" si="17"/>
        <v>#N/A</v>
      </c>
      <c r="AE47" s="14" t="e">
        <f t="shared" ca="1" si="17"/>
        <v>#N/A</v>
      </c>
      <c r="AF47" s="14" t="e">
        <f t="shared" ca="1" si="17"/>
        <v>#N/A</v>
      </c>
      <c r="AG47" s="14" t="e">
        <f t="shared" ca="1" si="17"/>
        <v>#N/A</v>
      </c>
      <c r="AH47" s="14" t="e">
        <f t="shared" ca="1" si="17"/>
        <v>#N/A</v>
      </c>
      <c r="AI47" s="14" t="e">
        <f t="shared" ca="1" si="17"/>
        <v>#N/A</v>
      </c>
      <c r="AJ47" s="14" t="e">
        <f t="shared" ca="1" si="17"/>
        <v>#N/A</v>
      </c>
      <c r="AK47" s="14" t="e">
        <f t="shared" ca="1" si="17"/>
        <v>#N/A</v>
      </c>
      <c r="AL47" s="14" t="e">
        <f t="shared" ca="1" si="17"/>
        <v>#N/A</v>
      </c>
      <c r="AM47" s="14" t="e">
        <f t="shared" ca="1" si="17"/>
        <v>#N/A</v>
      </c>
      <c r="AN47" s="14" t="e">
        <f t="shared" ca="1" si="17"/>
        <v>#N/A</v>
      </c>
      <c r="AO47" s="14" t="e">
        <f t="shared" ca="1" si="17"/>
        <v>#N/A</v>
      </c>
      <c r="AP47" s="14" t="e">
        <f t="shared" ca="1" si="17"/>
        <v>#N/A</v>
      </c>
      <c r="AQ47" s="14" t="e">
        <f t="shared" ca="1" si="17"/>
        <v>#N/A</v>
      </c>
      <c r="AR47" s="14" t="e">
        <f t="shared" ca="1" si="17"/>
        <v>#N/A</v>
      </c>
      <c r="AS47" s="14" t="e">
        <f t="shared" ca="1" si="17"/>
        <v>#N/A</v>
      </c>
      <c r="AT47" s="14" t="e">
        <f t="shared" ca="1" si="17"/>
        <v>#N/A</v>
      </c>
      <c r="AU47" s="14" t="e">
        <f t="shared" ca="1" si="17"/>
        <v>#N/A</v>
      </c>
      <c r="AV47" s="14" t="e">
        <f t="shared" ca="1" si="17"/>
        <v>#N/A</v>
      </c>
      <c r="AW47" s="14" t="e">
        <f t="shared" ca="1" si="17"/>
        <v>#N/A</v>
      </c>
      <c r="AX47" s="14" t="e">
        <f t="shared" ca="1" si="17"/>
        <v>#N/A</v>
      </c>
      <c r="AY47" s="14" t="e">
        <f t="shared" ca="1" si="17"/>
        <v>#N/A</v>
      </c>
      <c r="AZ47" s="14" t="e">
        <f t="shared" ca="1" si="17"/>
        <v>#N/A</v>
      </c>
      <c r="BA47" s="14" t="e">
        <f t="shared" ca="1" si="17"/>
        <v>#N/A</v>
      </c>
      <c r="BB47" s="14" t="e">
        <f t="shared" ca="1" si="17"/>
        <v>#N/A</v>
      </c>
      <c r="BC47" s="14" t="e">
        <f t="shared" ca="1" si="17"/>
        <v>#N/A</v>
      </c>
      <c r="BD47" s="14" t="e">
        <f t="shared" ca="1" si="17"/>
        <v>#N/A</v>
      </c>
      <c r="BE47" s="14" t="e">
        <f t="shared" ca="1" si="17"/>
        <v>#N/A</v>
      </c>
      <c r="BF47" s="14" t="e">
        <f t="shared" ca="1" si="17"/>
        <v>#N/A</v>
      </c>
      <c r="BG47" s="14" t="e">
        <f t="shared" ca="1" si="17"/>
        <v>#N/A</v>
      </c>
      <c r="BH47" s="14" t="e">
        <f t="shared" ca="1" si="17"/>
        <v>#N/A</v>
      </c>
      <c r="BI47" s="14" t="e">
        <f t="shared" ca="1" si="17"/>
        <v>#N/A</v>
      </c>
      <c r="BJ47" s="14" t="e">
        <f t="shared" ca="1" si="17"/>
        <v>#N/A</v>
      </c>
      <c r="BK47" s="14" t="e">
        <f t="shared" ca="1" si="17"/>
        <v>#N/A</v>
      </c>
      <c r="BL47" s="14" t="e">
        <f t="shared" ca="1" si="17"/>
        <v>#N/A</v>
      </c>
      <c r="BM47" s="14" t="e">
        <f t="shared" ca="1" si="17"/>
        <v>#N/A</v>
      </c>
      <c r="BN47" s="14" t="e">
        <f t="shared" ca="1" si="17"/>
        <v>#N/A</v>
      </c>
      <c r="BO47" s="14" t="e">
        <f t="shared" ca="1" si="17"/>
        <v>#N/A</v>
      </c>
      <c r="BP47" s="14" t="e">
        <f t="shared" ca="1" si="17"/>
        <v>#N/A</v>
      </c>
      <c r="BQ47" s="14" t="e">
        <f t="shared" ca="1" si="17"/>
        <v>#N/A</v>
      </c>
      <c r="BR47" s="14" t="e">
        <f t="shared" ca="1" si="17"/>
        <v>#N/A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>
        <f t="shared" si="15"/>
        <v>0</v>
      </c>
      <c r="F48" s="14" t="e">
        <f t="shared" ca="1" si="16"/>
        <v>#N/A</v>
      </c>
      <c r="G48" s="14" t="e">
        <f t="shared" ca="1" si="17"/>
        <v>#N/A</v>
      </c>
      <c r="H48" s="14" t="e">
        <f t="shared" ca="1" si="17"/>
        <v>#N/A</v>
      </c>
      <c r="I48" s="14" t="e">
        <f t="shared" ca="1" si="17"/>
        <v>#N/A</v>
      </c>
      <c r="J48" s="14" t="e">
        <f t="shared" ca="1" si="17"/>
        <v>#N/A</v>
      </c>
      <c r="K48" s="14" t="e">
        <f t="shared" ca="1" si="17"/>
        <v>#N/A</v>
      </c>
      <c r="L48" s="14" t="e">
        <f t="shared" ca="1" si="17"/>
        <v>#N/A</v>
      </c>
      <c r="M48" s="14" t="e">
        <f t="shared" ca="1" si="17"/>
        <v>#N/A</v>
      </c>
      <c r="N48" s="14" t="e">
        <f t="shared" ca="1" si="17"/>
        <v>#N/A</v>
      </c>
      <c r="O48" s="14" t="e">
        <f t="shared" ca="1" si="17"/>
        <v>#N/A</v>
      </c>
      <c r="P48" s="14" t="e">
        <f t="shared" ca="1" si="17"/>
        <v>#N/A</v>
      </c>
      <c r="Q48" s="14" t="e">
        <f t="shared" ca="1" si="17"/>
        <v>#N/A</v>
      </c>
      <c r="R48" s="14" t="e">
        <f t="shared" ca="1" si="17"/>
        <v>#N/A</v>
      </c>
      <c r="S48" s="14" t="e">
        <f t="shared" ca="1" si="17"/>
        <v>#N/A</v>
      </c>
      <c r="T48" s="14" t="e">
        <f t="shared" ca="1" si="17"/>
        <v>#N/A</v>
      </c>
      <c r="U48" s="14" t="e">
        <f t="shared" ca="1" si="17"/>
        <v>#N/A</v>
      </c>
      <c r="V48" s="14" t="e">
        <f t="shared" ca="1" si="17"/>
        <v>#N/A</v>
      </c>
      <c r="W48" s="14" t="e">
        <f t="shared" ca="1" si="17"/>
        <v>#N/A</v>
      </c>
      <c r="X48" s="14" t="e">
        <f t="shared" ca="1" si="17"/>
        <v>#N/A</v>
      </c>
      <c r="Y48" s="14" t="e">
        <f t="shared" ca="1" si="17"/>
        <v>#N/A</v>
      </c>
      <c r="Z48" s="14" t="e">
        <f t="shared" ca="1" si="17"/>
        <v>#N/A</v>
      </c>
      <c r="AA48" s="14" t="e">
        <f t="shared" ca="1" si="17"/>
        <v>#N/A</v>
      </c>
      <c r="AB48" s="14" t="e">
        <f t="shared" ca="1" si="17"/>
        <v>#N/A</v>
      </c>
      <c r="AC48" s="14" t="e">
        <f t="shared" ca="1" si="17"/>
        <v>#N/A</v>
      </c>
      <c r="AD48" s="14" t="e">
        <f t="shared" ca="1" si="17"/>
        <v>#N/A</v>
      </c>
      <c r="AE48" s="14" t="e">
        <f t="shared" ca="1" si="17"/>
        <v>#N/A</v>
      </c>
      <c r="AF48" s="14" t="e">
        <f t="shared" ca="1" si="17"/>
        <v>#N/A</v>
      </c>
      <c r="AG48" s="14" t="e">
        <f t="shared" ca="1" si="17"/>
        <v>#N/A</v>
      </c>
      <c r="AH48" s="14" t="e">
        <f t="shared" ca="1" si="17"/>
        <v>#N/A</v>
      </c>
      <c r="AI48" s="14" t="e">
        <f t="shared" ca="1" si="17"/>
        <v>#N/A</v>
      </c>
      <c r="AJ48" s="14" t="e">
        <f t="shared" ca="1" si="17"/>
        <v>#N/A</v>
      </c>
      <c r="AK48" s="14" t="e">
        <f t="shared" ca="1" si="17"/>
        <v>#N/A</v>
      </c>
      <c r="AL48" s="14" t="e">
        <f t="shared" ca="1" si="17"/>
        <v>#N/A</v>
      </c>
      <c r="AM48" s="14" t="e">
        <f t="shared" ca="1" si="17"/>
        <v>#N/A</v>
      </c>
      <c r="AN48" s="14" t="e">
        <f t="shared" ca="1" si="17"/>
        <v>#N/A</v>
      </c>
      <c r="AO48" s="14" t="e">
        <f t="shared" ca="1" si="17"/>
        <v>#N/A</v>
      </c>
      <c r="AP48" s="14" t="e">
        <f t="shared" ca="1" si="17"/>
        <v>#N/A</v>
      </c>
      <c r="AQ48" s="14" t="e">
        <f t="shared" ca="1" si="17"/>
        <v>#N/A</v>
      </c>
      <c r="AR48" s="14" t="e">
        <f t="shared" ca="1" si="17"/>
        <v>#N/A</v>
      </c>
      <c r="AS48" s="14" t="e">
        <f t="shared" ca="1" si="17"/>
        <v>#N/A</v>
      </c>
      <c r="AT48" s="14" t="e">
        <f t="shared" ca="1" si="17"/>
        <v>#N/A</v>
      </c>
      <c r="AU48" s="14" t="e">
        <f t="shared" ca="1" si="17"/>
        <v>#N/A</v>
      </c>
      <c r="AV48" s="14" t="e">
        <f t="shared" ca="1" si="17"/>
        <v>#N/A</v>
      </c>
      <c r="AW48" s="14" t="e">
        <f t="shared" ca="1" si="17"/>
        <v>#N/A</v>
      </c>
      <c r="AX48" s="14" t="e">
        <f t="shared" ca="1" si="17"/>
        <v>#N/A</v>
      </c>
      <c r="AY48" s="14" t="e">
        <f t="shared" ca="1" si="17"/>
        <v>#N/A</v>
      </c>
      <c r="AZ48" s="14" t="e">
        <f t="shared" ca="1" si="17"/>
        <v>#N/A</v>
      </c>
      <c r="BA48" s="14" t="e">
        <f t="shared" ca="1" si="17"/>
        <v>#N/A</v>
      </c>
      <c r="BB48" s="14" t="e">
        <f t="shared" ca="1" si="17"/>
        <v>#N/A</v>
      </c>
      <c r="BC48" s="14" t="e">
        <f t="shared" ca="1" si="17"/>
        <v>#N/A</v>
      </c>
      <c r="BD48" s="14" t="e">
        <f t="shared" ca="1" si="17"/>
        <v>#N/A</v>
      </c>
      <c r="BE48" s="14" t="e">
        <f t="shared" ca="1" si="17"/>
        <v>#N/A</v>
      </c>
      <c r="BF48" s="14" t="e">
        <f t="shared" ca="1" si="17"/>
        <v>#N/A</v>
      </c>
      <c r="BG48" s="14" t="e">
        <f t="shared" ca="1" si="17"/>
        <v>#N/A</v>
      </c>
      <c r="BH48" s="14" t="e">
        <f t="shared" ca="1" si="17"/>
        <v>#N/A</v>
      </c>
      <c r="BI48" s="14" t="e">
        <f t="shared" ca="1" si="17"/>
        <v>#N/A</v>
      </c>
      <c r="BJ48" s="14" t="e">
        <f t="shared" ca="1" si="17"/>
        <v>#N/A</v>
      </c>
      <c r="BK48" s="14" t="e">
        <f t="shared" ca="1" si="17"/>
        <v>#N/A</v>
      </c>
      <c r="BL48" s="14" t="e">
        <f t="shared" ca="1" si="17"/>
        <v>#N/A</v>
      </c>
      <c r="BM48" s="14" t="e">
        <f t="shared" ca="1" si="17"/>
        <v>#N/A</v>
      </c>
      <c r="BN48" s="14" t="e">
        <f t="shared" ca="1" si="17"/>
        <v>#N/A</v>
      </c>
      <c r="BO48" s="14" t="e">
        <f t="shared" ca="1" si="17"/>
        <v>#N/A</v>
      </c>
      <c r="BP48" s="14" t="e">
        <f t="shared" ca="1" si="17"/>
        <v>#N/A</v>
      </c>
      <c r="BQ48" s="14" t="e">
        <f t="shared" ca="1" si="17"/>
        <v>#N/A</v>
      </c>
      <c r="BR48" s="14" t="e">
        <f t="shared" ca="1" si="17"/>
        <v>#N/A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>
        <f t="shared" si="15"/>
        <v>0</v>
      </c>
      <c r="F49" s="14" t="e">
        <f t="shared" ca="1" si="16"/>
        <v>#N/A</v>
      </c>
      <c r="G49" s="14" t="e">
        <f t="shared" ca="1" si="17"/>
        <v>#N/A</v>
      </c>
      <c r="H49" s="14" t="e">
        <f t="shared" ca="1" si="17"/>
        <v>#N/A</v>
      </c>
      <c r="I49" s="14" t="e">
        <f t="shared" ca="1" si="17"/>
        <v>#N/A</v>
      </c>
      <c r="J49" s="14" t="e">
        <f t="shared" ca="1" si="17"/>
        <v>#N/A</v>
      </c>
      <c r="K49" s="14" t="e">
        <f t="shared" ca="1" si="17"/>
        <v>#N/A</v>
      </c>
      <c r="L49" s="14" t="e">
        <f t="shared" ca="1" si="17"/>
        <v>#N/A</v>
      </c>
      <c r="M49" s="14" t="e">
        <f t="shared" ca="1" si="17"/>
        <v>#N/A</v>
      </c>
      <c r="N49" s="14" t="e">
        <f t="shared" ca="1" si="17"/>
        <v>#N/A</v>
      </c>
      <c r="O49" s="14" t="e">
        <f t="shared" ca="1" si="17"/>
        <v>#N/A</v>
      </c>
      <c r="P49" s="14" t="e">
        <f t="shared" ca="1" si="17"/>
        <v>#N/A</v>
      </c>
      <c r="Q49" s="14" t="e">
        <f t="shared" ca="1" si="17"/>
        <v>#N/A</v>
      </c>
      <c r="R49" s="14" t="e">
        <f t="shared" ca="1" si="17"/>
        <v>#N/A</v>
      </c>
      <c r="S49" s="14" t="e">
        <f t="shared" ca="1" si="17"/>
        <v>#N/A</v>
      </c>
      <c r="T49" s="14" t="e">
        <f t="shared" ca="1" si="17"/>
        <v>#N/A</v>
      </c>
      <c r="U49" s="14" t="e">
        <f t="shared" ca="1" si="17"/>
        <v>#N/A</v>
      </c>
      <c r="V49" s="14" t="e">
        <f t="shared" ca="1" si="17"/>
        <v>#N/A</v>
      </c>
      <c r="W49" s="14" t="e">
        <f t="shared" ca="1" si="17"/>
        <v>#N/A</v>
      </c>
      <c r="X49" s="14" t="e">
        <f t="shared" ca="1" si="17"/>
        <v>#N/A</v>
      </c>
      <c r="Y49" s="14" t="e">
        <f t="shared" ca="1" si="17"/>
        <v>#N/A</v>
      </c>
      <c r="Z49" s="14" t="e">
        <f t="shared" ca="1" si="17"/>
        <v>#N/A</v>
      </c>
      <c r="AA49" s="14" t="e">
        <f t="shared" ca="1" si="17"/>
        <v>#N/A</v>
      </c>
      <c r="AB49" s="14" t="e">
        <f t="shared" ca="1" si="17"/>
        <v>#N/A</v>
      </c>
      <c r="AC49" s="14" t="e">
        <f t="shared" ca="1" si="17"/>
        <v>#N/A</v>
      </c>
      <c r="AD49" s="14" t="e">
        <f t="shared" ca="1" si="17"/>
        <v>#N/A</v>
      </c>
      <c r="AE49" s="14" t="e">
        <f t="shared" ca="1" si="17"/>
        <v>#N/A</v>
      </c>
      <c r="AF49" s="14" t="e">
        <f t="shared" ca="1" si="17"/>
        <v>#N/A</v>
      </c>
      <c r="AG49" s="14" t="e">
        <f t="shared" ca="1" si="17"/>
        <v>#N/A</v>
      </c>
      <c r="AH49" s="14" t="e">
        <f t="shared" ca="1" si="17"/>
        <v>#N/A</v>
      </c>
      <c r="AI49" s="14" t="e">
        <f t="shared" ca="1" si="17"/>
        <v>#N/A</v>
      </c>
      <c r="AJ49" s="14" t="e">
        <f t="shared" ca="1" si="17"/>
        <v>#N/A</v>
      </c>
      <c r="AK49" s="14" t="e">
        <f t="shared" ca="1" si="17"/>
        <v>#N/A</v>
      </c>
      <c r="AL49" s="14" t="e">
        <f t="shared" ca="1" si="17"/>
        <v>#N/A</v>
      </c>
      <c r="AM49" s="14" t="e">
        <f t="shared" ca="1" si="17"/>
        <v>#N/A</v>
      </c>
      <c r="AN49" s="14" t="e">
        <f t="shared" ca="1" si="17"/>
        <v>#N/A</v>
      </c>
      <c r="AO49" s="14" t="e">
        <f t="shared" ca="1" si="17"/>
        <v>#N/A</v>
      </c>
      <c r="AP49" s="14" t="e">
        <f t="shared" ca="1" si="17"/>
        <v>#N/A</v>
      </c>
      <c r="AQ49" s="14" t="e">
        <f t="shared" ca="1" si="17"/>
        <v>#N/A</v>
      </c>
      <c r="AR49" s="14" t="e">
        <f t="shared" ca="1" si="17"/>
        <v>#N/A</v>
      </c>
      <c r="AS49" s="14" t="e">
        <f t="shared" ca="1" si="17"/>
        <v>#N/A</v>
      </c>
      <c r="AT49" s="14" t="e">
        <f t="shared" ca="1" si="17"/>
        <v>#N/A</v>
      </c>
      <c r="AU49" s="14" t="e">
        <f t="shared" ca="1" si="17"/>
        <v>#N/A</v>
      </c>
      <c r="AV49" s="14" t="e">
        <f t="shared" ca="1" si="17"/>
        <v>#N/A</v>
      </c>
      <c r="AW49" s="14" t="e">
        <f t="shared" ca="1" si="17"/>
        <v>#N/A</v>
      </c>
      <c r="AX49" s="14" t="e">
        <f t="shared" ca="1" si="17"/>
        <v>#N/A</v>
      </c>
      <c r="AY49" s="14" t="e">
        <f t="shared" ca="1" si="17"/>
        <v>#N/A</v>
      </c>
      <c r="AZ49" s="14" t="e">
        <f t="shared" ca="1" si="17"/>
        <v>#N/A</v>
      </c>
      <c r="BA49" s="14" t="e">
        <f t="shared" ca="1" si="17"/>
        <v>#N/A</v>
      </c>
      <c r="BB49" s="14" t="e">
        <f t="shared" ca="1" si="17"/>
        <v>#N/A</v>
      </c>
      <c r="BC49" s="14" t="e">
        <f t="shared" ca="1" si="17"/>
        <v>#N/A</v>
      </c>
      <c r="BD49" s="14" t="e">
        <f t="shared" ca="1" si="17"/>
        <v>#N/A</v>
      </c>
      <c r="BE49" s="14" t="e">
        <f t="shared" ca="1" si="17"/>
        <v>#N/A</v>
      </c>
      <c r="BF49" s="14" t="e">
        <f t="shared" ca="1" si="17"/>
        <v>#N/A</v>
      </c>
      <c r="BG49" s="14" t="e">
        <f t="shared" ca="1" si="17"/>
        <v>#N/A</v>
      </c>
      <c r="BH49" s="14" t="e">
        <f t="shared" ca="1" si="17"/>
        <v>#N/A</v>
      </c>
      <c r="BI49" s="14" t="e">
        <f t="shared" ca="1" si="17"/>
        <v>#N/A</v>
      </c>
      <c r="BJ49" s="14" t="e">
        <f t="shared" ca="1" si="17"/>
        <v>#N/A</v>
      </c>
      <c r="BK49" s="14" t="e">
        <f t="shared" ca="1" si="17"/>
        <v>#N/A</v>
      </c>
      <c r="BL49" s="14" t="e">
        <f t="shared" ca="1" si="17"/>
        <v>#N/A</v>
      </c>
      <c r="BM49" s="14" t="e">
        <f t="shared" ca="1" si="17"/>
        <v>#N/A</v>
      </c>
      <c r="BN49" s="14" t="e">
        <f t="shared" ca="1" si="17"/>
        <v>#N/A</v>
      </c>
      <c r="BO49" s="14" t="e">
        <f t="shared" ca="1" si="17"/>
        <v>#N/A</v>
      </c>
      <c r="BP49" s="14" t="e">
        <f t="shared" ca="1" si="17"/>
        <v>#N/A</v>
      </c>
      <c r="BQ49" s="14" t="e">
        <f t="shared" ca="1" si="17"/>
        <v>#N/A</v>
      </c>
      <c r="BR49" s="14" t="e">
        <f t="shared" ca="1" si="17"/>
        <v>#N/A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>
        <f t="shared" si="15"/>
        <v>0</v>
      </c>
      <c r="F50" s="14" t="e">
        <f t="shared" ca="1" si="16"/>
        <v>#N/A</v>
      </c>
      <c r="G50" s="14" t="e">
        <f t="shared" ca="1" si="17"/>
        <v>#N/A</v>
      </c>
      <c r="H50" s="14" t="e">
        <f t="shared" ca="1" si="17"/>
        <v>#N/A</v>
      </c>
      <c r="I50" s="14" t="e">
        <f t="shared" ca="1" si="17"/>
        <v>#N/A</v>
      </c>
      <c r="J50" s="14" t="e">
        <f t="shared" ca="1" si="17"/>
        <v>#N/A</v>
      </c>
      <c r="K50" s="14" t="e">
        <f t="shared" ca="1" si="17"/>
        <v>#N/A</v>
      </c>
      <c r="L50" s="14" t="e">
        <f t="shared" ca="1" si="17"/>
        <v>#N/A</v>
      </c>
      <c r="M50" s="14" t="e">
        <f t="shared" ca="1" si="17"/>
        <v>#N/A</v>
      </c>
      <c r="N50" s="14" t="e">
        <f t="shared" ca="1" si="17"/>
        <v>#N/A</v>
      </c>
      <c r="O50" s="14" t="e">
        <f t="shared" ca="1" si="17"/>
        <v>#N/A</v>
      </c>
      <c r="P50" s="14" t="e">
        <f t="shared" ca="1" si="17"/>
        <v>#N/A</v>
      </c>
      <c r="Q50" s="14" t="e">
        <f t="shared" ca="1" si="17"/>
        <v>#N/A</v>
      </c>
      <c r="R50" s="14" t="e">
        <f t="shared" ca="1" si="17"/>
        <v>#N/A</v>
      </c>
      <c r="S50" s="14" t="e">
        <f t="shared" ca="1" si="17"/>
        <v>#N/A</v>
      </c>
      <c r="T50" s="14" t="e">
        <f t="shared" ca="1" si="17"/>
        <v>#N/A</v>
      </c>
      <c r="U50" s="14" t="e">
        <f t="shared" ref="G50:BR54" ca="1" si="18">$A50*H.Ar + $B50*H.Se + $C50*H.Ge + $D50*H.Ga</f>
        <v>#N/A</v>
      </c>
      <c r="V50" s="14" t="e">
        <f t="shared" ca="1" si="18"/>
        <v>#N/A</v>
      </c>
      <c r="W50" s="14" t="e">
        <f t="shared" ca="1" si="18"/>
        <v>#N/A</v>
      </c>
      <c r="X50" s="14" t="e">
        <f t="shared" ca="1" si="18"/>
        <v>#N/A</v>
      </c>
      <c r="Y50" s="14" t="e">
        <f t="shared" ca="1" si="18"/>
        <v>#N/A</v>
      </c>
      <c r="Z50" s="14" t="e">
        <f t="shared" ca="1" si="18"/>
        <v>#N/A</v>
      </c>
      <c r="AA50" s="14" t="e">
        <f t="shared" ca="1" si="18"/>
        <v>#N/A</v>
      </c>
      <c r="AB50" s="14" t="e">
        <f t="shared" ca="1" si="18"/>
        <v>#N/A</v>
      </c>
      <c r="AC50" s="14" t="e">
        <f t="shared" ca="1" si="18"/>
        <v>#N/A</v>
      </c>
      <c r="AD50" s="14" t="e">
        <f t="shared" ca="1" si="18"/>
        <v>#N/A</v>
      </c>
      <c r="AE50" s="14" t="e">
        <f t="shared" ca="1" si="18"/>
        <v>#N/A</v>
      </c>
      <c r="AF50" s="14" t="e">
        <f t="shared" ca="1" si="18"/>
        <v>#N/A</v>
      </c>
      <c r="AG50" s="14" t="e">
        <f t="shared" ca="1" si="18"/>
        <v>#N/A</v>
      </c>
      <c r="AH50" s="14" t="e">
        <f t="shared" ca="1" si="18"/>
        <v>#N/A</v>
      </c>
      <c r="AI50" s="14" t="e">
        <f t="shared" ca="1" si="18"/>
        <v>#N/A</v>
      </c>
      <c r="AJ50" s="14" t="e">
        <f t="shared" ca="1" si="18"/>
        <v>#N/A</v>
      </c>
      <c r="AK50" s="14" t="e">
        <f t="shared" ca="1" si="18"/>
        <v>#N/A</v>
      </c>
      <c r="AL50" s="14" t="e">
        <f t="shared" ca="1" si="18"/>
        <v>#N/A</v>
      </c>
      <c r="AM50" s="14" t="e">
        <f t="shared" ca="1" si="18"/>
        <v>#N/A</v>
      </c>
      <c r="AN50" s="14" t="e">
        <f t="shared" ca="1" si="18"/>
        <v>#N/A</v>
      </c>
      <c r="AO50" s="14" t="e">
        <f t="shared" ca="1" si="18"/>
        <v>#N/A</v>
      </c>
      <c r="AP50" s="14" t="e">
        <f t="shared" ca="1" si="18"/>
        <v>#N/A</v>
      </c>
      <c r="AQ50" s="14" t="e">
        <f t="shared" ca="1" si="18"/>
        <v>#N/A</v>
      </c>
      <c r="AR50" s="14" t="e">
        <f t="shared" ca="1" si="18"/>
        <v>#N/A</v>
      </c>
      <c r="AS50" s="14" t="e">
        <f t="shared" ca="1" si="18"/>
        <v>#N/A</v>
      </c>
      <c r="AT50" s="14" t="e">
        <f t="shared" ca="1" si="18"/>
        <v>#N/A</v>
      </c>
      <c r="AU50" s="14" t="e">
        <f t="shared" ca="1" si="18"/>
        <v>#N/A</v>
      </c>
      <c r="AV50" s="14" t="e">
        <f t="shared" ca="1" si="18"/>
        <v>#N/A</v>
      </c>
      <c r="AW50" s="14" t="e">
        <f t="shared" ca="1" si="18"/>
        <v>#N/A</v>
      </c>
      <c r="AX50" s="14" t="e">
        <f t="shared" ca="1" si="18"/>
        <v>#N/A</v>
      </c>
      <c r="AY50" s="14" t="e">
        <f t="shared" ca="1" si="18"/>
        <v>#N/A</v>
      </c>
      <c r="AZ50" s="14" t="e">
        <f t="shared" ca="1" si="18"/>
        <v>#N/A</v>
      </c>
      <c r="BA50" s="14" t="e">
        <f t="shared" ca="1" si="18"/>
        <v>#N/A</v>
      </c>
      <c r="BB50" s="14" t="e">
        <f t="shared" ca="1" si="18"/>
        <v>#N/A</v>
      </c>
      <c r="BC50" s="14" t="e">
        <f t="shared" ca="1" si="18"/>
        <v>#N/A</v>
      </c>
      <c r="BD50" s="14" t="e">
        <f t="shared" ca="1" si="18"/>
        <v>#N/A</v>
      </c>
      <c r="BE50" s="14" t="e">
        <f t="shared" ca="1" si="18"/>
        <v>#N/A</v>
      </c>
      <c r="BF50" s="14" t="e">
        <f t="shared" ca="1" si="18"/>
        <v>#N/A</v>
      </c>
      <c r="BG50" s="14" t="e">
        <f t="shared" ca="1" si="18"/>
        <v>#N/A</v>
      </c>
      <c r="BH50" s="14" t="e">
        <f t="shared" ca="1" si="18"/>
        <v>#N/A</v>
      </c>
      <c r="BI50" s="14" t="e">
        <f t="shared" ca="1" si="18"/>
        <v>#N/A</v>
      </c>
      <c r="BJ50" s="14" t="e">
        <f t="shared" ca="1" si="18"/>
        <v>#N/A</v>
      </c>
      <c r="BK50" s="14" t="e">
        <f t="shared" ca="1" si="18"/>
        <v>#N/A</v>
      </c>
      <c r="BL50" s="14" t="e">
        <f t="shared" ca="1" si="18"/>
        <v>#N/A</v>
      </c>
      <c r="BM50" s="14" t="e">
        <f t="shared" ca="1" si="18"/>
        <v>#N/A</v>
      </c>
      <c r="BN50" s="14" t="e">
        <f t="shared" ca="1" si="18"/>
        <v>#N/A</v>
      </c>
      <c r="BO50" s="14" t="e">
        <f t="shared" ca="1" si="18"/>
        <v>#N/A</v>
      </c>
      <c r="BP50" s="14" t="e">
        <f t="shared" ca="1" si="18"/>
        <v>#N/A</v>
      </c>
      <c r="BQ50" s="14" t="e">
        <f t="shared" ca="1" si="18"/>
        <v>#N/A</v>
      </c>
      <c r="BR50" s="14" t="e">
        <f t="shared" ca="1" si="18"/>
        <v>#N/A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>
        <f t="shared" si="15"/>
        <v>0</v>
      </c>
      <c r="F51" s="14" t="e">
        <f t="shared" ca="1" si="16"/>
        <v>#N/A</v>
      </c>
      <c r="G51" s="14" t="e">
        <f t="shared" ca="1" si="18"/>
        <v>#N/A</v>
      </c>
      <c r="H51" s="14" t="e">
        <f t="shared" ca="1" si="18"/>
        <v>#N/A</v>
      </c>
      <c r="I51" s="14" t="e">
        <f t="shared" ca="1" si="18"/>
        <v>#N/A</v>
      </c>
      <c r="J51" s="14" t="e">
        <f t="shared" ca="1" si="18"/>
        <v>#N/A</v>
      </c>
      <c r="K51" s="14" t="e">
        <f t="shared" ca="1" si="18"/>
        <v>#N/A</v>
      </c>
      <c r="L51" s="14" t="e">
        <f t="shared" ca="1" si="18"/>
        <v>#N/A</v>
      </c>
      <c r="M51" s="14" t="e">
        <f t="shared" ca="1" si="18"/>
        <v>#N/A</v>
      </c>
      <c r="N51" s="14" t="e">
        <f t="shared" ca="1" si="18"/>
        <v>#N/A</v>
      </c>
      <c r="O51" s="14" t="e">
        <f t="shared" ca="1" si="18"/>
        <v>#N/A</v>
      </c>
      <c r="P51" s="14" t="e">
        <f t="shared" ca="1" si="18"/>
        <v>#N/A</v>
      </c>
      <c r="Q51" s="14" t="e">
        <f t="shared" ca="1" si="18"/>
        <v>#N/A</v>
      </c>
      <c r="R51" s="14" t="e">
        <f t="shared" ca="1" si="18"/>
        <v>#N/A</v>
      </c>
      <c r="S51" s="14" t="e">
        <f t="shared" ca="1" si="18"/>
        <v>#N/A</v>
      </c>
      <c r="T51" s="14" t="e">
        <f t="shared" ca="1" si="18"/>
        <v>#N/A</v>
      </c>
      <c r="U51" s="14" t="e">
        <f t="shared" ca="1" si="18"/>
        <v>#N/A</v>
      </c>
      <c r="V51" s="14" t="e">
        <f t="shared" ca="1" si="18"/>
        <v>#N/A</v>
      </c>
      <c r="W51" s="14" t="e">
        <f t="shared" ca="1" si="18"/>
        <v>#N/A</v>
      </c>
      <c r="X51" s="14" t="e">
        <f t="shared" ca="1" si="18"/>
        <v>#N/A</v>
      </c>
      <c r="Y51" s="14" t="e">
        <f t="shared" ca="1" si="18"/>
        <v>#N/A</v>
      </c>
      <c r="Z51" s="14" t="e">
        <f t="shared" ca="1" si="18"/>
        <v>#N/A</v>
      </c>
      <c r="AA51" s="14" t="e">
        <f t="shared" ca="1" si="18"/>
        <v>#N/A</v>
      </c>
      <c r="AB51" s="14" t="e">
        <f t="shared" ca="1" si="18"/>
        <v>#N/A</v>
      </c>
      <c r="AC51" s="14" t="e">
        <f t="shared" ca="1" si="18"/>
        <v>#N/A</v>
      </c>
      <c r="AD51" s="14" t="e">
        <f t="shared" ca="1" si="18"/>
        <v>#N/A</v>
      </c>
      <c r="AE51" s="14" t="e">
        <f t="shared" ca="1" si="18"/>
        <v>#N/A</v>
      </c>
      <c r="AF51" s="14" t="e">
        <f t="shared" ca="1" si="18"/>
        <v>#N/A</v>
      </c>
      <c r="AG51" s="14" t="e">
        <f t="shared" ca="1" si="18"/>
        <v>#N/A</v>
      </c>
      <c r="AH51" s="14" t="e">
        <f t="shared" ca="1" si="18"/>
        <v>#N/A</v>
      </c>
      <c r="AI51" s="14" t="e">
        <f t="shared" ca="1" si="18"/>
        <v>#N/A</v>
      </c>
      <c r="AJ51" s="14" t="e">
        <f t="shared" ca="1" si="18"/>
        <v>#N/A</v>
      </c>
      <c r="AK51" s="14" t="e">
        <f t="shared" ca="1" si="18"/>
        <v>#N/A</v>
      </c>
      <c r="AL51" s="14" t="e">
        <f t="shared" ca="1" si="18"/>
        <v>#N/A</v>
      </c>
      <c r="AM51" s="14" t="e">
        <f t="shared" ca="1" si="18"/>
        <v>#N/A</v>
      </c>
      <c r="AN51" s="14" t="e">
        <f t="shared" ca="1" si="18"/>
        <v>#N/A</v>
      </c>
      <c r="AO51" s="14" t="e">
        <f t="shared" ca="1" si="18"/>
        <v>#N/A</v>
      </c>
      <c r="AP51" s="14" t="e">
        <f t="shared" ca="1" si="18"/>
        <v>#N/A</v>
      </c>
      <c r="AQ51" s="14" t="e">
        <f t="shared" ca="1" si="18"/>
        <v>#N/A</v>
      </c>
      <c r="AR51" s="14" t="e">
        <f t="shared" ca="1" si="18"/>
        <v>#N/A</v>
      </c>
      <c r="AS51" s="14" t="e">
        <f t="shared" ca="1" si="18"/>
        <v>#N/A</v>
      </c>
      <c r="AT51" s="14" t="e">
        <f t="shared" ca="1" si="18"/>
        <v>#N/A</v>
      </c>
      <c r="AU51" s="14" t="e">
        <f t="shared" ca="1" si="18"/>
        <v>#N/A</v>
      </c>
      <c r="AV51" s="14" t="e">
        <f t="shared" ca="1" si="18"/>
        <v>#N/A</v>
      </c>
      <c r="AW51" s="14" t="e">
        <f t="shared" ca="1" si="18"/>
        <v>#N/A</v>
      </c>
      <c r="AX51" s="14" t="e">
        <f t="shared" ca="1" si="18"/>
        <v>#N/A</v>
      </c>
      <c r="AY51" s="14" t="e">
        <f t="shared" ca="1" si="18"/>
        <v>#N/A</v>
      </c>
      <c r="AZ51" s="14" t="e">
        <f t="shared" ca="1" si="18"/>
        <v>#N/A</v>
      </c>
      <c r="BA51" s="14" t="e">
        <f t="shared" ca="1" si="18"/>
        <v>#N/A</v>
      </c>
      <c r="BB51" s="14" t="e">
        <f t="shared" ca="1" si="18"/>
        <v>#N/A</v>
      </c>
      <c r="BC51" s="14" t="e">
        <f t="shared" ca="1" si="18"/>
        <v>#N/A</v>
      </c>
      <c r="BD51" s="14" t="e">
        <f t="shared" ca="1" si="18"/>
        <v>#N/A</v>
      </c>
      <c r="BE51" s="14" t="e">
        <f t="shared" ca="1" si="18"/>
        <v>#N/A</v>
      </c>
      <c r="BF51" s="14" t="e">
        <f t="shared" ca="1" si="18"/>
        <v>#N/A</v>
      </c>
      <c r="BG51" s="14" t="e">
        <f t="shared" ca="1" si="18"/>
        <v>#N/A</v>
      </c>
      <c r="BH51" s="14" t="e">
        <f t="shared" ca="1" si="18"/>
        <v>#N/A</v>
      </c>
      <c r="BI51" s="14" t="e">
        <f t="shared" ca="1" si="18"/>
        <v>#N/A</v>
      </c>
      <c r="BJ51" s="14" t="e">
        <f t="shared" ca="1" si="18"/>
        <v>#N/A</v>
      </c>
      <c r="BK51" s="14" t="e">
        <f t="shared" ca="1" si="18"/>
        <v>#N/A</v>
      </c>
      <c r="BL51" s="14" t="e">
        <f t="shared" ca="1" si="18"/>
        <v>#N/A</v>
      </c>
      <c r="BM51" s="14" t="e">
        <f t="shared" ca="1" si="18"/>
        <v>#N/A</v>
      </c>
      <c r="BN51" s="14" t="e">
        <f t="shared" ca="1" si="18"/>
        <v>#N/A</v>
      </c>
      <c r="BO51" s="14" t="e">
        <f t="shared" ca="1" si="18"/>
        <v>#N/A</v>
      </c>
      <c r="BP51" s="14" t="e">
        <f t="shared" ca="1" si="18"/>
        <v>#N/A</v>
      </c>
      <c r="BQ51" s="14" t="e">
        <f t="shared" ca="1" si="18"/>
        <v>#N/A</v>
      </c>
      <c r="BR51" s="14" t="e">
        <f t="shared" ca="1" si="18"/>
        <v>#N/A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>
        <f t="shared" si="15"/>
        <v>0</v>
      </c>
      <c r="F52" s="14" t="e">
        <f t="shared" ca="1" si="16"/>
        <v>#N/A</v>
      </c>
      <c r="G52" s="14" t="e">
        <f t="shared" ca="1" si="18"/>
        <v>#N/A</v>
      </c>
      <c r="H52" s="14" t="e">
        <f t="shared" ca="1" si="18"/>
        <v>#N/A</v>
      </c>
      <c r="I52" s="14" t="e">
        <f t="shared" ca="1" si="18"/>
        <v>#N/A</v>
      </c>
      <c r="J52" s="14" t="e">
        <f t="shared" ca="1" si="18"/>
        <v>#N/A</v>
      </c>
      <c r="K52" s="14" t="e">
        <f t="shared" ca="1" si="18"/>
        <v>#N/A</v>
      </c>
      <c r="L52" s="14" t="e">
        <f t="shared" ca="1" si="18"/>
        <v>#N/A</v>
      </c>
      <c r="M52" s="14" t="e">
        <f t="shared" ca="1" si="18"/>
        <v>#N/A</v>
      </c>
      <c r="N52" s="14" t="e">
        <f t="shared" ca="1" si="18"/>
        <v>#N/A</v>
      </c>
      <c r="O52" s="14" t="e">
        <f t="shared" ca="1" si="18"/>
        <v>#N/A</v>
      </c>
      <c r="P52" s="14" t="e">
        <f t="shared" ca="1" si="18"/>
        <v>#N/A</v>
      </c>
      <c r="Q52" s="14" t="e">
        <f t="shared" ca="1" si="18"/>
        <v>#N/A</v>
      </c>
      <c r="R52" s="14" t="e">
        <f t="shared" ca="1" si="18"/>
        <v>#N/A</v>
      </c>
      <c r="S52" s="14" t="e">
        <f t="shared" ca="1" si="18"/>
        <v>#N/A</v>
      </c>
      <c r="T52" s="14" t="e">
        <f t="shared" ca="1" si="18"/>
        <v>#N/A</v>
      </c>
      <c r="U52" s="14" t="e">
        <f t="shared" ca="1" si="18"/>
        <v>#N/A</v>
      </c>
      <c r="V52" s="14" t="e">
        <f t="shared" ca="1" si="18"/>
        <v>#N/A</v>
      </c>
      <c r="W52" s="14" t="e">
        <f t="shared" ca="1" si="18"/>
        <v>#N/A</v>
      </c>
      <c r="X52" s="14" t="e">
        <f t="shared" ca="1" si="18"/>
        <v>#N/A</v>
      </c>
      <c r="Y52" s="14" t="e">
        <f t="shared" ca="1" si="18"/>
        <v>#N/A</v>
      </c>
      <c r="Z52" s="14" t="e">
        <f t="shared" ca="1" si="18"/>
        <v>#N/A</v>
      </c>
      <c r="AA52" s="14" t="e">
        <f t="shared" ca="1" si="18"/>
        <v>#N/A</v>
      </c>
      <c r="AB52" s="14" t="e">
        <f t="shared" ca="1" si="18"/>
        <v>#N/A</v>
      </c>
      <c r="AC52" s="14" t="e">
        <f t="shared" ca="1" si="18"/>
        <v>#N/A</v>
      </c>
      <c r="AD52" s="14" t="e">
        <f t="shared" ca="1" si="18"/>
        <v>#N/A</v>
      </c>
      <c r="AE52" s="14" t="e">
        <f t="shared" ca="1" si="18"/>
        <v>#N/A</v>
      </c>
      <c r="AF52" s="14" t="e">
        <f t="shared" ca="1" si="18"/>
        <v>#N/A</v>
      </c>
      <c r="AG52" s="14" t="e">
        <f t="shared" ca="1" si="18"/>
        <v>#N/A</v>
      </c>
      <c r="AH52" s="14" t="e">
        <f t="shared" ca="1" si="18"/>
        <v>#N/A</v>
      </c>
      <c r="AI52" s="14" t="e">
        <f t="shared" ca="1" si="18"/>
        <v>#N/A</v>
      </c>
      <c r="AJ52" s="14" t="e">
        <f t="shared" ca="1" si="18"/>
        <v>#N/A</v>
      </c>
      <c r="AK52" s="14" t="e">
        <f t="shared" ca="1" si="18"/>
        <v>#N/A</v>
      </c>
      <c r="AL52" s="14" t="e">
        <f t="shared" ca="1" si="18"/>
        <v>#N/A</v>
      </c>
      <c r="AM52" s="14" t="e">
        <f t="shared" ca="1" si="18"/>
        <v>#N/A</v>
      </c>
      <c r="AN52" s="14" t="e">
        <f t="shared" ca="1" si="18"/>
        <v>#N/A</v>
      </c>
      <c r="AO52" s="14" t="e">
        <f t="shared" ca="1" si="18"/>
        <v>#N/A</v>
      </c>
      <c r="AP52" s="14" t="e">
        <f t="shared" ca="1" si="18"/>
        <v>#N/A</v>
      </c>
      <c r="AQ52" s="14" t="e">
        <f t="shared" ca="1" si="18"/>
        <v>#N/A</v>
      </c>
      <c r="AR52" s="14" t="e">
        <f t="shared" ca="1" si="18"/>
        <v>#N/A</v>
      </c>
      <c r="AS52" s="14" t="e">
        <f t="shared" ca="1" si="18"/>
        <v>#N/A</v>
      </c>
      <c r="AT52" s="14" t="e">
        <f t="shared" ca="1" si="18"/>
        <v>#N/A</v>
      </c>
      <c r="AU52" s="14" t="e">
        <f t="shared" ca="1" si="18"/>
        <v>#N/A</v>
      </c>
      <c r="AV52" s="14" t="e">
        <f t="shared" ca="1" si="18"/>
        <v>#N/A</v>
      </c>
      <c r="AW52" s="14" t="e">
        <f t="shared" ca="1" si="18"/>
        <v>#N/A</v>
      </c>
      <c r="AX52" s="14" t="e">
        <f t="shared" ca="1" si="18"/>
        <v>#N/A</v>
      </c>
      <c r="AY52" s="14" t="e">
        <f t="shared" ca="1" si="18"/>
        <v>#N/A</v>
      </c>
      <c r="AZ52" s="14" t="e">
        <f t="shared" ca="1" si="18"/>
        <v>#N/A</v>
      </c>
      <c r="BA52" s="14" t="e">
        <f t="shared" ca="1" si="18"/>
        <v>#N/A</v>
      </c>
      <c r="BB52" s="14" t="e">
        <f t="shared" ca="1" si="18"/>
        <v>#N/A</v>
      </c>
      <c r="BC52" s="14" t="e">
        <f t="shared" ca="1" si="18"/>
        <v>#N/A</v>
      </c>
      <c r="BD52" s="14" t="e">
        <f t="shared" ca="1" si="18"/>
        <v>#N/A</v>
      </c>
      <c r="BE52" s="14" t="e">
        <f t="shared" ca="1" si="18"/>
        <v>#N/A</v>
      </c>
      <c r="BF52" s="14" t="e">
        <f t="shared" ca="1" si="18"/>
        <v>#N/A</v>
      </c>
      <c r="BG52" s="14" t="e">
        <f t="shared" ca="1" si="18"/>
        <v>#N/A</v>
      </c>
      <c r="BH52" s="14" t="e">
        <f t="shared" ca="1" si="18"/>
        <v>#N/A</v>
      </c>
      <c r="BI52" s="14" t="e">
        <f t="shared" ca="1" si="18"/>
        <v>#N/A</v>
      </c>
      <c r="BJ52" s="14" t="e">
        <f t="shared" ca="1" si="18"/>
        <v>#N/A</v>
      </c>
      <c r="BK52" s="14" t="e">
        <f t="shared" ca="1" si="18"/>
        <v>#N/A</v>
      </c>
      <c r="BL52" s="14" t="e">
        <f t="shared" ca="1" si="18"/>
        <v>#N/A</v>
      </c>
      <c r="BM52" s="14" t="e">
        <f t="shared" ca="1" si="18"/>
        <v>#N/A</v>
      </c>
      <c r="BN52" s="14" t="e">
        <f t="shared" ca="1" si="18"/>
        <v>#N/A</v>
      </c>
      <c r="BO52" s="14" t="e">
        <f t="shared" ca="1" si="18"/>
        <v>#N/A</v>
      </c>
      <c r="BP52" s="14" t="e">
        <f t="shared" ca="1" si="18"/>
        <v>#N/A</v>
      </c>
      <c r="BQ52" s="14" t="e">
        <f t="shared" ca="1" si="18"/>
        <v>#N/A</v>
      </c>
      <c r="BR52" s="14" t="e">
        <f t="shared" ca="1" si="18"/>
        <v>#N/A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0</v>
      </c>
      <c r="D53" s="5">
        <f t="shared" si="15"/>
        <v>0</v>
      </c>
      <c r="E53" s="6">
        <f t="shared" si="15"/>
        <v>0</v>
      </c>
      <c r="F53" s="14" t="e">
        <f t="shared" ca="1" si="16"/>
        <v>#N/A</v>
      </c>
      <c r="G53" s="14" t="e">
        <f t="shared" ca="1" si="18"/>
        <v>#N/A</v>
      </c>
      <c r="H53" s="14" t="e">
        <f t="shared" ca="1" si="18"/>
        <v>#N/A</v>
      </c>
      <c r="I53" s="14" t="e">
        <f t="shared" ca="1" si="18"/>
        <v>#N/A</v>
      </c>
      <c r="J53" s="14" t="e">
        <f t="shared" ca="1" si="18"/>
        <v>#N/A</v>
      </c>
      <c r="K53" s="14" t="e">
        <f t="shared" ca="1" si="18"/>
        <v>#N/A</v>
      </c>
      <c r="L53" s="14" t="e">
        <f t="shared" ca="1" si="18"/>
        <v>#N/A</v>
      </c>
      <c r="M53" s="14" t="e">
        <f t="shared" ca="1" si="18"/>
        <v>#N/A</v>
      </c>
      <c r="N53" s="14" t="e">
        <f t="shared" ca="1" si="18"/>
        <v>#N/A</v>
      </c>
      <c r="O53" s="14" t="e">
        <f t="shared" ca="1" si="18"/>
        <v>#N/A</v>
      </c>
      <c r="P53" s="14" t="e">
        <f t="shared" ca="1" si="18"/>
        <v>#N/A</v>
      </c>
      <c r="Q53" s="14" t="e">
        <f t="shared" ca="1" si="18"/>
        <v>#N/A</v>
      </c>
      <c r="R53" s="14" t="e">
        <f t="shared" ca="1" si="18"/>
        <v>#N/A</v>
      </c>
      <c r="S53" s="14" t="e">
        <f t="shared" ca="1" si="18"/>
        <v>#N/A</v>
      </c>
      <c r="T53" s="14" t="e">
        <f t="shared" ca="1" si="18"/>
        <v>#N/A</v>
      </c>
      <c r="U53" s="14" t="e">
        <f t="shared" ca="1" si="18"/>
        <v>#N/A</v>
      </c>
      <c r="V53" s="14" t="e">
        <f t="shared" ca="1" si="18"/>
        <v>#N/A</v>
      </c>
      <c r="W53" s="14" t="e">
        <f t="shared" ca="1" si="18"/>
        <v>#N/A</v>
      </c>
      <c r="X53" s="14" t="e">
        <f t="shared" ca="1" si="18"/>
        <v>#N/A</v>
      </c>
      <c r="Y53" s="14" t="e">
        <f t="shared" ca="1" si="18"/>
        <v>#N/A</v>
      </c>
      <c r="Z53" s="14" t="e">
        <f t="shared" ca="1" si="18"/>
        <v>#N/A</v>
      </c>
      <c r="AA53" s="14" t="e">
        <f t="shared" ca="1" si="18"/>
        <v>#N/A</v>
      </c>
      <c r="AB53" s="14" t="e">
        <f t="shared" ca="1" si="18"/>
        <v>#N/A</v>
      </c>
      <c r="AC53" s="14" t="e">
        <f t="shared" ca="1" si="18"/>
        <v>#N/A</v>
      </c>
      <c r="AD53" s="14" t="e">
        <f t="shared" ca="1" si="18"/>
        <v>#N/A</v>
      </c>
      <c r="AE53" s="14" t="e">
        <f t="shared" ca="1" si="18"/>
        <v>#N/A</v>
      </c>
      <c r="AF53" s="14" t="e">
        <f t="shared" ca="1" si="18"/>
        <v>#N/A</v>
      </c>
      <c r="AG53" s="14" t="e">
        <f t="shared" ca="1" si="18"/>
        <v>#N/A</v>
      </c>
      <c r="AH53" s="14" t="e">
        <f t="shared" ca="1" si="18"/>
        <v>#N/A</v>
      </c>
      <c r="AI53" s="14" t="e">
        <f t="shared" ca="1" si="18"/>
        <v>#N/A</v>
      </c>
      <c r="AJ53" s="14" t="e">
        <f t="shared" ca="1" si="18"/>
        <v>#N/A</v>
      </c>
      <c r="AK53" s="14" t="e">
        <f t="shared" ca="1" si="18"/>
        <v>#N/A</v>
      </c>
      <c r="AL53" s="14" t="e">
        <f t="shared" ca="1" si="18"/>
        <v>#N/A</v>
      </c>
      <c r="AM53" s="14" t="e">
        <f t="shared" ca="1" si="18"/>
        <v>#N/A</v>
      </c>
      <c r="AN53" s="14" t="e">
        <f t="shared" ca="1" si="18"/>
        <v>#N/A</v>
      </c>
      <c r="AO53" s="14" t="e">
        <f t="shared" ca="1" si="18"/>
        <v>#N/A</v>
      </c>
      <c r="AP53" s="14" t="e">
        <f t="shared" ca="1" si="18"/>
        <v>#N/A</v>
      </c>
      <c r="AQ53" s="14" t="e">
        <f t="shared" ca="1" si="18"/>
        <v>#N/A</v>
      </c>
      <c r="AR53" s="14" t="e">
        <f t="shared" ca="1" si="18"/>
        <v>#N/A</v>
      </c>
      <c r="AS53" s="14" t="e">
        <f t="shared" ca="1" si="18"/>
        <v>#N/A</v>
      </c>
      <c r="AT53" s="14" t="e">
        <f t="shared" ca="1" si="18"/>
        <v>#N/A</v>
      </c>
      <c r="AU53" s="14" t="e">
        <f t="shared" ca="1" si="18"/>
        <v>#N/A</v>
      </c>
      <c r="AV53" s="14" t="e">
        <f t="shared" ca="1" si="18"/>
        <v>#N/A</v>
      </c>
      <c r="AW53" s="14" t="e">
        <f t="shared" ca="1" si="18"/>
        <v>#N/A</v>
      </c>
      <c r="AX53" s="14" t="e">
        <f t="shared" ca="1" si="18"/>
        <v>#N/A</v>
      </c>
      <c r="AY53" s="14" t="e">
        <f t="shared" ca="1" si="18"/>
        <v>#N/A</v>
      </c>
      <c r="AZ53" s="14" t="e">
        <f t="shared" ca="1" si="18"/>
        <v>#N/A</v>
      </c>
      <c r="BA53" s="14" t="e">
        <f t="shared" ca="1" si="18"/>
        <v>#N/A</v>
      </c>
      <c r="BB53" s="14" t="e">
        <f t="shared" ca="1" si="18"/>
        <v>#N/A</v>
      </c>
      <c r="BC53" s="14" t="e">
        <f t="shared" ca="1" si="18"/>
        <v>#N/A</v>
      </c>
      <c r="BD53" s="14" t="e">
        <f t="shared" ca="1" si="18"/>
        <v>#N/A</v>
      </c>
      <c r="BE53" s="14" t="e">
        <f t="shared" ca="1" si="18"/>
        <v>#N/A</v>
      </c>
      <c r="BF53" s="14" t="e">
        <f t="shared" ca="1" si="18"/>
        <v>#N/A</v>
      </c>
      <c r="BG53" s="14" t="e">
        <f t="shared" ca="1" si="18"/>
        <v>#N/A</v>
      </c>
      <c r="BH53" s="14" t="e">
        <f t="shared" ca="1" si="18"/>
        <v>#N/A</v>
      </c>
      <c r="BI53" s="14" t="e">
        <f t="shared" ca="1" si="18"/>
        <v>#N/A</v>
      </c>
      <c r="BJ53" s="14" t="e">
        <f t="shared" ca="1" si="18"/>
        <v>#N/A</v>
      </c>
      <c r="BK53" s="14" t="e">
        <f t="shared" ca="1" si="18"/>
        <v>#N/A</v>
      </c>
      <c r="BL53" s="14" t="e">
        <f t="shared" ca="1" si="18"/>
        <v>#N/A</v>
      </c>
      <c r="BM53" s="14" t="e">
        <f t="shared" ca="1" si="18"/>
        <v>#N/A</v>
      </c>
      <c r="BN53" s="14" t="e">
        <f t="shared" ca="1" si="18"/>
        <v>#N/A</v>
      </c>
      <c r="BO53" s="14" t="e">
        <f t="shared" ca="1" si="18"/>
        <v>#N/A</v>
      </c>
      <c r="BP53" s="14" t="e">
        <f t="shared" ca="1" si="18"/>
        <v>#N/A</v>
      </c>
      <c r="BQ53" s="14" t="e">
        <f t="shared" ca="1" si="18"/>
        <v>#N/A</v>
      </c>
      <c r="BR53" s="14" t="e">
        <f t="shared" ca="1" si="18"/>
        <v>#N/A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0</v>
      </c>
      <c r="E54" s="6">
        <f t="shared" si="15"/>
        <v>0</v>
      </c>
      <c r="F54" s="14" t="e">
        <f t="shared" ca="1" si="16"/>
        <v>#N/A</v>
      </c>
      <c r="G54" s="14" t="e">
        <f t="shared" ca="1" si="18"/>
        <v>#N/A</v>
      </c>
      <c r="H54" s="14" t="e">
        <f t="shared" ca="1" si="18"/>
        <v>#N/A</v>
      </c>
      <c r="I54" s="14" t="e">
        <f t="shared" ca="1" si="18"/>
        <v>#N/A</v>
      </c>
      <c r="J54" s="14" t="e">
        <f t="shared" ca="1" si="18"/>
        <v>#N/A</v>
      </c>
      <c r="K54" s="14" t="e">
        <f t="shared" ca="1" si="18"/>
        <v>#N/A</v>
      </c>
      <c r="L54" s="14" t="e">
        <f t="shared" ca="1" si="18"/>
        <v>#N/A</v>
      </c>
      <c r="M54" s="14" t="e">
        <f t="shared" ca="1" si="18"/>
        <v>#N/A</v>
      </c>
      <c r="N54" s="14" t="e">
        <f t="shared" ca="1" si="18"/>
        <v>#N/A</v>
      </c>
      <c r="O54" s="14" t="e">
        <f t="shared" ca="1" si="18"/>
        <v>#N/A</v>
      </c>
      <c r="P54" s="14" t="e">
        <f t="shared" ca="1" si="18"/>
        <v>#N/A</v>
      </c>
      <c r="Q54" s="14" t="e">
        <f t="shared" ca="1" si="18"/>
        <v>#N/A</v>
      </c>
      <c r="R54" s="14" t="e">
        <f t="shared" ca="1" si="18"/>
        <v>#N/A</v>
      </c>
      <c r="S54" s="14" t="e">
        <f t="shared" ca="1" si="18"/>
        <v>#N/A</v>
      </c>
      <c r="T54" s="14" t="e">
        <f t="shared" ref="G54:BR58" ca="1" si="19">$A54*H.Ar + $B54*H.Se + $C54*H.Ge + $D54*H.Ga</f>
        <v>#N/A</v>
      </c>
      <c r="U54" s="14" t="e">
        <f t="shared" ca="1" si="19"/>
        <v>#N/A</v>
      </c>
      <c r="V54" s="14" t="e">
        <f t="shared" ca="1" si="19"/>
        <v>#N/A</v>
      </c>
      <c r="W54" s="14" t="e">
        <f t="shared" ca="1" si="19"/>
        <v>#N/A</v>
      </c>
      <c r="X54" s="14" t="e">
        <f t="shared" ca="1" si="19"/>
        <v>#N/A</v>
      </c>
      <c r="Y54" s="14" t="e">
        <f t="shared" ca="1" si="19"/>
        <v>#N/A</v>
      </c>
      <c r="Z54" s="14" t="e">
        <f t="shared" ca="1" si="19"/>
        <v>#N/A</v>
      </c>
      <c r="AA54" s="14" t="e">
        <f t="shared" ca="1" si="19"/>
        <v>#N/A</v>
      </c>
      <c r="AB54" s="14" t="e">
        <f t="shared" ca="1" si="19"/>
        <v>#N/A</v>
      </c>
      <c r="AC54" s="14" t="e">
        <f t="shared" ca="1" si="19"/>
        <v>#N/A</v>
      </c>
      <c r="AD54" s="14" t="e">
        <f t="shared" ca="1" si="19"/>
        <v>#N/A</v>
      </c>
      <c r="AE54" s="14" t="e">
        <f t="shared" ca="1" si="19"/>
        <v>#N/A</v>
      </c>
      <c r="AF54" s="14" t="e">
        <f t="shared" ca="1" si="19"/>
        <v>#N/A</v>
      </c>
      <c r="AG54" s="14" t="e">
        <f t="shared" ca="1" si="19"/>
        <v>#N/A</v>
      </c>
      <c r="AH54" s="14" t="e">
        <f t="shared" ca="1" si="19"/>
        <v>#N/A</v>
      </c>
      <c r="AI54" s="14" t="e">
        <f t="shared" ca="1" si="19"/>
        <v>#N/A</v>
      </c>
      <c r="AJ54" s="14" t="e">
        <f t="shared" ca="1" si="19"/>
        <v>#N/A</v>
      </c>
      <c r="AK54" s="14" t="e">
        <f t="shared" ca="1" si="19"/>
        <v>#N/A</v>
      </c>
      <c r="AL54" s="14" t="e">
        <f t="shared" ca="1" si="19"/>
        <v>#N/A</v>
      </c>
      <c r="AM54" s="14" t="e">
        <f t="shared" ca="1" si="19"/>
        <v>#N/A</v>
      </c>
      <c r="AN54" s="14" t="e">
        <f t="shared" ca="1" si="19"/>
        <v>#N/A</v>
      </c>
      <c r="AO54" s="14" t="e">
        <f t="shared" ca="1" si="19"/>
        <v>#N/A</v>
      </c>
      <c r="AP54" s="14" t="e">
        <f t="shared" ca="1" si="19"/>
        <v>#N/A</v>
      </c>
      <c r="AQ54" s="14" t="e">
        <f t="shared" ca="1" si="19"/>
        <v>#N/A</v>
      </c>
      <c r="AR54" s="14" t="e">
        <f t="shared" ca="1" si="19"/>
        <v>#N/A</v>
      </c>
      <c r="AS54" s="14" t="e">
        <f t="shared" ca="1" si="19"/>
        <v>#N/A</v>
      </c>
      <c r="AT54" s="14" t="e">
        <f t="shared" ca="1" si="19"/>
        <v>#N/A</v>
      </c>
      <c r="AU54" s="14" t="e">
        <f t="shared" ca="1" si="19"/>
        <v>#N/A</v>
      </c>
      <c r="AV54" s="14" t="e">
        <f t="shared" ca="1" si="19"/>
        <v>#N/A</v>
      </c>
      <c r="AW54" s="14" t="e">
        <f t="shared" ca="1" si="19"/>
        <v>#N/A</v>
      </c>
      <c r="AX54" s="14" t="e">
        <f t="shared" ca="1" si="19"/>
        <v>#N/A</v>
      </c>
      <c r="AY54" s="14" t="e">
        <f t="shared" ca="1" si="19"/>
        <v>#N/A</v>
      </c>
      <c r="AZ54" s="14" t="e">
        <f t="shared" ca="1" si="19"/>
        <v>#N/A</v>
      </c>
      <c r="BA54" s="14" t="e">
        <f t="shared" ca="1" si="19"/>
        <v>#N/A</v>
      </c>
      <c r="BB54" s="14" t="e">
        <f t="shared" ca="1" si="19"/>
        <v>#N/A</v>
      </c>
      <c r="BC54" s="14" t="e">
        <f t="shared" ca="1" si="19"/>
        <v>#N/A</v>
      </c>
      <c r="BD54" s="14" t="e">
        <f t="shared" ca="1" si="19"/>
        <v>#N/A</v>
      </c>
      <c r="BE54" s="14" t="e">
        <f t="shared" ca="1" si="19"/>
        <v>#N/A</v>
      </c>
      <c r="BF54" s="14" t="e">
        <f t="shared" ca="1" si="19"/>
        <v>#N/A</v>
      </c>
      <c r="BG54" s="14" t="e">
        <f t="shared" ca="1" si="19"/>
        <v>#N/A</v>
      </c>
      <c r="BH54" s="14" t="e">
        <f t="shared" ca="1" si="19"/>
        <v>#N/A</v>
      </c>
      <c r="BI54" s="14" t="e">
        <f t="shared" ca="1" si="19"/>
        <v>#N/A</v>
      </c>
      <c r="BJ54" s="14" t="e">
        <f t="shared" ca="1" si="19"/>
        <v>#N/A</v>
      </c>
      <c r="BK54" s="14" t="e">
        <f t="shared" ca="1" si="19"/>
        <v>#N/A</v>
      </c>
      <c r="BL54" s="14" t="e">
        <f t="shared" ca="1" si="19"/>
        <v>#N/A</v>
      </c>
      <c r="BM54" s="14" t="e">
        <f t="shared" ca="1" si="19"/>
        <v>#N/A</v>
      </c>
      <c r="BN54" s="14" t="e">
        <f t="shared" ca="1" si="19"/>
        <v>#N/A</v>
      </c>
      <c r="BO54" s="14" t="e">
        <f t="shared" ca="1" si="19"/>
        <v>#N/A</v>
      </c>
      <c r="BP54" s="14" t="e">
        <f t="shared" ca="1" si="19"/>
        <v>#N/A</v>
      </c>
      <c r="BQ54" s="14" t="e">
        <f t="shared" ca="1" si="19"/>
        <v>#N/A</v>
      </c>
      <c r="BR54" s="14" t="e">
        <f t="shared" ca="1" si="19"/>
        <v>#N/A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>
        <f t="shared" si="15"/>
        <v>0</v>
      </c>
      <c r="F55" s="14" t="e">
        <f t="shared" ca="1" si="16"/>
        <v>#N/A</v>
      </c>
      <c r="G55" s="14" t="e">
        <f t="shared" ca="1" si="19"/>
        <v>#N/A</v>
      </c>
      <c r="H55" s="14" t="e">
        <f t="shared" ca="1" si="19"/>
        <v>#N/A</v>
      </c>
      <c r="I55" s="14" t="e">
        <f t="shared" ca="1" si="19"/>
        <v>#N/A</v>
      </c>
      <c r="J55" s="14" t="e">
        <f t="shared" ca="1" si="19"/>
        <v>#N/A</v>
      </c>
      <c r="K55" s="14" t="e">
        <f t="shared" ca="1" si="19"/>
        <v>#N/A</v>
      </c>
      <c r="L55" s="14" t="e">
        <f t="shared" ca="1" si="19"/>
        <v>#N/A</v>
      </c>
      <c r="M55" s="14" t="e">
        <f t="shared" ca="1" si="19"/>
        <v>#N/A</v>
      </c>
      <c r="N55" s="14" t="e">
        <f t="shared" ca="1" si="19"/>
        <v>#N/A</v>
      </c>
      <c r="O55" s="14" t="e">
        <f t="shared" ca="1" si="19"/>
        <v>#N/A</v>
      </c>
      <c r="P55" s="14" t="e">
        <f t="shared" ca="1" si="19"/>
        <v>#N/A</v>
      </c>
      <c r="Q55" s="14" t="e">
        <f t="shared" ca="1" si="19"/>
        <v>#N/A</v>
      </c>
      <c r="R55" s="14" t="e">
        <f t="shared" ca="1" si="19"/>
        <v>#N/A</v>
      </c>
      <c r="S55" s="14" t="e">
        <f t="shared" ca="1" si="19"/>
        <v>#N/A</v>
      </c>
      <c r="T55" s="14" t="e">
        <f t="shared" ca="1" si="19"/>
        <v>#N/A</v>
      </c>
      <c r="U55" s="14" t="e">
        <f t="shared" ca="1" si="19"/>
        <v>#N/A</v>
      </c>
      <c r="V55" s="14" t="e">
        <f t="shared" ca="1" si="19"/>
        <v>#N/A</v>
      </c>
      <c r="W55" s="14" t="e">
        <f t="shared" ca="1" si="19"/>
        <v>#N/A</v>
      </c>
      <c r="X55" s="14" t="e">
        <f t="shared" ca="1" si="19"/>
        <v>#N/A</v>
      </c>
      <c r="Y55" s="14" t="e">
        <f t="shared" ca="1" si="19"/>
        <v>#N/A</v>
      </c>
      <c r="Z55" s="14" t="e">
        <f t="shared" ca="1" si="19"/>
        <v>#N/A</v>
      </c>
      <c r="AA55" s="14" t="e">
        <f t="shared" ca="1" si="19"/>
        <v>#N/A</v>
      </c>
      <c r="AB55" s="14" t="e">
        <f t="shared" ca="1" si="19"/>
        <v>#N/A</v>
      </c>
      <c r="AC55" s="14" t="e">
        <f t="shared" ca="1" si="19"/>
        <v>#N/A</v>
      </c>
      <c r="AD55" s="14" t="e">
        <f t="shared" ca="1" si="19"/>
        <v>#N/A</v>
      </c>
      <c r="AE55" s="14" t="e">
        <f t="shared" ca="1" si="19"/>
        <v>#N/A</v>
      </c>
      <c r="AF55" s="14" t="e">
        <f t="shared" ca="1" si="19"/>
        <v>#N/A</v>
      </c>
      <c r="AG55" s="14" t="e">
        <f t="shared" ca="1" si="19"/>
        <v>#N/A</v>
      </c>
      <c r="AH55" s="14" t="e">
        <f t="shared" ca="1" si="19"/>
        <v>#N/A</v>
      </c>
      <c r="AI55" s="14" t="e">
        <f t="shared" ca="1" si="19"/>
        <v>#N/A</v>
      </c>
      <c r="AJ55" s="14" t="e">
        <f t="shared" ca="1" si="19"/>
        <v>#N/A</v>
      </c>
      <c r="AK55" s="14" t="e">
        <f t="shared" ca="1" si="19"/>
        <v>#N/A</v>
      </c>
      <c r="AL55" s="14" t="e">
        <f t="shared" ca="1" si="19"/>
        <v>#N/A</v>
      </c>
      <c r="AM55" s="14" t="e">
        <f t="shared" ca="1" si="19"/>
        <v>#N/A</v>
      </c>
      <c r="AN55" s="14" t="e">
        <f t="shared" ca="1" si="19"/>
        <v>#N/A</v>
      </c>
      <c r="AO55" s="14" t="e">
        <f t="shared" ca="1" si="19"/>
        <v>#N/A</v>
      </c>
      <c r="AP55" s="14" t="e">
        <f t="shared" ca="1" si="19"/>
        <v>#N/A</v>
      </c>
      <c r="AQ55" s="14" t="e">
        <f t="shared" ca="1" si="19"/>
        <v>#N/A</v>
      </c>
      <c r="AR55" s="14" t="e">
        <f t="shared" ca="1" si="19"/>
        <v>#N/A</v>
      </c>
      <c r="AS55" s="14" t="e">
        <f t="shared" ca="1" si="19"/>
        <v>#N/A</v>
      </c>
      <c r="AT55" s="14" t="e">
        <f t="shared" ca="1" si="19"/>
        <v>#N/A</v>
      </c>
      <c r="AU55" s="14" t="e">
        <f t="shared" ca="1" si="19"/>
        <v>#N/A</v>
      </c>
      <c r="AV55" s="14" t="e">
        <f t="shared" ca="1" si="19"/>
        <v>#N/A</v>
      </c>
      <c r="AW55" s="14" t="e">
        <f t="shared" ca="1" si="19"/>
        <v>#N/A</v>
      </c>
      <c r="AX55" s="14" t="e">
        <f t="shared" ca="1" si="19"/>
        <v>#N/A</v>
      </c>
      <c r="AY55" s="14" t="e">
        <f t="shared" ca="1" si="19"/>
        <v>#N/A</v>
      </c>
      <c r="AZ55" s="14" t="e">
        <f t="shared" ca="1" si="19"/>
        <v>#N/A</v>
      </c>
      <c r="BA55" s="14" t="e">
        <f t="shared" ca="1" si="19"/>
        <v>#N/A</v>
      </c>
      <c r="BB55" s="14" t="e">
        <f t="shared" ca="1" si="19"/>
        <v>#N/A</v>
      </c>
      <c r="BC55" s="14" t="e">
        <f t="shared" ca="1" si="19"/>
        <v>#N/A</v>
      </c>
      <c r="BD55" s="14" t="e">
        <f t="shared" ca="1" si="19"/>
        <v>#N/A</v>
      </c>
      <c r="BE55" s="14" t="e">
        <f t="shared" ca="1" si="19"/>
        <v>#N/A</v>
      </c>
      <c r="BF55" s="14" t="e">
        <f t="shared" ca="1" si="19"/>
        <v>#N/A</v>
      </c>
      <c r="BG55" s="14" t="e">
        <f t="shared" ca="1" si="19"/>
        <v>#N/A</v>
      </c>
      <c r="BH55" s="14" t="e">
        <f t="shared" ca="1" si="19"/>
        <v>#N/A</v>
      </c>
      <c r="BI55" s="14" t="e">
        <f t="shared" ca="1" si="19"/>
        <v>#N/A</v>
      </c>
      <c r="BJ55" s="14" t="e">
        <f t="shared" ca="1" si="19"/>
        <v>#N/A</v>
      </c>
      <c r="BK55" s="14" t="e">
        <f t="shared" ca="1" si="19"/>
        <v>#N/A</v>
      </c>
      <c r="BL55" s="14" t="e">
        <f t="shared" ca="1" si="19"/>
        <v>#N/A</v>
      </c>
      <c r="BM55" s="14" t="e">
        <f t="shared" ca="1" si="19"/>
        <v>#N/A</v>
      </c>
      <c r="BN55" s="14" t="e">
        <f t="shared" ca="1" si="19"/>
        <v>#N/A</v>
      </c>
      <c r="BO55" s="14" t="e">
        <f t="shared" ca="1" si="19"/>
        <v>#N/A</v>
      </c>
      <c r="BP55" s="14" t="e">
        <f t="shared" ca="1" si="19"/>
        <v>#N/A</v>
      </c>
      <c r="BQ55" s="14" t="e">
        <f t="shared" ca="1" si="19"/>
        <v>#N/A</v>
      </c>
      <c r="BR55" s="14" t="e">
        <f t="shared" ca="1" si="19"/>
        <v>#N/A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>
        <f t="shared" si="20"/>
        <v>0</v>
      </c>
      <c r="F56" s="14" t="e">
        <f t="shared" ref="F56:U65" ca="1" si="21">$A56*H.Ar + $B56*H.Se + $C56*H.Ge + $D56*H.Ga</f>
        <v>#N/A</v>
      </c>
      <c r="G56" s="14" t="e">
        <f t="shared" ca="1" si="21"/>
        <v>#N/A</v>
      </c>
      <c r="H56" s="14" t="e">
        <f t="shared" ca="1" si="21"/>
        <v>#N/A</v>
      </c>
      <c r="I56" s="14" t="e">
        <f t="shared" ca="1" si="21"/>
        <v>#N/A</v>
      </c>
      <c r="J56" s="14" t="e">
        <f t="shared" ca="1" si="21"/>
        <v>#N/A</v>
      </c>
      <c r="K56" s="14" t="e">
        <f t="shared" ca="1" si="21"/>
        <v>#N/A</v>
      </c>
      <c r="L56" s="14" t="e">
        <f t="shared" ca="1" si="21"/>
        <v>#N/A</v>
      </c>
      <c r="M56" s="14" t="e">
        <f t="shared" ca="1" si="21"/>
        <v>#N/A</v>
      </c>
      <c r="N56" s="14" t="e">
        <f t="shared" ca="1" si="21"/>
        <v>#N/A</v>
      </c>
      <c r="O56" s="14" t="e">
        <f t="shared" ca="1" si="21"/>
        <v>#N/A</v>
      </c>
      <c r="P56" s="14" t="e">
        <f t="shared" ca="1" si="21"/>
        <v>#N/A</v>
      </c>
      <c r="Q56" s="14" t="e">
        <f t="shared" ca="1" si="21"/>
        <v>#N/A</v>
      </c>
      <c r="R56" s="14" t="e">
        <f t="shared" ca="1" si="21"/>
        <v>#N/A</v>
      </c>
      <c r="S56" s="14" t="e">
        <f t="shared" ca="1" si="21"/>
        <v>#N/A</v>
      </c>
      <c r="T56" s="14" t="e">
        <f t="shared" ca="1" si="21"/>
        <v>#N/A</v>
      </c>
      <c r="U56" s="14" t="e">
        <f t="shared" ca="1" si="21"/>
        <v>#N/A</v>
      </c>
      <c r="V56" s="14" t="e">
        <f t="shared" ca="1" si="19"/>
        <v>#N/A</v>
      </c>
      <c r="W56" s="14" t="e">
        <f t="shared" ca="1" si="19"/>
        <v>#N/A</v>
      </c>
      <c r="X56" s="14" t="e">
        <f t="shared" ca="1" si="19"/>
        <v>#N/A</v>
      </c>
      <c r="Y56" s="14" t="e">
        <f t="shared" ca="1" si="19"/>
        <v>#N/A</v>
      </c>
      <c r="Z56" s="14" t="e">
        <f t="shared" ca="1" si="19"/>
        <v>#N/A</v>
      </c>
      <c r="AA56" s="14" t="e">
        <f t="shared" ca="1" si="19"/>
        <v>#N/A</v>
      </c>
      <c r="AB56" s="14" t="e">
        <f t="shared" ca="1" si="19"/>
        <v>#N/A</v>
      </c>
      <c r="AC56" s="14" t="e">
        <f t="shared" ca="1" si="19"/>
        <v>#N/A</v>
      </c>
      <c r="AD56" s="14" t="e">
        <f t="shared" ca="1" si="19"/>
        <v>#N/A</v>
      </c>
      <c r="AE56" s="14" t="e">
        <f t="shared" ca="1" si="19"/>
        <v>#N/A</v>
      </c>
      <c r="AF56" s="14" t="e">
        <f t="shared" ca="1" si="19"/>
        <v>#N/A</v>
      </c>
      <c r="AG56" s="14" t="e">
        <f t="shared" ca="1" si="19"/>
        <v>#N/A</v>
      </c>
      <c r="AH56" s="14" t="e">
        <f t="shared" ca="1" si="19"/>
        <v>#N/A</v>
      </c>
      <c r="AI56" s="14" t="e">
        <f t="shared" ca="1" si="19"/>
        <v>#N/A</v>
      </c>
      <c r="AJ56" s="14" t="e">
        <f t="shared" ca="1" si="19"/>
        <v>#N/A</v>
      </c>
      <c r="AK56" s="14" t="e">
        <f t="shared" ca="1" si="19"/>
        <v>#N/A</v>
      </c>
      <c r="AL56" s="14" t="e">
        <f t="shared" ca="1" si="19"/>
        <v>#N/A</v>
      </c>
      <c r="AM56" s="14" t="e">
        <f t="shared" ca="1" si="19"/>
        <v>#N/A</v>
      </c>
      <c r="AN56" s="14" t="e">
        <f t="shared" ca="1" si="19"/>
        <v>#N/A</v>
      </c>
      <c r="AO56" s="14" t="e">
        <f t="shared" ca="1" si="19"/>
        <v>#N/A</v>
      </c>
      <c r="AP56" s="14" t="e">
        <f t="shared" ca="1" si="19"/>
        <v>#N/A</v>
      </c>
      <c r="AQ56" s="14" t="e">
        <f t="shared" ca="1" si="19"/>
        <v>#N/A</v>
      </c>
      <c r="AR56" s="14" t="e">
        <f t="shared" ca="1" si="19"/>
        <v>#N/A</v>
      </c>
      <c r="AS56" s="14" t="e">
        <f t="shared" ca="1" si="19"/>
        <v>#N/A</v>
      </c>
      <c r="AT56" s="14" t="e">
        <f t="shared" ca="1" si="19"/>
        <v>#N/A</v>
      </c>
      <c r="AU56" s="14" t="e">
        <f t="shared" ca="1" si="19"/>
        <v>#N/A</v>
      </c>
      <c r="AV56" s="14" t="e">
        <f t="shared" ca="1" si="19"/>
        <v>#N/A</v>
      </c>
      <c r="AW56" s="14" t="e">
        <f t="shared" ca="1" si="19"/>
        <v>#N/A</v>
      </c>
      <c r="AX56" s="14" t="e">
        <f t="shared" ca="1" si="19"/>
        <v>#N/A</v>
      </c>
      <c r="AY56" s="14" t="e">
        <f t="shared" ca="1" si="19"/>
        <v>#N/A</v>
      </c>
      <c r="AZ56" s="14" t="e">
        <f t="shared" ca="1" si="19"/>
        <v>#N/A</v>
      </c>
      <c r="BA56" s="14" t="e">
        <f t="shared" ca="1" si="19"/>
        <v>#N/A</v>
      </c>
      <c r="BB56" s="14" t="e">
        <f t="shared" ca="1" si="19"/>
        <v>#N/A</v>
      </c>
      <c r="BC56" s="14" t="e">
        <f t="shared" ca="1" si="19"/>
        <v>#N/A</v>
      </c>
      <c r="BD56" s="14" t="e">
        <f t="shared" ca="1" si="19"/>
        <v>#N/A</v>
      </c>
      <c r="BE56" s="14" t="e">
        <f t="shared" ca="1" si="19"/>
        <v>#N/A</v>
      </c>
      <c r="BF56" s="14" t="e">
        <f t="shared" ca="1" si="19"/>
        <v>#N/A</v>
      </c>
      <c r="BG56" s="14" t="e">
        <f t="shared" ca="1" si="19"/>
        <v>#N/A</v>
      </c>
      <c r="BH56" s="14" t="e">
        <f t="shared" ca="1" si="19"/>
        <v>#N/A</v>
      </c>
      <c r="BI56" s="14" t="e">
        <f t="shared" ca="1" si="19"/>
        <v>#N/A</v>
      </c>
      <c r="BJ56" s="14" t="e">
        <f t="shared" ca="1" si="19"/>
        <v>#N/A</v>
      </c>
      <c r="BK56" s="14" t="e">
        <f t="shared" ca="1" si="19"/>
        <v>#N/A</v>
      </c>
      <c r="BL56" s="14" t="e">
        <f t="shared" ca="1" si="19"/>
        <v>#N/A</v>
      </c>
      <c r="BM56" s="14" t="e">
        <f t="shared" ca="1" si="19"/>
        <v>#N/A</v>
      </c>
      <c r="BN56" s="14" t="e">
        <f t="shared" ca="1" si="19"/>
        <v>#N/A</v>
      </c>
      <c r="BO56" s="14" t="e">
        <f t="shared" ca="1" si="19"/>
        <v>#N/A</v>
      </c>
      <c r="BP56" s="14" t="e">
        <f t="shared" ca="1" si="19"/>
        <v>#N/A</v>
      </c>
      <c r="BQ56" s="14" t="e">
        <f t="shared" ca="1" si="19"/>
        <v>#N/A</v>
      </c>
      <c r="BR56" s="14" t="e">
        <f t="shared" ca="1" si="19"/>
        <v>#N/A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>
        <f t="shared" si="20"/>
        <v>0</v>
      </c>
      <c r="F57" s="14" t="e">
        <f t="shared" ca="1" si="21"/>
        <v>#N/A</v>
      </c>
      <c r="G57" s="14" t="e">
        <f t="shared" ca="1" si="19"/>
        <v>#N/A</v>
      </c>
      <c r="H57" s="14" t="e">
        <f t="shared" ca="1" si="19"/>
        <v>#N/A</v>
      </c>
      <c r="I57" s="14" t="e">
        <f t="shared" ca="1" si="19"/>
        <v>#N/A</v>
      </c>
      <c r="J57" s="14" t="e">
        <f t="shared" ca="1" si="19"/>
        <v>#N/A</v>
      </c>
      <c r="K57" s="14" t="e">
        <f t="shared" ca="1" si="19"/>
        <v>#N/A</v>
      </c>
      <c r="L57" s="14" t="e">
        <f t="shared" ca="1" si="19"/>
        <v>#N/A</v>
      </c>
      <c r="M57" s="14" t="e">
        <f t="shared" ca="1" si="19"/>
        <v>#N/A</v>
      </c>
      <c r="N57" s="14" t="e">
        <f t="shared" ca="1" si="19"/>
        <v>#N/A</v>
      </c>
      <c r="O57" s="14" t="e">
        <f t="shared" ca="1" si="19"/>
        <v>#N/A</v>
      </c>
      <c r="P57" s="14" t="e">
        <f t="shared" ca="1" si="19"/>
        <v>#N/A</v>
      </c>
      <c r="Q57" s="14" t="e">
        <f t="shared" ca="1" si="19"/>
        <v>#N/A</v>
      </c>
      <c r="R57" s="14" t="e">
        <f t="shared" ca="1" si="19"/>
        <v>#N/A</v>
      </c>
      <c r="S57" s="14" t="e">
        <f t="shared" ca="1" si="19"/>
        <v>#N/A</v>
      </c>
      <c r="T57" s="14" t="e">
        <f t="shared" ca="1" si="19"/>
        <v>#N/A</v>
      </c>
      <c r="U57" s="14" t="e">
        <f t="shared" ca="1" si="19"/>
        <v>#N/A</v>
      </c>
      <c r="V57" s="14" t="e">
        <f t="shared" ca="1" si="19"/>
        <v>#N/A</v>
      </c>
      <c r="W57" s="14" t="e">
        <f t="shared" ca="1" si="19"/>
        <v>#N/A</v>
      </c>
      <c r="X57" s="14" t="e">
        <f t="shared" ca="1" si="19"/>
        <v>#N/A</v>
      </c>
      <c r="Y57" s="14" t="e">
        <f t="shared" ca="1" si="19"/>
        <v>#N/A</v>
      </c>
      <c r="Z57" s="14" t="e">
        <f t="shared" ca="1" si="19"/>
        <v>#N/A</v>
      </c>
      <c r="AA57" s="14" t="e">
        <f t="shared" ca="1" si="19"/>
        <v>#N/A</v>
      </c>
      <c r="AB57" s="14" t="e">
        <f t="shared" ca="1" si="19"/>
        <v>#N/A</v>
      </c>
      <c r="AC57" s="14" t="e">
        <f t="shared" ca="1" si="19"/>
        <v>#N/A</v>
      </c>
      <c r="AD57" s="14" t="e">
        <f t="shared" ca="1" si="19"/>
        <v>#N/A</v>
      </c>
      <c r="AE57" s="14" t="e">
        <f t="shared" ca="1" si="19"/>
        <v>#N/A</v>
      </c>
      <c r="AF57" s="14" t="e">
        <f t="shared" ca="1" si="19"/>
        <v>#N/A</v>
      </c>
      <c r="AG57" s="14" t="e">
        <f t="shared" ca="1" si="19"/>
        <v>#N/A</v>
      </c>
      <c r="AH57" s="14" t="e">
        <f t="shared" ca="1" si="19"/>
        <v>#N/A</v>
      </c>
      <c r="AI57" s="14" t="e">
        <f t="shared" ca="1" si="19"/>
        <v>#N/A</v>
      </c>
      <c r="AJ57" s="14" t="e">
        <f t="shared" ca="1" si="19"/>
        <v>#N/A</v>
      </c>
      <c r="AK57" s="14" t="e">
        <f t="shared" ca="1" si="19"/>
        <v>#N/A</v>
      </c>
      <c r="AL57" s="14" t="e">
        <f t="shared" ca="1" si="19"/>
        <v>#N/A</v>
      </c>
      <c r="AM57" s="14" t="e">
        <f t="shared" ca="1" si="19"/>
        <v>#N/A</v>
      </c>
      <c r="AN57" s="14" t="e">
        <f t="shared" ca="1" si="19"/>
        <v>#N/A</v>
      </c>
      <c r="AO57" s="14" t="e">
        <f t="shared" ca="1" si="19"/>
        <v>#N/A</v>
      </c>
      <c r="AP57" s="14" t="e">
        <f t="shared" ca="1" si="19"/>
        <v>#N/A</v>
      </c>
      <c r="AQ57" s="14" t="e">
        <f t="shared" ca="1" si="19"/>
        <v>#N/A</v>
      </c>
      <c r="AR57" s="14" t="e">
        <f t="shared" ca="1" si="19"/>
        <v>#N/A</v>
      </c>
      <c r="AS57" s="14" t="e">
        <f t="shared" ca="1" si="19"/>
        <v>#N/A</v>
      </c>
      <c r="AT57" s="14" t="e">
        <f t="shared" ca="1" si="19"/>
        <v>#N/A</v>
      </c>
      <c r="AU57" s="14" t="e">
        <f t="shared" ca="1" si="19"/>
        <v>#N/A</v>
      </c>
      <c r="AV57" s="14" t="e">
        <f t="shared" ca="1" si="19"/>
        <v>#N/A</v>
      </c>
      <c r="AW57" s="14" t="e">
        <f t="shared" ca="1" si="19"/>
        <v>#N/A</v>
      </c>
      <c r="AX57" s="14" t="e">
        <f t="shared" ca="1" si="19"/>
        <v>#N/A</v>
      </c>
      <c r="AY57" s="14" t="e">
        <f t="shared" ca="1" si="19"/>
        <v>#N/A</v>
      </c>
      <c r="AZ57" s="14" t="e">
        <f t="shared" ca="1" si="19"/>
        <v>#N/A</v>
      </c>
      <c r="BA57" s="14" t="e">
        <f t="shared" ca="1" si="19"/>
        <v>#N/A</v>
      </c>
      <c r="BB57" s="14" t="e">
        <f t="shared" ca="1" si="19"/>
        <v>#N/A</v>
      </c>
      <c r="BC57" s="14" t="e">
        <f t="shared" ca="1" si="19"/>
        <v>#N/A</v>
      </c>
      <c r="BD57" s="14" t="e">
        <f t="shared" ca="1" si="19"/>
        <v>#N/A</v>
      </c>
      <c r="BE57" s="14" t="e">
        <f t="shared" ca="1" si="19"/>
        <v>#N/A</v>
      </c>
      <c r="BF57" s="14" t="e">
        <f t="shared" ca="1" si="19"/>
        <v>#N/A</v>
      </c>
      <c r="BG57" s="14" t="e">
        <f t="shared" ca="1" si="19"/>
        <v>#N/A</v>
      </c>
      <c r="BH57" s="14" t="e">
        <f t="shared" ca="1" si="19"/>
        <v>#N/A</v>
      </c>
      <c r="BI57" s="14" t="e">
        <f t="shared" ca="1" si="19"/>
        <v>#N/A</v>
      </c>
      <c r="BJ57" s="14" t="e">
        <f t="shared" ca="1" si="19"/>
        <v>#N/A</v>
      </c>
      <c r="BK57" s="14" t="e">
        <f t="shared" ca="1" si="19"/>
        <v>#N/A</v>
      </c>
      <c r="BL57" s="14" t="e">
        <f t="shared" ca="1" si="19"/>
        <v>#N/A</v>
      </c>
      <c r="BM57" s="14" t="e">
        <f t="shared" ca="1" si="19"/>
        <v>#N/A</v>
      </c>
      <c r="BN57" s="14" t="e">
        <f t="shared" ca="1" si="19"/>
        <v>#N/A</v>
      </c>
      <c r="BO57" s="14" t="e">
        <f t="shared" ca="1" si="19"/>
        <v>#N/A</v>
      </c>
      <c r="BP57" s="14" t="e">
        <f t="shared" ca="1" si="19"/>
        <v>#N/A</v>
      </c>
      <c r="BQ57" s="14" t="e">
        <f t="shared" ca="1" si="19"/>
        <v>#N/A</v>
      </c>
      <c r="BR57" s="14" t="e">
        <f t="shared" ca="1" si="19"/>
        <v>#N/A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>
        <f t="shared" si="20"/>
        <v>0</v>
      </c>
      <c r="F58" s="14" t="e">
        <f t="shared" ca="1" si="21"/>
        <v>#N/A</v>
      </c>
      <c r="G58" s="14" t="e">
        <f t="shared" ca="1" si="19"/>
        <v>#N/A</v>
      </c>
      <c r="H58" s="14" t="e">
        <f t="shared" ca="1" si="19"/>
        <v>#N/A</v>
      </c>
      <c r="I58" s="14" t="e">
        <f t="shared" ca="1" si="19"/>
        <v>#N/A</v>
      </c>
      <c r="J58" s="14" t="e">
        <f t="shared" ca="1" si="19"/>
        <v>#N/A</v>
      </c>
      <c r="K58" s="14" t="e">
        <f t="shared" ca="1" si="19"/>
        <v>#N/A</v>
      </c>
      <c r="L58" s="14" t="e">
        <f t="shared" ca="1" si="19"/>
        <v>#N/A</v>
      </c>
      <c r="M58" s="14" t="e">
        <f t="shared" ca="1" si="19"/>
        <v>#N/A</v>
      </c>
      <c r="N58" s="14" t="e">
        <f t="shared" ca="1" si="19"/>
        <v>#N/A</v>
      </c>
      <c r="O58" s="14" t="e">
        <f t="shared" ca="1" si="19"/>
        <v>#N/A</v>
      </c>
      <c r="P58" s="14" t="e">
        <f t="shared" ca="1" si="19"/>
        <v>#N/A</v>
      </c>
      <c r="Q58" s="14" t="e">
        <f t="shared" ca="1" si="19"/>
        <v>#N/A</v>
      </c>
      <c r="R58" s="14" t="e">
        <f t="shared" ca="1" si="19"/>
        <v>#N/A</v>
      </c>
      <c r="S58" s="14" t="e">
        <f t="shared" ca="1" si="19"/>
        <v>#N/A</v>
      </c>
      <c r="T58" s="14" t="e">
        <f t="shared" ca="1" si="19"/>
        <v>#N/A</v>
      </c>
      <c r="U58" s="14" t="e">
        <f t="shared" ca="1" si="19"/>
        <v>#N/A</v>
      </c>
      <c r="V58" s="14" t="e">
        <f t="shared" ca="1" si="19"/>
        <v>#N/A</v>
      </c>
      <c r="W58" s="14" t="e">
        <f t="shared" ca="1" si="19"/>
        <v>#N/A</v>
      </c>
      <c r="X58" s="14" t="e">
        <f t="shared" ca="1" si="19"/>
        <v>#N/A</v>
      </c>
      <c r="Y58" s="14" t="e">
        <f t="shared" ca="1" si="19"/>
        <v>#N/A</v>
      </c>
      <c r="Z58" s="14" t="e">
        <f t="shared" ca="1" si="19"/>
        <v>#N/A</v>
      </c>
      <c r="AA58" s="14" t="e">
        <f t="shared" ca="1" si="19"/>
        <v>#N/A</v>
      </c>
      <c r="AB58" s="14" t="e">
        <f t="shared" ca="1" si="19"/>
        <v>#N/A</v>
      </c>
      <c r="AC58" s="14" t="e">
        <f t="shared" ca="1" si="19"/>
        <v>#N/A</v>
      </c>
      <c r="AD58" s="14" t="e">
        <f t="shared" ca="1" si="19"/>
        <v>#N/A</v>
      </c>
      <c r="AE58" s="14" t="e">
        <f t="shared" ca="1" si="19"/>
        <v>#N/A</v>
      </c>
      <c r="AF58" s="14" t="e">
        <f t="shared" ca="1" si="19"/>
        <v>#N/A</v>
      </c>
      <c r="AG58" s="14" t="e">
        <f t="shared" ca="1" si="19"/>
        <v>#N/A</v>
      </c>
      <c r="AH58" s="14" t="e">
        <f t="shared" ref="G58:BR62" ca="1" si="22">$A58*H.Ar + $B58*H.Se + $C58*H.Ge + $D58*H.Ga</f>
        <v>#N/A</v>
      </c>
      <c r="AI58" s="14" t="e">
        <f t="shared" ca="1" si="22"/>
        <v>#N/A</v>
      </c>
      <c r="AJ58" s="14" t="e">
        <f t="shared" ca="1" si="22"/>
        <v>#N/A</v>
      </c>
      <c r="AK58" s="14" t="e">
        <f t="shared" ca="1" si="22"/>
        <v>#N/A</v>
      </c>
      <c r="AL58" s="14" t="e">
        <f t="shared" ca="1" si="22"/>
        <v>#N/A</v>
      </c>
      <c r="AM58" s="14" t="e">
        <f t="shared" ca="1" si="22"/>
        <v>#N/A</v>
      </c>
      <c r="AN58" s="14" t="e">
        <f t="shared" ca="1" si="22"/>
        <v>#N/A</v>
      </c>
      <c r="AO58" s="14" t="e">
        <f t="shared" ca="1" si="22"/>
        <v>#N/A</v>
      </c>
      <c r="AP58" s="14" t="e">
        <f t="shared" ca="1" si="22"/>
        <v>#N/A</v>
      </c>
      <c r="AQ58" s="14" t="e">
        <f t="shared" ca="1" si="22"/>
        <v>#N/A</v>
      </c>
      <c r="AR58" s="14" t="e">
        <f t="shared" ca="1" si="22"/>
        <v>#N/A</v>
      </c>
      <c r="AS58" s="14" t="e">
        <f t="shared" ca="1" si="22"/>
        <v>#N/A</v>
      </c>
      <c r="AT58" s="14" t="e">
        <f t="shared" ca="1" si="22"/>
        <v>#N/A</v>
      </c>
      <c r="AU58" s="14" t="e">
        <f t="shared" ca="1" si="22"/>
        <v>#N/A</v>
      </c>
      <c r="AV58" s="14" t="e">
        <f t="shared" ca="1" si="22"/>
        <v>#N/A</v>
      </c>
      <c r="AW58" s="14" t="e">
        <f t="shared" ca="1" si="22"/>
        <v>#N/A</v>
      </c>
      <c r="AX58" s="14" t="e">
        <f t="shared" ca="1" si="22"/>
        <v>#N/A</v>
      </c>
      <c r="AY58" s="14" t="e">
        <f t="shared" ca="1" si="22"/>
        <v>#N/A</v>
      </c>
      <c r="AZ58" s="14" t="e">
        <f t="shared" ca="1" si="22"/>
        <v>#N/A</v>
      </c>
      <c r="BA58" s="14" t="e">
        <f t="shared" ca="1" si="22"/>
        <v>#N/A</v>
      </c>
      <c r="BB58" s="14" t="e">
        <f t="shared" ca="1" si="22"/>
        <v>#N/A</v>
      </c>
      <c r="BC58" s="14" t="e">
        <f t="shared" ca="1" si="22"/>
        <v>#N/A</v>
      </c>
      <c r="BD58" s="14" t="e">
        <f t="shared" ca="1" si="22"/>
        <v>#N/A</v>
      </c>
      <c r="BE58" s="14" t="e">
        <f t="shared" ca="1" si="22"/>
        <v>#N/A</v>
      </c>
      <c r="BF58" s="14" t="e">
        <f t="shared" ca="1" si="22"/>
        <v>#N/A</v>
      </c>
      <c r="BG58" s="14" t="e">
        <f t="shared" ca="1" si="22"/>
        <v>#N/A</v>
      </c>
      <c r="BH58" s="14" t="e">
        <f t="shared" ca="1" si="22"/>
        <v>#N/A</v>
      </c>
      <c r="BI58" s="14" t="e">
        <f t="shared" ca="1" si="22"/>
        <v>#N/A</v>
      </c>
      <c r="BJ58" s="14" t="e">
        <f t="shared" ca="1" si="22"/>
        <v>#N/A</v>
      </c>
      <c r="BK58" s="14" t="e">
        <f t="shared" ca="1" si="22"/>
        <v>#N/A</v>
      </c>
      <c r="BL58" s="14" t="e">
        <f t="shared" ca="1" si="22"/>
        <v>#N/A</v>
      </c>
      <c r="BM58" s="14" t="e">
        <f t="shared" ca="1" si="22"/>
        <v>#N/A</v>
      </c>
      <c r="BN58" s="14" t="e">
        <f t="shared" ca="1" si="22"/>
        <v>#N/A</v>
      </c>
      <c r="BO58" s="14" t="e">
        <f t="shared" ca="1" si="22"/>
        <v>#N/A</v>
      </c>
      <c r="BP58" s="14" t="e">
        <f t="shared" ca="1" si="22"/>
        <v>#N/A</v>
      </c>
      <c r="BQ58" s="14" t="e">
        <f t="shared" ca="1" si="22"/>
        <v>#N/A</v>
      </c>
      <c r="BR58" s="14" t="e">
        <f t="shared" ca="1" si="22"/>
        <v>#N/A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>
        <f t="shared" si="20"/>
        <v>0</v>
      </c>
      <c r="F59" s="14" t="e">
        <f t="shared" ca="1" si="21"/>
        <v>#N/A</v>
      </c>
      <c r="G59" s="14" t="e">
        <f t="shared" ca="1" si="22"/>
        <v>#N/A</v>
      </c>
      <c r="H59" s="14" t="e">
        <f t="shared" ca="1" si="22"/>
        <v>#N/A</v>
      </c>
      <c r="I59" s="14" t="e">
        <f t="shared" ca="1" si="22"/>
        <v>#N/A</v>
      </c>
      <c r="J59" s="14" t="e">
        <f t="shared" ca="1" si="22"/>
        <v>#N/A</v>
      </c>
      <c r="K59" s="14" t="e">
        <f t="shared" ca="1" si="22"/>
        <v>#N/A</v>
      </c>
      <c r="L59" s="14" t="e">
        <f t="shared" ca="1" si="22"/>
        <v>#N/A</v>
      </c>
      <c r="M59" s="14" t="e">
        <f t="shared" ca="1" si="22"/>
        <v>#N/A</v>
      </c>
      <c r="N59" s="14" t="e">
        <f t="shared" ca="1" si="22"/>
        <v>#N/A</v>
      </c>
      <c r="O59" s="14" t="e">
        <f t="shared" ca="1" si="22"/>
        <v>#N/A</v>
      </c>
      <c r="P59" s="14" t="e">
        <f t="shared" ca="1" si="22"/>
        <v>#N/A</v>
      </c>
      <c r="Q59" s="14" t="e">
        <f t="shared" ca="1" si="22"/>
        <v>#N/A</v>
      </c>
      <c r="R59" s="14" t="e">
        <f t="shared" ca="1" si="22"/>
        <v>#N/A</v>
      </c>
      <c r="S59" s="14" t="e">
        <f t="shared" ca="1" si="22"/>
        <v>#N/A</v>
      </c>
      <c r="T59" s="14" t="e">
        <f t="shared" ca="1" si="22"/>
        <v>#N/A</v>
      </c>
      <c r="U59" s="14" t="e">
        <f t="shared" ca="1" si="22"/>
        <v>#N/A</v>
      </c>
      <c r="V59" s="14" t="e">
        <f t="shared" ca="1" si="22"/>
        <v>#N/A</v>
      </c>
      <c r="W59" s="14" t="e">
        <f t="shared" ca="1" si="22"/>
        <v>#N/A</v>
      </c>
      <c r="X59" s="14" t="e">
        <f t="shared" ca="1" si="22"/>
        <v>#N/A</v>
      </c>
      <c r="Y59" s="14" t="e">
        <f t="shared" ca="1" si="22"/>
        <v>#N/A</v>
      </c>
      <c r="Z59" s="14" t="e">
        <f t="shared" ca="1" si="22"/>
        <v>#N/A</v>
      </c>
      <c r="AA59" s="14" t="e">
        <f t="shared" ca="1" si="22"/>
        <v>#N/A</v>
      </c>
      <c r="AB59" s="14" t="e">
        <f t="shared" ca="1" si="22"/>
        <v>#N/A</v>
      </c>
      <c r="AC59" s="14" t="e">
        <f t="shared" ca="1" si="22"/>
        <v>#N/A</v>
      </c>
      <c r="AD59" s="14" t="e">
        <f t="shared" ca="1" si="22"/>
        <v>#N/A</v>
      </c>
      <c r="AE59" s="14" t="e">
        <f t="shared" ca="1" si="22"/>
        <v>#N/A</v>
      </c>
      <c r="AF59" s="14" t="e">
        <f t="shared" ca="1" si="22"/>
        <v>#N/A</v>
      </c>
      <c r="AG59" s="14" t="e">
        <f t="shared" ca="1" si="22"/>
        <v>#N/A</v>
      </c>
      <c r="AH59" s="14" t="e">
        <f t="shared" ca="1" si="22"/>
        <v>#N/A</v>
      </c>
      <c r="AI59" s="14" t="e">
        <f t="shared" ca="1" si="22"/>
        <v>#N/A</v>
      </c>
      <c r="AJ59" s="14" t="e">
        <f t="shared" ca="1" si="22"/>
        <v>#N/A</v>
      </c>
      <c r="AK59" s="14" t="e">
        <f t="shared" ca="1" si="22"/>
        <v>#N/A</v>
      </c>
      <c r="AL59" s="14" t="e">
        <f t="shared" ca="1" si="22"/>
        <v>#N/A</v>
      </c>
      <c r="AM59" s="14" t="e">
        <f t="shared" ca="1" si="22"/>
        <v>#N/A</v>
      </c>
      <c r="AN59" s="14" t="e">
        <f t="shared" ca="1" si="22"/>
        <v>#N/A</v>
      </c>
      <c r="AO59" s="14" t="e">
        <f t="shared" ca="1" si="22"/>
        <v>#N/A</v>
      </c>
      <c r="AP59" s="14" t="e">
        <f t="shared" ca="1" si="22"/>
        <v>#N/A</v>
      </c>
      <c r="AQ59" s="14" t="e">
        <f t="shared" ca="1" si="22"/>
        <v>#N/A</v>
      </c>
      <c r="AR59" s="14" t="e">
        <f t="shared" ca="1" si="22"/>
        <v>#N/A</v>
      </c>
      <c r="AS59" s="14" t="e">
        <f t="shared" ca="1" si="22"/>
        <v>#N/A</v>
      </c>
      <c r="AT59" s="14" t="e">
        <f t="shared" ca="1" si="22"/>
        <v>#N/A</v>
      </c>
      <c r="AU59" s="14" t="e">
        <f t="shared" ca="1" si="22"/>
        <v>#N/A</v>
      </c>
      <c r="AV59" s="14" t="e">
        <f t="shared" ca="1" si="22"/>
        <v>#N/A</v>
      </c>
      <c r="AW59" s="14" t="e">
        <f t="shared" ca="1" si="22"/>
        <v>#N/A</v>
      </c>
      <c r="AX59" s="14" t="e">
        <f t="shared" ca="1" si="22"/>
        <v>#N/A</v>
      </c>
      <c r="AY59" s="14" t="e">
        <f t="shared" ca="1" si="22"/>
        <v>#N/A</v>
      </c>
      <c r="AZ59" s="14" t="e">
        <f t="shared" ca="1" si="22"/>
        <v>#N/A</v>
      </c>
      <c r="BA59" s="14" t="e">
        <f t="shared" ca="1" si="22"/>
        <v>#N/A</v>
      </c>
      <c r="BB59" s="14" t="e">
        <f t="shared" ca="1" si="22"/>
        <v>#N/A</v>
      </c>
      <c r="BC59" s="14" t="e">
        <f t="shared" ca="1" si="22"/>
        <v>#N/A</v>
      </c>
      <c r="BD59" s="14" t="e">
        <f t="shared" ca="1" si="22"/>
        <v>#N/A</v>
      </c>
      <c r="BE59" s="14" t="e">
        <f t="shared" ca="1" si="22"/>
        <v>#N/A</v>
      </c>
      <c r="BF59" s="14" t="e">
        <f t="shared" ca="1" si="22"/>
        <v>#N/A</v>
      </c>
      <c r="BG59" s="14" t="e">
        <f t="shared" ca="1" si="22"/>
        <v>#N/A</v>
      </c>
      <c r="BH59" s="14" t="e">
        <f t="shared" ca="1" si="22"/>
        <v>#N/A</v>
      </c>
      <c r="BI59" s="14" t="e">
        <f t="shared" ca="1" si="22"/>
        <v>#N/A</v>
      </c>
      <c r="BJ59" s="14" t="e">
        <f t="shared" ca="1" si="22"/>
        <v>#N/A</v>
      </c>
      <c r="BK59" s="14" t="e">
        <f t="shared" ca="1" si="22"/>
        <v>#N/A</v>
      </c>
      <c r="BL59" s="14" t="e">
        <f t="shared" ca="1" si="22"/>
        <v>#N/A</v>
      </c>
      <c r="BM59" s="14" t="e">
        <f t="shared" ca="1" si="22"/>
        <v>#N/A</v>
      </c>
      <c r="BN59" s="14" t="e">
        <f t="shared" ca="1" si="22"/>
        <v>#N/A</v>
      </c>
      <c r="BO59" s="14" t="e">
        <f t="shared" ca="1" si="22"/>
        <v>#N/A</v>
      </c>
      <c r="BP59" s="14" t="e">
        <f t="shared" ca="1" si="22"/>
        <v>#N/A</v>
      </c>
      <c r="BQ59" s="14" t="e">
        <f t="shared" ca="1" si="22"/>
        <v>#N/A</v>
      </c>
      <c r="BR59" s="14" t="e">
        <f t="shared" ca="1" si="22"/>
        <v>#N/A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>
        <f t="shared" si="20"/>
        <v>0</v>
      </c>
      <c r="F60" s="14" t="e">
        <f t="shared" ca="1" si="21"/>
        <v>#N/A</v>
      </c>
      <c r="G60" s="14" t="e">
        <f t="shared" ca="1" si="22"/>
        <v>#N/A</v>
      </c>
      <c r="H60" s="14" t="e">
        <f t="shared" ca="1" si="22"/>
        <v>#N/A</v>
      </c>
      <c r="I60" s="14" t="e">
        <f t="shared" ca="1" si="22"/>
        <v>#N/A</v>
      </c>
      <c r="J60" s="14" t="e">
        <f t="shared" ca="1" si="22"/>
        <v>#N/A</v>
      </c>
      <c r="K60" s="14" t="e">
        <f t="shared" ca="1" si="22"/>
        <v>#N/A</v>
      </c>
      <c r="L60" s="14" t="e">
        <f t="shared" ca="1" si="22"/>
        <v>#N/A</v>
      </c>
      <c r="M60" s="14" t="e">
        <f t="shared" ca="1" si="22"/>
        <v>#N/A</v>
      </c>
      <c r="N60" s="14" t="e">
        <f t="shared" ca="1" si="22"/>
        <v>#N/A</v>
      </c>
      <c r="O60" s="14" t="e">
        <f t="shared" ca="1" si="22"/>
        <v>#N/A</v>
      </c>
      <c r="P60" s="14" t="e">
        <f t="shared" ca="1" si="22"/>
        <v>#N/A</v>
      </c>
      <c r="Q60" s="14" t="e">
        <f t="shared" ca="1" si="22"/>
        <v>#N/A</v>
      </c>
      <c r="R60" s="14" t="e">
        <f t="shared" ca="1" si="22"/>
        <v>#N/A</v>
      </c>
      <c r="S60" s="14" t="e">
        <f t="shared" ca="1" si="22"/>
        <v>#N/A</v>
      </c>
      <c r="T60" s="14" t="e">
        <f t="shared" ca="1" si="22"/>
        <v>#N/A</v>
      </c>
      <c r="U60" s="14" t="e">
        <f t="shared" ca="1" si="22"/>
        <v>#N/A</v>
      </c>
      <c r="V60" s="14" t="e">
        <f t="shared" ca="1" si="22"/>
        <v>#N/A</v>
      </c>
      <c r="W60" s="14" t="e">
        <f t="shared" ca="1" si="22"/>
        <v>#N/A</v>
      </c>
      <c r="X60" s="14" t="e">
        <f t="shared" ca="1" si="22"/>
        <v>#N/A</v>
      </c>
      <c r="Y60" s="14" t="e">
        <f t="shared" ca="1" si="22"/>
        <v>#N/A</v>
      </c>
      <c r="Z60" s="14" t="e">
        <f t="shared" ca="1" si="22"/>
        <v>#N/A</v>
      </c>
      <c r="AA60" s="14" t="e">
        <f t="shared" ca="1" si="22"/>
        <v>#N/A</v>
      </c>
      <c r="AB60" s="14" t="e">
        <f t="shared" ca="1" si="22"/>
        <v>#N/A</v>
      </c>
      <c r="AC60" s="14" t="e">
        <f t="shared" ca="1" si="22"/>
        <v>#N/A</v>
      </c>
      <c r="AD60" s="14" t="e">
        <f t="shared" ca="1" si="22"/>
        <v>#N/A</v>
      </c>
      <c r="AE60" s="14" t="e">
        <f t="shared" ca="1" si="22"/>
        <v>#N/A</v>
      </c>
      <c r="AF60" s="14" t="e">
        <f t="shared" ca="1" si="22"/>
        <v>#N/A</v>
      </c>
      <c r="AG60" s="14" t="e">
        <f t="shared" ca="1" si="22"/>
        <v>#N/A</v>
      </c>
      <c r="AH60" s="14" t="e">
        <f t="shared" ca="1" si="22"/>
        <v>#N/A</v>
      </c>
      <c r="AI60" s="14" t="e">
        <f t="shared" ca="1" si="22"/>
        <v>#N/A</v>
      </c>
      <c r="AJ60" s="14" t="e">
        <f t="shared" ca="1" si="22"/>
        <v>#N/A</v>
      </c>
      <c r="AK60" s="14" t="e">
        <f t="shared" ca="1" si="22"/>
        <v>#N/A</v>
      </c>
      <c r="AL60" s="14" t="e">
        <f t="shared" ca="1" si="22"/>
        <v>#N/A</v>
      </c>
      <c r="AM60" s="14" t="e">
        <f t="shared" ca="1" si="22"/>
        <v>#N/A</v>
      </c>
      <c r="AN60" s="14" t="e">
        <f t="shared" ca="1" si="22"/>
        <v>#N/A</v>
      </c>
      <c r="AO60" s="14" t="e">
        <f t="shared" ca="1" si="22"/>
        <v>#N/A</v>
      </c>
      <c r="AP60" s="14" t="e">
        <f t="shared" ca="1" si="22"/>
        <v>#N/A</v>
      </c>
      <c r="AQ60" s="14" t="e">
        <f t="shared" ca="1" si="22"/>
        <v>#N/A</v>
      </c>
      <c r="AR60" s="14" t="e">
        <f t="shared" ca="1" si="22"/>
        <v>#N/A</v>
      </c>
      <c r="AS60" s="14" t="e">
        <f t="shared" ca="1" si="22"/>
        <v>#N/A</v>
      </c>
      <c r="AT60" s="14" t="e">
        <f t="shared" ca="1" si="22"/>
        <v>#N/A</v>
      </c>
      <c r="AU60" s="14" t="e">
        <f t="shared" ca="1" si="22"/>
        <v>#N/A</v>
      </c>
      <c r="AV60" s="14" t="e">
        <f t="shared" ca="1" si="22"/>
        <v>#N/A</v>
      </c>
      <c r="AW60" s="14" t="e">
        <f t="shared" ca="1" si="22"/>
        <v>#N/A</v>
      </c>
      <c r="AX60" s="14" t="e">
        <f t="shared" ca="1" si="22"/>
        <v>#N/A</v>
      </c>
      <c r="AY60" s="14" t="e">
        <f t="shared" ca="1" si="22"/>
        <v>#N/A</v>
      </c>
      <c r="AZ60" s="14" t="e">
        <f t="shared" ca="1" si="22"/>
        <v>#N/A</v>
      </c>
      <c r="BA60" s="14" t="e">
        <f t="shared" ca="1" si="22"/>
        <v>#N/A</v>
      </c>
      <c r="BB60" s="14" t="e">
        <f t="shared" ca="1" si="22"/>
        <v>#N/A</v>
      </c>
      <c r="BC60" s="14" t="e">
        <f t="shared" ca="1" si="22"/>
        <v>#N/A</v>
      </c>
      <c r="BD60" s="14" t="e">
        <f t="shared" ca="1" si="22"/>
        <v>#N/A</v>
      </c>
      <c r="BE60" s="14" t="e">
        <f t="shared" ca="1" si="22"/>
        <v>#N/A</v>
      </c>
      <c r="BF60" s="14" t="e">
        <f t="shared" ca="1" si="22"/>
        <v>#N/A</v>
      </c>
      <c r="BG60" s="14" t="e">
        <f t="shared" ca="1" si="22"/>
        <v>#N/A</v>
      </c>
      <c r="BH60" s="14" t="e">
        <f t="shared" ca="1" si="22"/>
        <v>#N/A</v>
      </c>
      <c r="BI60" s="14" t="e">
        <f t="shared" ca="1" si="22"/>
        <v>#N/A</v>
      </c>
      <c r="BJ60" s="14" t="e">
        <f t="shared" ca="1" si="22"/>
        <v>#N/A</v>
      </c>
      <c r="BK60" s="14" t="e">
        <f t="shared" ca="1" si="22"/>
        <v>#N/A</v>
      </c>
      <c r="BL60" s="14" t="e">
        <f t="shared" ca="1" si="22"/>
        <v>#N/A</v>
      </c>
      <c r="BM60" s="14" t="e">
        <f t="shared" ca="1" si="22"/>
        <v>#N/A</v>
      </c>
      <c r="BN60" s="14" t="e">
        <f t="shared" ca="1" si="22"/>
        <v>#N/A</v>
      </c>
      <c r="BO60" s="14" t="e">
        <f t="shared" ca="1" si="22"/>
        <v>#N/A</v>
      </c>
      <c r="BP60" s="14" t="e">
        <f t="shared" ca="1" si="22"/>
        <v>#N/A</v>
      </c>
      <c r="BQ60" s="14" t="e">
        <f t="shared" ca="1" si="22"/>
        <v>#N/A</v>
      </c>
      <c r="BR60" s="14" t="e">
        <f t="shared" ca="1" si="22"/>
        <v>#N/A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>
        <f t="shared" si="20"/>
        <v>0</v>
      </c>
      <c r="F61" s="14" t="e">
        <f t="shared" ca="1" si="21"/>
        <v>#N/A</v>
      </c>
      <c r="G61" s="14" t="e">
        <f t="shared" ca="1" si="22"/>
        <v>#N/A</v>
      </c>
      <c r="H61" s="14" t="e">
        <f t="shared" ca="1" si="22"/>
        <v>#N/A</v>
      </c>
      <c r="I61" s="14" t="e">
        <f t="shared" ca="1" si="22"/>
        <v>#N/A</v>
      </c>
      <c r="J61" s="14" t="e">
        <f t="shared" ca="1" si="22"/>
        <v>#N/A</v>
      </c>
      <c r="K61" s="14" t="e">
        <f t="shared" ca="1" si="22"/>
        <v>#N/A</v>
      </c>
      <c r="L61" s="14" t="e">
        <f t="shared" ca="1" si="22"/>
        <v>#N/A</v>
      </c>
      <c r="M61" s="14" t="e">
        <f t="shared" ca="1" si="22"/>
        <v>#N/A</v>
      </c>
      <c r="N61" s="14" t="e">
        <f t="shared" ca="1" si="22"/>
        <v>#N/A</v>
      </c>
      <c r="O61" s="14" t="e">
        <f t="shared" ca="1" si="22"/>
        <v>#N/A</v>
      </c>
      <c r="P61" s="14" t="e">
        <f t="shared" ca="1" si="22"/>
        <v>#N/A</v>
      </c>
      <c r="Q61" s="14" t="e">
        <f t="shared" ca="1" si="22"/>
        <v>#N/A</v>
      </c>
      <c r="R61" s="14" t="e">
        <f t="shared" ca="1" si="22"/>
        <v>#N/A</v>
      </c>
      <c r="S61" s="14" t="e">
        <f t="shared" ca="1" si="22"/>
        <v>#N/A</v>
      </c>
      <c r="T61" s="14" t="e">
        <f t="shared" ca="1" si="22"/>
        <v>#N/A</v>
      </c>
      <c r="U61" s="14" t="e">
        <f t="shared" ca="1" si="22"/>
        <v>#N/A</v>
      </c>
      <c r="V61" s="14" t="e">
        <f t="shared" ca="1" si="22"/>
        <v>#N/A</v>
      </c>
      <c r="W61" s="14" t="e">
        <f t="shared" ca="1" si="22"/>
        <v>#N/A</v>
      </c>
      <c r="X61" s="14" t="e">
        <f t="shared" ca="1" si="22"/>
        <v>#N/A</v>
      </c>
      <c r="Y61" s="14" t="e">
        <f t="shared" ca="1" si="22"/>
        <v>#N/A</v>
      </c>
      <c r="Z61" s="14" t="e">
        <f t="shared" ca="1" si="22"/>
        <v>#N/A</v>
      </c>
      <c r="AA61" s="14" t="e">
        <f t="shared" ca="1" si="22"/>
        <v>#N/A</v>
      </c>
      <c r="AB61" s="14" t="e">
        <f t="shared" ca="1" si="22"/>
        <v>#N/A</v>
      </c>
      <c r="AC61" s="14" t="e">
        <f t="shared" ca="1" si="22"/>
        <v>#N/A</v>
      </c>
      <c r="AD61" s="14" t="e">
        <f t="shared" ca="1" si="22"/>
        <v>#N/A</v>
      </c>
      <c r="AE61" s="14" t="e">
        <f t="shared" ca="1" si="22"/>
        <v>#N/A</v>
      </c>
      <c r="AF61" s="14" t="e">
        <f t="shared" ca="1" si="22"/>
        <v>#N/A</v>
      </c>
      <c r="AG61" s="14" t="e">
        <f t="shared" ca="1" si="22"/>
        <v>#N/A</v>
      </c>
      <c r="AH61" s="14" t="e">
        <f t="shared" ca="1" si="22"/>
        <v>#N/A</v>
      </c>
      <c r="AI61" s="14" t="e">
        <f t="shared" ca="1" si="22"/>
        <v>#N/A</v>
      </c>
      <c r="AJ61" s="14" t="e">
        <f t="shared" ca="1" si="22"/>
        <v>#N/A</v>
      </c>
      <c r="AK61" s="14" t="e">
        <f t="shared" ca="1" si="22"/>
        <v>#N/A</v>
      </c>
      <c r="AL61" s="14" t="e">
        <f t="shared" ca="1" si="22"/>
        <v>#N/A</v>
      </c>
      <c r="AM61" s="14" t="e">
        <f t="shared" ca="1" si="22"/>
        <v>#N/A</v>
      </c>
      <c r="AN61" s="14" t="e">
        <f t="shared" ca="1" si="22"/>
        <v>#N/A</v>
      </c>
      <c r="AO61" s="14" t="e">
        <f t="shared" ca="1" si="22"/>
        <v>#N/A</v>
      </c>
      <c r="AP61" s="14" t="e">
        <f t="shared" ca="1" si="22"/>
        <v>#N/A</v>
      </c>
      <c r="AQ61" s="14" t="e">
        <f t="shared" ca="1" si="22"/>
        <v>#N/A</v>
      </c>
      <c r="AR61" s="14" t="e">
        <f t="shared" ca="1" si="22"/>
        <v>#N/A</v>
      </c>
      <c r="AS61" s="14" t="e">
        <f t="shared" ca="1" si="22"/>
        <v>#N/A</v>
      </c>
      <c r="AT61" s="14" t="e">
        <f t="shared" ca="1" si="22"/>
        <v>#N/A</v>
      </c>
      <c r="AU61" s="14" t="e">
        <f t="shared" ca="1" si="22"/>
        <v>#N/A</v>
      </c>
      <c r="AV61" s="14" t="e">
        <f t="shared" ca="1" si="22"/>
        <v>#N/A</v>
      </c>
      <c r="AW61" s="14" t="e">
        <f t="shared" ca="1" si="22"/>
        <v>#N/A</v>
      </c>
      <c r="AX61" s="14" t="e">
        <f t="shared" ca="1" si="22"/>
        <v>#N/A</v>
      </c>
      <c r="AY61" s="14" t="e">
        <f t="shared" ca="1" si="22"/>
        <v>#N/A</v>
      </c>
      <c r="AZ61" s="14" t="e">
        <f t="shared" ca="1" si="22"/>
        <v>#N/A</v>
      </c>
      <c r="BA61" s="14" t="e">
        <f t="shared" ca="1" si="22"/>
        <v>#N/A</v>
      </c>
      <c r="BB61" s="14" t="e">
        <f t="shared" ca="1" si="22"/>
        <v>#N/A</v>
      </c>
      <c r="BC61" s="14" t="e">
        <f t="shared" ca="1" si="22"/>
        <v>#N/A</v>
      </c>
      <c r="BD61" s="14" t="e">
        <f t="shared" ca="1" si="22"/>
        <v>#N/A</v>
      </c>
      <c r="BE61" s="14" t="e">
        <f t="shared" ca="1" si="22"/>
        <v>#N/A</v>
      </c>
      <c r="BF61" s="14" t="e">
        <f t="shared" ca="1" si="22"/>
        <v>#N/A</v>
      </c>
      <c r="BG61" s="14" t="e">
        <f t="shared" ca="1" si="22"/>
        <v>#N/A</v>
      </c>
      <c r="BH61" s="14" t="e">
        <f t="shared" ca="1" si="22"/>
        <v>#N/A</v>
      </c>
      <c r="BI61" s="14" t="e">
        <f t="shared" ca="1" si="22"/>
        <v>#N/A</v>
      </c>
      <c r="BJ61" s="14" t="e">
        <f t="shared" ca="1" si="22"/>
        <v>#N/A</v>
      </c>
      <c r="BK61" s="14" t="e">
        <f t="shared" ca="1" si="22"/>
        <v>#N/A</v>
      </c>
      <c r="BL61" s="14" t="e">
        <f t="shared" ca="1" si="22"/>
        <v>#N/A</v>
      </c>
      <c r="BM61" s="14" t="e">
        <f t="shared" ca="1" si="22"/>
        <v>#N/A</v>
      </c>
      <c r="BN61" s="14" t="e">
        <f t="shared" ca="1" si="22"/>
        <v>#N/A</v>
      </c>
      <c r="BO61" s="14" t="e">
        <f t="shared" ca="1" si="22"/>
        <v>#N/A</v>
      </c>
      <c r="BP61" s="14" t="e">
        <f t="shared" ca="1" si="22"/>
        <v>#N/A</v>
      </c>
      <c r="BQ61" s="14" t="e">
        <f t="shared" ca="1" si="22"/>
        <v>#N/A</v>
      </c>
      <c r="BR61" s="14" t="e">
        <f t="shared" ca="1" si="22"/>
        <v>#N/A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 t="e">
        <f t="shared" ca="1" si="21"/>
        <v>#N/A</v>
      </c>
      <c r="G62" s="14" t="e">
        <f t="shared" ca="1" si="22"/>
        <v>#N/A</v>
      </c>
      <c r="H62" s="14" t="e">
        <f t="shared" ca="1" si="22"/>
        <v>#N/A</v>
      </c>
      <c r="I62" s="14" t="e">
        <f t="shared" ca="1" si="22"/>
        <v>#N/A</v>
      </c>
      <c r="J62" s="14" t="e">
        <f t="shared" ca="1" si="22"/>
        <v>#N/A</v>
      </c>
      <c r="K62" s="14" t="e">
        <f t="shared" ca="1" si="22"/>
        <v>#N/A</v>
      </c>
      <c r="L62" s="14" t="e">
        <f t="shared" ca="1" si="22"/>
        <v>#N/A</v>
      </c>
      <c r="M62" s="14" t="e">
        <f t="shared" ca="1" si="22"/>
        <v>#N/A</v>
      </c>
      <c r="N62" s="14" t="e">
        <f t="shared" ca="1" si="22"/>
        <v>#N/A</v>
      </c>
      <c r="O62" s="14" t="e">
        <f t="shared" ca="1" si="22"/>
        <v>#N/A</v>
      </c>
      <c r="P62" s="14" t="e">
        <f t="shared" ca="1" si="22"/>
        <v>#N/A</v>
      </c>
      <c r="Q62" s="14" t="e">
        <f t="shared" ca="1" si="22"/>
        <v>#N/A</v>
      </c>
      <c r="R62" s="14" t="e">
        <f t="shared" ca="1" si="22"/>
        <v>#N/A</v>
      </c>
      <c r="S62" s="14" t="e">
        <f t="shared" ca="1" si="22"/>
        <v>#N/A</v>
      </c>
      <c r="T62" s="14" t="e">
        <f t="shared" ca="1" si="22"/>
        <v>#N/A</v>
      </c>
      <c r="U62" s="14" t="e">
        <f t="shared" ca="1" si="22"/>
        <v>#N/A</v>
      </c>
      <c r="V62" s="14" t="e">
        <f t="shared" ca="1" si="22"/>
        <v>#N/A</v>
      </c>
      <c r="W62" s="14" t="e">
        <f t="shared" ca="1" si="22"/>
        <v>#N/A</v>
      </c>
      <c r="X62" s="14" t="e">
        <f t="shared" ca="1" si="22"/>
        <v>#N/A</v>
      </c>
      <c r="Y62" s="14" t="e">
        <f t="shared" ca="1" si="22"/>
        <v>#N/A</v>
      </c>
      <c r="Z62" s="14" t="e">
        <f t="shared" ca="1" si="22"/>
        <v>#N/A</v>
      </c>
      <c r="AA62" s="14" t="e">
        <f t="shared" ca="1" si="22"/>
        <v>#N/A</v>
      </c>
      <c r="AB62" s="14" t="e">
        <f t="shared" ca="1" si="22"/>
        <v>#N/A</v>
      </c>
      <c r="AC62" s="14" t="e">
        <f t="shared" ca="1" si="22"/>
        <v>#N/A</v>
      </c>
      <c r="AD62" s="14" t="e">
        <f t="shared" ca="1" si="22"/>
        <v>#N/A</v>
      </c>
      <c r="AE62" s="14" t="e">
        <f t="shared" ca="1" si="22"/>
        <v>#N/A</v>
      </c>
      <c r="AF62" s="14" t="e">
        <f t="shared" ca="1" si="22"/>
        <v>#N/A</v>
      </c>
      <c r="AG62" s="14" t="e">
        <f t="shared" ref="G62:BR66" ca="1" si="23">$A62*H.Ar + $B62*H.Se + $C62*H.Ge + $D62*H.Ga</f>
        <v>#N/A</v>
      </c>
      <c r="AH62" s="14" t="e">
        <f t="shared" ca="1" si="23"/>
        <v>#N/A</v>
      </c>
      <c r="AI62" s="14" t="e">
        <f t="shared" ca="1" si="23"/>
        <v>#N/A</v>
      </c>
      <c r="AJ62" s="14" t="e">
        <f t="shared" ca="1" si="23"/>
        <v>#N/A</v>
      </c>
      <c r="AK62" s="14" t="e">
        <f t="shared" ca="1" si="23"/>
        <v>#N/A</v>
      </c>
      <c r="AL62" s="14" t="e">
        <f t="shared" ca="1" si="23"/>
        <v>#N/A</v>
      </c>
      <c r="AM62" s="14" t="e">
        <f t="shared" ca="1" si="23"/>
        <v>#N/A</v>
      </c>
      <c r="AN62" s="14" t="e">
        <f t="shared" ca="1" si="23"/>
        <v>#N/A</v>
      </c>
      <c r="AO62" s="14" t="e">
        <f t="shared" ca="1" si="23"/>
        <v>#N/A</v>
      </c>
      <c r="AP62" s="14" t="e">
        <f t="shared" ca="1" si="23"/>
        <v>#N/A</v>
      </c>
      <c r="AQ62" s="14" t="e">
        <f t="shared" ca="1" si="23"/>
        <v>#N/A</v>
      </c>
      <c r="AR62" s="14" t="e">
        <f t="shared" ca="1" si="23"/>
        <v>#N/A</v>
      </c>
      <c r="AS62" s="14" t="e">
        <f t="shared" ca="1" si="23"/>
        <v>#N/A</v>
      </c>
      <c r="AT62" s="14" t="e">
        <f t="shared" ca="1" si="23"/>
        <v>#N/A</v>
      </c>
      <c r="AU62" s="14" t="e">
        <f t="shared" ca="1" si="23"/>
        <v>#N/A</v>
      </c>
      <c r="AV62" s="14" t="e">
        <f t="shared" ca="1" si="23"/>
        <v>#N/A</v>
      </c>
      <c r="AW62" s="14" t="e">
        <f t="shared" ca="1" si="23"/>
        <v>#N/A</v>
      </c>
      <c r="AX62" s="14" t="e">
        <f t="shared" ca="1" si="23"/>
        <v>#N/A</v>
      </c>
      <c r="AY62" s="14" t="e">
        <f t="shared" ca="1" si="23"/>
        <v>#N/A</v>
      </c>
      <c r="AZ62" s="14" t="e">
        <f t="shared" ca="1" si="23"/>
        <v>#N/A</v>
      </c>
      <c r="BA62" s="14" t="e">
        <f t="shared" ca="1" si="23"/>
        <v>#N/A</v>
      </c>
      <c r="BB62" s="14" t="e">
        <f t="shared" ca="1" si="23"/>
        <v>#N/A</v>
      </c>
      <c r="BC62" s="14" t="e">
        <f t="shared" ca="1" si="23"/>
        <v>#N/A</v>
      </c>
      <c r="BD62" s="14" t="e">
        <f t="shared" ca="1" si="23"/>
        <v>#N/A</v>
      </c>
      <c r="BE62" s="14" t="e">
        <f t="shared" ca="1" si="23"/>
        <v>#N/A</v>
      </c>
      <c r="BF62" s="14" t="e">
        <f t="shared" ca="1" si="23"/>
        <v>#N/A</v>
      </c>
      <c r="BG62" s="14" t="e">
        <f t="shared" ca="1" si="23"/>
        <v>#N/A</v>
      </c>
      <c r="BH62" s="14" t="e">
        <f t="shared" ca="1" si="23"/>
        <v>#N/A</v>
      </c>
      <c r="BI62" s="14" t="e">
        <f t="shared" ca="1" si="23"/>
        <v>#N/A</v>
      </c>
      <c r="BJ62" s="14" t="e">
        <f t="shared" ca="1" si="23"/>
        <v>#N/A</v>
      </c>
      <c r="BK62" s="14" t="e">
        <f t="shared" ca="1" si="23"/>
        <v>#N/A</v>
      </c>
      <c r="BL62" s="14" t="e">
        <f t="shared" ca="1" si="23"/>
        <v>#N/A</v>
      </c>
      <c r="BM62" s="14" t="e">
        <f t="shared" ca="1" si="23"/>
        <v>#N/A</v>
      </c>
      <c r="BN62" s="14" t="e">
        <f t="shared" ca="1" si="23"/>
        <v>#N/A</v>
      </c>
      <c r="BO62" s="14" t="e">
        <f t="shared" ca="1" si="23"/>
        <v>#N/A</v>
      </c>
      <c r="BP62" s="14" t="e">
        <f t="shared" ca="1" si="23"/>
        <v>#N/A</v>
      </c>
      <c r="BQ62" s="14" t="e">
        <f t="shared" ca="1" si="23"/>
        <v>#N/A</v>
      </c>
      <c r="BR62" s="14" t="e">
        <f t="shared" ca="1" si="23"/>
        <v>#N/A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 t="e">
        <f t="shared" ca="1" si="21"/>
        <v>#N/A</v>
      </c>
      <c r="G63" s="14" t="e">
        <f t="shared" ca="1" si="23"/>
        <v>#N/A</v>
      </c>
      <c r="H63" s="14" t="e">
        <f t="shared" ca="1" si="23"/>
        <v>#N/A</v>
      </c>
      <c r="I63" s="14" t="e">
        <f t="shared" ca="1" si="23"/>
        <v>#N/A</v>
      </c>
      <c r="J63" s="14" t="e">
        <f t="shared" ca="1" si="23"/>
        <v>#N/A</v>
      </c>
      <c r="K63" s="14" t="e">
        <f t="shared" ca="1" si="23"/>
        <v>#N/A</v>
      </c>
      <c r="L63" s="14" t="e">
        <f t="shared" ca="1" si="23"/>
        <v>#N/A</v>
      </c>
      <c r="M63" s="14" t="e">
        <f t="shared" ca="1" si="23"/>
        <v>#N/A</v>
      </c>
      <c r="N63" s="14" t="e">
        <f t="shared" ca="1" si="23"/>
        <v>#N/A</v>
      </c>
      <c r="O63" s="14" t="e">
        <f t="shared" ca="1" si="23"/>
        <v>#N/A</v>
      </c>
      <c r="P63" s="14" t="e">
        <f t="shared" ca="1" si="23"/>
        <v>#N/A</v>
      </c>
      <c r="Q63" s="14" t="e">
        <f t="shared" ca="1" si="23"/>
        <v>#N/A</v>
      </c>
      <c r="R63" s="14" t="e">
        <f t="shared" ca="1" si="23"/>
        <v>#N/A</v>
      </c>
      <c r="S63" s="14" t="e">
        <f t="shared" ca="1" si="23"/>
        <v>#N/A</v>
      </c>
      <c r="T63" s="14" t="e">
        <f t="shared" ca="1" si="23"/>
        <v>#N/A</v>
      </c>
      <c r="U63" s="14" t="e">
        <f t="shared" ca="1" si="23"/>
        <v>#N/A</v>
      </c>
      <c r="V63" s="14" t="e">
        <f t="shared" ca="1" si="23"/>
        <v>#N/A</v>
      </c>
      <c r="W63" s="14" t="e">
        <f t="shared" ca="1" si="23"/>
        <v>#N/A</v>
      </c>
      <c r="X63" s="14" t="e">
        <f t="shared" ca="1" si="23"/>
        <v>#N/A</v>
      </c>
      <c r="Y63" s="14" t="e">
        <f t="shared" ca="1" si="23"/>
        <v>#N/A</v>
      </c>
      <c r="Z63" s="14" t="e">
        <f t="shared" ca="1" si="23"/>
        <v>#N/A</v>
      </c>
      <c r="AA63" s="14" t="e">
        <f t="shared" ca="1" si="23"/>
        <v>#N/A</v>
      </c>
      <c r="AB63" s="14" t="e">
        <f t="shared" ca="1" si="23"/>
        <v>#N/A</v>
      </c>
      <c r="AC63" s="14" t="e">
        <f t="shared" ca="1" si="23"/>
        <v>#N/A</v>
      </c>
      <c r="AD63" s="14" t="e">
        <f t="shared" ca="1" si="23"/>
        <v>#N/A</v>
      </c>
      <c r="AE63" s="14" t="e">
        <f t="shared" ca="1" si="23"/>
        <v>#N/A</v>
      </c>
      <c r="AF63" s="14" t="e">
        <f t="shared" ca="1" si="23"/>
        <v>#N/A</v>
      </c>
      <c r="AG63" s="14" t="e">
        <f t="shared" ca="1" si="23"/>
        <v>#N/A</v>
      </c>
      <c r="AH63" s="14" t="e">
        <f t="shared" ca="1" si="23"/>
        <v>#N/A</v>
      </c>
      <c r="AI63" s="14" t="e">
        <f t="shared" ca="1" si="23"/>
        <v>#N/A</v>
      </c>
      <c r="AJ63" s="14" t="e">
        <f t="shared" ca="1" si="23"/>
        <v>#N/A</v>
      </c>
      <c r="AK63" s="14" t="e">
        <f t="shared" ca="1" si="23"/>
        <v>#N/A</v>
      </c>
      <c r="AL63" s="14" t="e">
        <f t="shared" ca="1" si="23"/>
        <v>#N/A</v>
      </c>
      <c r="AM63" s="14" t="e">
        <f t="shared" ca="1" si="23"/>
        <v>#N/A</v>
      </c>
      <c r="AN63" s="14" t="e">
        <f t="shared" ca="1" si="23"/>
        <v>#N/A</v>
      </c>
      <c r="AO63" s="14" t="e">
        <f t="shared" ca="1" si="23"/>
        <v>#N/A</v>
      </c>
      <c r="AP63" s="14" t="e">
        <f t="shared" ca="1" si="23"/>
        <v>#N/A</v>
      </c>
      <c r="AQ63" s="14" t="e">
        <f t="shared" ca="1" si="23"/>
        <v>#N/A</v>
      </c>
      <c r="AR63" s="14" t="e">
        <f t="shared" ca="1" si="23"/>
        <v>#N/A</v>
      </c>
      <c r="AS63" s="14" t="e">
        <f t="shared" ca="1" si="23"/>
        <v>#N/A</v>
      </c>
      <c r="AT63" s="14" t="e">
        <f t="shared" ca="1" si="23"/>
        <v>#N/A</v>
      </c>
      <c r="AU63" s="14" t="e">
        <f t="shared" ca="1" si="23"/>
        <v>#N/A</v>
      </c>
      <c r="AV63" s="14" t="e">
        <f t="shared" ca="1" si="23"/>
        <v>#N/A</v>
      </c>
      <c r="AW63" s="14" t="e">
        <f t="shared" ca="1" si="23"/>
        <v>#N/A</v>
      </c>
      <c r="AX63" s="14" t="e">
        <f t="shared" ca="1" si="23"/>
        <v>#N/A</v>
      </c>
      <c r="AY63" s="14" t="e">
        <f t="shared" ca="1" si="23"/>
        <v>#N/A</v>
      </c>
      <c r="AZ63" s="14" t="e">
        <f t="shared" ca="1" si="23"/>
        <v>#N/A</v>
      </c>
      <c r="BA63" s="14" t="e">
        <f t="shared" ca="1" si="23"/>
        <v>#N/A</v>
      </c>
      <c r="BB63" s="14" t="e">
        <f t="shared" ca="1" si="23"/>
        <v>#N/A</v>
      </c>
      <c r="BC63" s="14" t="e">
        <f t="shared" ca="1" si="23"/>
        <v>#N/A</v>
      </c>
      <c r="BD63" s="14" t="e">
        <f t="shared" ca="1" si="23"/>
        <v>#N/A</v>
      </c>
      <c r="BE63" s="14" t="e">
        <f t="shared" ca="1" si="23"/>
        <v>#N/A</v>
      </c>
      <c r="BF63" s="14" t="e">
        <f t="shared" ca="1" si="23"/>
        <v>#N/A</v>
      </c>
      <c r="BG63" s="14" t="e">
        <f t="shared" ca="1" si="23"/>
        <v>#N/A</v>
      </c>
      <c r="BH63" s="14" t="e">
        <f t="shared" ca="1" si="23"/>
        <v>#N/A</v>
      </c>
      <c r="BI63" s="14" t="e">
        <f t="shared" ca="1" si="23"/>
        <v>#N/A</v>
      </c>
      <c r="BJ63" s="14" t="e">
        <f t="shared" ca="1" si="23"/>
        <v>#N/A</v>
      </c>
      <c r="BK63" s="14" t="e">
        <f t="shared" ca="1" si="23"/>
        <v>#N/A</v>
      </c>
      <c r="BL63" s="14" t="e">
        <f t="shared" ca="1" si="23"/>
        <v>#N/A</v>
      </c>
      <c r="BM63" s="14" t="e">
        <f t="shared" ca="1" si="23"/>
        <v>#N/A</v>
      </c>
      <c r="BN63" s="14" t="e">
        <f t="shared" ca="1" si="23"/>
        <v>#N/A</v>
      </c>
      <c r="BO63" s="14" t="e">
        <f t="shared" ca="1" si="23"/>
        <v>#N/A</v>
      </c>
      <c r="BP63" s="14" t="e">
        <f t="shared" ca="1" si="23"/>
        <v>#N/A</v>
      </c>
      <c r="BQ63" s="14" t="e">
        <f t="shared" ca="1" si="23"/>
        <v>#N/A</v>
      </c>
      <c r="BR63" s="14" t="e">
        <f t="shared" ca="1" si="23"/>
        <v>#N/A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 t="e">
        <f t="shared" ca="1" si="21"/>
        <v>#N/A</v>
      </c>
      <c r="G64" s="14" t="e">
        <f t="shared" ca="1" si="23"/>
        <v>#N/A</v>
      </c>
      <c r="H64" s="14" t="e">
        <f t="shared" ca="1" si="23"/>
        <v>#N/A</v>
      </c>
      <c r="I64" s="14" t="e">
        <f t="shared" ca="1" si="23"/>
        <v>#N/A</v>
      </c>
      <c r="J64" s="14" t="e">
        <f t="shared" ca="1" si="23"/>
        <v>#N/A</v>
      </c>
      <c r="K64" s="14" t="e">
        <f t="shared" ca="1" si="23"/>
        <v>#N/A</v>
      </c>
      <c r="L64" s="14" t="e">
        <f t="shared" ca="1" si="23"/>
        <v>#N/A</v>
      </c>
      <c r="M64" s="14" t="e">
        <f t="shared" ca="1" si="23"/>
        <v>#N/A</v>
      </c>
      <c r="N64" s="14" t="e">
        <f t="shared" ca="1" si="23"/>
        <v>#N/A</v>
      </c>
      <c r="O64" s="14" t="e">
        <f t="shared" ca="1" si="23"/>
        <v>#N/A</v>
      </c>
      <c r="P64" s="14" t="e">
        <f t="shared" ca="1" si="23"/>
        <v>#N/A</v>
      </c>
      <c r="Q64" s="14" t="e">
        <f t="shared" ca="1" si="23"/>
        <v>#N/A</v>
      </c>
      <c r="R64" s="14" t="e">
        <f t="shared" ca="1" si="23"/>
        <v>#N/A</v>
      </c>
      <c r="S64" s="14" t="e">
        <f t="shared" ca="1" si="23"/>
        <v>#N/A</v>
      </c>
      <c r="T64" s="14" t="e">
        <f t="shared" ca="1" si="23"/>
        <v>#N/A</v>
      </c>
      <c r="U64" s="14" t="e">
        <f t="shared" ca="1" si="23"/>
        <v>#N/A</v>
      </c>
      <c r="V64" s="14" t="e">
        <f t="shared" ca="1" si="23"/>
        <v>#N/A</v>
      </c>
      <c r="W64" s="14" t="e">
        <f t="shared" ca="1" si="23"/>
        <v>#N/A</v>
      </c>
      <c r="X64" s="14" t="e">
        <f t="shared" ca="1" si="23"/>
        <v>#N/A</v>
      </c>
      <c r="Y64" s="14" t="e">
        <f t="shared" ca="1" si="23"/>
        <v>#N/A</v>
      </c>
      <c r="Z64" s="14" t="e">
        <f t="shared" ca="1" si="23"/>
        <v>#N/A</v>
      </c>
      <c r="AA64" s="14" t="e">
        <f t="shared" ca="1" si="23"/>
        <v>#N/A</v>
      </c>
      <c r="AB64" s="14" t="e">
        <f t="shared" ca="1" si="23"/>
        <v>#N/A</v>
      </c>
      <c r="AC64" s="14" t="e">
        <f t="shared" ca="1" si="23"/>
        <v>#N/A</v>
      </c>
      <c r="AD64" s="14" t="e">
        <f t="shared" ca="1" si="23"/>
        <v>#N/A</v>
      </c>
      <c r="AE64" s="14" t="e">
        <f t="shared" ca="1" si="23"/>
        <v>#N/A</v>
      </c>
      <c r="AF64" s="14" t="e">
        <f t="shared" ca="1" si="23"/>
        <v>#N/A</v>
      </c>
      <c r="AG64" s="14" t="e">
        <f t="shared" ca="1" si="23"/>
        <v>#N/A</v>
      </c>
      <c r="AH64" s="14" t="e">
        <f t="shared" ca="1" si="23"/>
        <v>#N/A</v>
      </c>
      <c r="AI64" s="14" t="e">
        <f t="shared" ca="1" si="23"/>
        <v>#N/A</v>
      </c>
      <c r="AJ64" s="14" t="e">
        <f t="shared" ca="1" si="23"/>
        <v>#N/A</v>
      </c>
      <c r="AK64" s="14" t="e">
        <f t="shared" ca="1" si="23"/>
        <v>#N/A</v>
      </c>
      <c r="AL64" s="14" t="e">
        <f t="shared" ca="1" si="23"/>
        <v>#N/A</v>
      </c>
      <c r="AM64" s="14" t="e">
        <f t="shared" ca="1" si="23"/>
        <v>#N/A</v>
      </c>
      <c r="AN64" s="14" t="e">
        <f t="shared" ca="1" si="23"/>
        <v>#N/A</v>
      </c>
      <c r="AO64" s="14" t="e">
        <f t="shared" ca="1" si="23"/>
        <v>#N/A</v>
      </c>
      <c r="AP64" s="14" t="e">
        <f t="shared" ca="1" si="23"/>
        <v>#N/A</v>
      </c>
      <c r="AQ64" s="14" t="e">
        <f t="shared" ca="1" si="23"/>
        <v>#N/A</v>
      </c>
      <c r="AR64" s="14" t="e">
        <f t="shared" ca="1" si="23"/>
        <v>#N/A</v>
      </c>
      <c r="AS64" s="14" t="e">
        <f t="shared" ca="1" si="23"/>
        <v>#N/A</v>
      </c>
      <c r="AT64" s="14" t="e">
        <f t="shared" ca="1" si="23"/>
        <v>#N/A</v>
      </c>
      <c r="AU64" s="14" t="e">
        <f t="shared" ca="1" si="23"/>
        <v>#N/A</v>
      </c>
      <c r="AV64" s="14" t="e">
        <f t="shared" ca="1" si="23"/>
        <v>#N/A</v>
      </c>
      <c r="AW64" s="14" t="e">
        <f t="shared" ca="1" si="23"/>
        <v>#N/A</v>
      </c>
      <c r="AX64" s="14" t="e">
        <f t="shared" ca="1" si="23"/>
        <v>#N/A</v>
      </c>
      <c r="AY64" s="14" t="e">
        <f t="shared" ca="1" si="23"/>
        <v>#N/A</v>
      </c>
      <c r="AZ64" s="14" t="e">
        <f t="shared" ca="1" si="23"/>
        <v>#N/A</v>
      </c>
      <c r="BA64" s="14" t="e">
        <f t="shared" ca="1" si="23"/>
        <v>#N/A</v>
      </c>
      <c r="BB64" s="14" t="e">
        <f t="shared" ca="1" si="23"/>
        <v>#N/A</v>
      </c>
      <c r="BC64" s="14" t="e">
        <f t="shared" ca="1" si="23"/>
        <v>#N/A</v>
      </c>
      <c r="BD64" s="14" t="e">
        <f t="shared" ca="1" si="23"/>
        <v>#N/A</v>
      </c>
      <c r="BE64" s="14" t="e">
        <f t="shared" ca="1" si="23"/>
        <v>#N/A</v>
      </c>
      <c r="BF64" s="14" t="e">
        <f t="shared" ca="1" si="23"/>
        <v>#N/A</v>
      </c>
      <c r="BG64" s="14" t="e">
        <f t="shared" ca="1" si="23"/>
        <v>#N/A</v>
      </c>
      <c r="BH64" s="14" t="e">
        <f t="shared" ca="1" si="23"/>
        <v>#N/A</v>
      </c>
      <c r="BI64" s="14" t="e">
        <f t="shared" ca="1" si="23"/>
        <v>#N/A</v>
      </c>
      <c r="BJ64" s="14" t="e">
        <f t="shared" ca="1" si="23"/>
        <v>#N/A</v>
      </c>
      <c r="BK64" s="14" t="e">
        <f t="shared" ca="1" si="23"/>
        <v>#N/A</v>
      </c>
      <c r="BL64" s="14" t="e">
        <f t="shared" ca="1" si="23"/>
        <v>#N/A</v>
      </c>
      <c r="BM64" s="14" t="e">
        <f t="shared" ca="1" si="23"/>
        <v>#N/A</v>
      </c>
      <c r="BN64" s="14" t="e">
        <f t="shared" ca="1" si="23"/>
        <v>#N/A</v>
      </c>
      <c r="BO64" s="14" t="e">
        <f t="shared" ca="1" si="23"/>
        <v>#N/A</v>
      </c>
      <c r="BP64" s="14" t="e">
        <f t="shared" ca="1" si="23"/>
        <v>#N/A</v>
      </c>
      <c r="BQ64" s="14" t="e">
        <f t="shared" ca="1" si="23"/>
        <v>#N/A</v>
      </c>
      <c r="BR64" s="14" t="e">
        <f t="shared" ca="1" si="23"/>
        <v>#N/A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 t="e">
        <f t="shared" ca="1" si="21"/>
        <v>#N/A</v>
      </c>
      <c r="G65" s="14" t="e">
        <f t="shared" ca="1" si="23"/>
        <v>#N/A</v>
      </c>
      <c r="H65" s="14" t="e">
        <f t="shared" ca="1" si="23"/>
        <v>#N/A</v>
      </c>
      <c r="I65" s="14" t="e">
        <f t="shared" ca="1" si="23"/>
        <v>#N/A</v>
      </c>
      <c r="J65" s="14" t="e">
        <f t="shared" ca="1" si="23"/>
        <v>#N/A</v>
      </c>
      <c r="K65" s="14" t="e">
        <f t="shared" ca="1" si="23"/>
        <v>#N/A</v>
      </c>
      <c r="L65" s="14" t="e">
        <f t="shared" ca="1" si="23"/>
        <v>#N/A</v>
      </c>
      <c r="M65" s="14" t="e">
        <f t="shared" ca="1" si="23"/>
        <v>#N/A</v>
      </c>
      <c r="N65" s="14" t="e">
        <f t="shared" ca="1" si="23"/>
        <v>#N/A</v>
      </c>
      <c r="O65" s="14" t="e">
        <f t="shared" ca="1" si="23"/>
        <v>#N/A</v>
      </c>
      <c r="P65" s="14" t="e">
        <f t="shared" ca="1" si="23"/>
        <v>#N/A</v>
      </c>
      <c r="Q65" s="14" t="e">
        <f t="shared" ca="1" si="23"/>
        <v>#N/A</v>
      </c>
      <c r="R65" s="14" t="e">
        <f t="shared" ca="1" si="23"/>
        <v>#N/A</v>
      </c>
      <c r="S65" s="14" t="e">
        <f t="shared" ca="1" si="23"/>
        <v>#N/A</v>
      </c>
      <c r="T65" s="14" t="e">
        <f t="shared" ca="1" si="23"/>
        <v>#N/A</v>
      </c>
      <c r="U65" s="14" t="e">
        <f t="shared" ca="1" si="23"/>
        <v>#N/A</v>
      </c>
      <c r="V65" s="14" t="e">
        <f t="shared" ca="1" si="23"/>
        <v>#N/A</v>
      </c>
      <c r="W65" s="14" t="e">
        <f t="shared" ca="1" si="23"/>
        <v>#N/A</v>
      </c>
      <c r="X65" s="14" t="e">
        <f t="shared" ca="1" si="23"/>
        <v>#N/A</v>
      </c>
      <c r="Y65" s="14" t="e">
        <f t="shared" ca="1" si="23"/>
        <v>#N/A</v>
      </c>
      <c r="Z65" s="14" t="e">
        <f t="shared" ca="1" si="23"/>
        <v>#N/A</v>
      </c>
      <c r="AA65" s="14" t="e">
        <f t="shared" ca="1" si="23"/>
        <v>#N/A</v>
      </c>
      <c r="AB65" s="14" t="e">
        <f t="shared" ca="1" si="23"/>
        <v>#N/A</v>
      </c>
      <c r="AC65" s="14" t="e">
        <f t="shared" ca="1" si="23"/>
        <v>#N/A</v>
      </c>
      <c r="AD65" s="14" t="e">
        <f t="shared" ca="1" si="23"/>
        <v>#N/A</v>
      </c>
      <c r="AE65" s="14" t="e">
        <f t="shared" ca="1" si="23"/>
        <v>#N/A</v>
      </c>
      <c r="AF65" s="14" t="e">
        <f t="shared" ca="1" si="23"/>
        <v>#N/A</v>
      </c>
      <c r="AG65" s="14" t="e">
        <f t="shared" ca="1" si="23"/>
        <v>#N/A</v>
      </c>
      <c r="AH65" s="14" t="e">
        <f t="shared" ca="1" si="23"/>
        <v>#N/A</v>
      </c>
      <c r="AI65" s="14" t="e">
        <f t="shared" ca="1" si="23"/>
        <v>#N/A</v>
      </c>
      <c r="AJ65" s="14" t="e">
        <f t="shared" ca="1" si="23"/>
        <v>#N/A</v>
      </c>
      <c r="AK65" s="14" t="e">
        <f t="shared" ca="1" si="23"/>
        <v>#N/A</v>
      </c>
      <c r="AL65" s="14" t="e">
        <f t="shared" ca="1" si="23"/>
        <v>#N/A</v>
      </c>
      <c r="AM65" s="14" t="e">
        <f t="shared" ca="1" si="23"/>
        <v>#N/A</v>
      </c>
      <c r="AN65" s="14" t="e">
        <f t="shared" ca="1" si="23"/>
        <v>#N/A</v>
      </c>
      <c r="AO65" s="14" t="e">
        <f t="shared" ca="1" si="23"/>
        <v>#N/A</v>
      </c>
      <c r="AP65" s="14" t="e">
        <f t="shared" ca="1" si="23"/>
        <v>#N/A</v>
      </c>
      <c r="AQ65" s="14" t="e">
        <f t="shared" ca="1" si="23"/>
        <v>#N/A</v>
      </c>
      <c r="AR65" s="14" t="e">
        <f t="shared" ca="1" si="23"/>
        <v>#N/A</v>
      </c>
      <c r="AS65" s="14" t="e">
        <f t="shared" ca="1" si="23"/>
        <v>#N/A</v>
      </c>
      <c r="AT65" s="14" t="e">
        <f t="shared" ca="1" si="23"/>
        <v>#N/A</v>
      </c>
      <c r="AU65" s="14" t="e">
        <f t="shared" ca="1" si="23"/>
        <v>#N/A</v>
      </c>
      <c r="AV65" s="14" t="e">
        <f t="shared" ca="1" si="23"/>
        <v>#N/A</v>
      </c>
      <c r="AW65" s="14" t="e">
        <f t="shared" ca="1" si="23"/>
        <v>#N/A</v>
      </c>
      <c r="AX65" s="14" t="e">
        <f t="shared" ca="1" si="23"/>
        <v>#N/A</v>
      </c>
      <c r="AY65" s="14" t="e">
        <f t="shared" ca="1" si="23"/>
        <v>#N/A</v>
      </c>
      <c r="AZ65" s="14" t="e">
        <f t="shared" ca="1" si="23"/>
        <v>#N/A</v>
      </c>
      <c r="BA65" s="14" t="e">
        <f t="shared" ca="1" si="23"/>
        <v>#N/A</v>
      </c>
      <c r="BB65" s="14" t="e">
        <f t="shared" ca="1" si="23"/>
        <v>#N/A</v>
      </c>
      <c r="BC65" s="14" t="e">
        <f t="shared" ca="1" si="23"/>
        <v>#N/A</v>
      </c>
      <c r="BD65" s="14" t="e">
        <f t="shared" ca="1" si="23"/>
        <v>#N/A</v>
      </c>
      <c r="BE65" s="14" t="e">
        <f t="shared" ca="1" si="23"/>
        <v>#N/A</v>
      </c>
      <c r="BF65" s="14" t="e">
        <f t="shared" ca="1" si="23"/>
        <v>#N/A</v>
      </c>
      <c r="BG65" s="14" t="e">
        <f t="shared" ca="1" si="23"/>
        <v>#N/A</v>
      </c>
      <c r="BH65" s="14" t="e">
        <f t="shared" ca="1" si="23"/>
        <v>#N/A</v>
      </c>
      <c r="BI65" s="14" t="e">
        <f t="shared" ca="1" si="23"/>
        <v>#N/A</v>
      </c>
      <c r="BJ65" s="14" t="e">
        <f t="shared" ca="1" si="23"/>
        <v>#N/A</v>
      </c>
      <c r="BK65" s="14" t="e">
        <f t="shared" ca="1" si="23"/>
        <v>#N/A</v>
      </c>
      <c r="BL65" s="14" t="e">
        <f t="shared" ca="1" si="23"/>
        <v>#N/A</v>
      </c>
      <c r="BM65" s="14" t="e">
        <f t="shared" ca="1" si="23"/>
        <v>#N/A</v>
      </c>
      <c r="BN65" s="14" t="e">
        <f t="shared" ca="1" si="23"/>
        <v>#N/A</v>
      </c>
      <c r="BO65" s="14" t="e">
        <f t="shared" ca="1" si="23"/>
        <v>#N/A</v>
      </c>
      <c r="BP65" s="14" t="e">
        <f t="shared" ca="1" si="23"/>
        <v>#N/A</v>
      </c>
      <c r="BQ65" s="14" t="e">
        <f t="shared" ca="1" si="23"/>
        <v>#N/A</v>
      </c>
      <c r="BR65" s="14" t="e">
        <f t="shared" ca="1" si="23"/>
        <v>#N/A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 t="e">
        <f t="shared" ref="F66:U74" ca="1" si="25">$A66*H.Ar + $B66*H.Se + $C66*H.Ge + $D66*H.Ga</f>
        <v>#N/A</v>
      </c>
      <c r="G66" s="14" t="e">
        <f t="shared" ca="1" si="25"/>
        <v>#N/A</v>
      </c>
      <c r="H66" s="14" t="e">
        <f t="shared" ca="1" si="25"/>
        <v>#N/A</v>
      </c>
      <c r="I66" s="14" t="e">
        <f t="shared" ca="1" si="25"/>
        <v>#N/A</v>
      </c>
      <c r="J66" s="14" t="e">
        <f t="shared" ca="1" si="25"/>
        <v>#N/A</v>
      </c>
      <c r="K66" s="14" t="e">
        <f t="shared" ca="1" si="25"/>
        <v>#N/A</v>
      </c>
      <c r="L66" s="14" t="e">
        <f t="shared" ca="1" si="25"/>
        <v>#N/A</v>
      </c>
      <c r="M66" s="14" t="e">
        <f t="shared" ca="1" si="25"/>
        <v>#N/A</v>
      </c>
      <c r="N66" s="14" t="e">
        <f t="shared" ca="1" si="25"/>
        <v>#N/A</v>
      </c>
      <c r="O66" s="14" t="e">
        <f t="shared" ca="1" si="25"/>
        <v>#N/A</v>
      </c>
      <c r="P66" s="14" t="e">
        <f t="shared" ca="1" si="25"/>
        <v>#N/A</v>
      </c>
      <c r="Q66" s="14" t="e">
        <f t="shared" ca="1" si="25"/>
        <v>#N/A</v>
      </c>
      <c r="R66" s="14" t="e">
        <f t="shared" ca="1" si="25"/>
        <v>#N/A</v>
      </c>
      <c r="S66" s="14" t="e">
        <f t="shared" ca="1" si="25"/>
        <v>#N/A</v>
      </c>
      <c r="T66" s="14" t="e">
        <f t="shared" ca="1" si="25"/>
        <v>#N/A</v>
      </c>
      <c r="U66" s="14" t="e">
        <f t="shared" ca="1" si="25"/>
        <v>#N/A</v>
      </c>
      <c r="V66" s="14" t="e">
        <f t="shared" ca="1" si="23"/>
        <v>#N/A</v>
      </c>
      <c r="W66" s="14" t="e">
        <f t="shared" ca="1" si="23"/>
        <v>#N/A</v>
      </c>
      <c r="X66" s="14" t="e">
        <f t="shared" ca="1" si="23"/>
        <v>#N/A</v>
      </c>
      <c r="Y66" s="14" t="e">
        <f t="shared" ca="1" si="23"/>
        <v>#N/A</v>
      </c>
      <c r="Z66" s="14" t="e">
        <f t="shared" ca="1" si="23"/>
        <v>#N/A</v>
      </c>
      <c r="AA66" s="14" t="e">
        <f t="shared" ca="1" si="23"/>
        <v>#N/A</v>
      </c>
      <c r="AB66" s="14" t="e">
        <f t="shared" ca="1" si="23"/>
        <v>#N/A</v>
      </c>
      <c r="AC66" s="14" t="e">
        <f t="shared" ca="1" si="23"/>
        <v>#N/A</v>
      </c>
      <c r="AD66" s="14" t="e">
        <f t="shared" ca="1" si="23"/>
        <v>#N/A</v>
      </c>
      <c r="AE66" s="14" t="e">
        <f t="shared" ca="1" si="23"/>
        <v>#N/A</v>
      </c>
      <c r="AF66" s="14" t="e">
        <f t="shared" ca="1" si="23"/>
        <v>#N/A</v>
      </c>
      <c r="AG66" s="14" t="e">
        <f t="shared" ca="1" si="23"/>
        <v>#N/A</v>
      </c>
      <c r="AH66" s="14" t="e">
        <f t="shared" ca="1" si="23"/>
        <v>#N/A</v>
      </c>
      <c r="AI66" s="14" t="e">
        <f t="shared" ca="1" si="23"/>
        <v>#N/A</v>
      </c>
      <c r="AJ66" s="14" t="e">
        <f t="shared" ca="1" si="23"/>
        <v>#N/A</v>
      </c>
      <c r="AK66" s="14" t="e">
        <f t="shared" ca="1" si="23"/>
        <v>#N/A</v>
      </c>
      <c r="AL66" s="14" t="e">
        <f t="shared" ca="1" si="23"/>
        <v>#N/A</v>
      </c>
      <c r="AM66" s="14" t="e">
        <f t="shared" ca="1" si="23"/>
        <v>#N/A</v>
      </c>
      <c r="AN66" s="14" t="e">
        <f t="shared" ca="1" si="23"/>
        <v>#N/A</v>
      </c>
      <c r="AO66" s="14" t="e">
        <f t="shared" ca="1" si="23"/>
        <v>#N/A</v>
      </c>
      <c r="AP66" s="14" t="e">
        <f t="shared" ca="1" si="23"/>
        <v>#N/A</v>
      </c>
      <c r="AQ66" s="14" t="e">
        <f t="shared" ca="1" si="23"/>
        <v>#N/A</v>
      </c>
      <c r="AR66" s="14" t="e">
        <f t="shared" ca="1" si="23"/>
        <v>#N/A</v>
      </c>
      <c r="AS66" s="14" t="e">
        <f t="shared" ca="1" si="23"/>
        <v>#N/A</v>
      </c>
      <c r="AT66" s="14" t="e">
        <f t="shared" ca="1" si="23"/>
        <v>#N/A</v>
      </c>
      <c r="AU66" s="14" t="e">
        <f t="shared" ref="G66:BR70" ca="1" si="26">$A66*H.Ar + $B66*H.Se + $C66*H.Ge + $D66*H.Ga</f>
        <v>#N/A</v>
      </c>
      <c r="AV66" s="14" t="e">
        <f t="shared" ca="1" si="26"/>
        <v>#N/A</v>
      </c>
      <c r="AW66" s="14" t="e">
        <f t="shared" ca="1" si="26"/>
        <v>#N/A</v>
      </c>
      <c r="AX66" s="14" t="e">
        <f t="shared" ca="1" si="26"/>
        <v>#N/A</v>
      </c>
      <c r="AY66" s="14" t="e">
        <f t="shared" ca="1" si="26"/>
        <v>#N/A</v>
      </c>
      <c r="AZ66" s="14" t="e">
        <f t="shared" ca="1" si="26"/>
        <v>#N/A</v>
      </c>
      <c r="BA66" s="14" t="e">
        <f t="shared" ca="1" si="26"/>
        <v>#N/A</v>
      </c>
      <c r="BB66" s="14" t="e">
        <f t="shared" ca="1" si="26"/>
        <v>#N/A</v>
      </c>
      <c r="BC66" s="14" t="e">
        <f t="shared" ca="1" si="26"/>
        <v>#N/A</v>
      </c>
      <c r="BD66" s="14" t="e">
        <f t="shared" ca="1" si="26"/>
        <v>#N/A</v>
      </c>
      <c r="BE66" s="14" t="e">
        <f t="shared" ca="1" si="26"/>
        <v>#N/A</v>
      </c>
      <c r="BF66" s="14" t="e">
        <f t="shared" ca="1" si="26"/>
        <v>#N/A</v>
      </c>
      <c r="BG66" s="14" t="e">
        <f t="shared" ca="1" si="26"/>
        <v>#N/A</v>
      </c>
      <c r="BH66" s="14" t="e">
        <f t="shared" ca="1" si="26"/>
        <v>#N/A</v>
      </c>
      <c r="BI66" s="14" t="e">
        <f t="shared" ca="1" si="26"/>
        <v>#N/A</v>
      </c>
      <c r="BJ66" s="14" t="e">
        <f t="shared" ca="1" si="26"/>
        <v>#N/A</v>
      </c>
      <c r="BK66" s="14" t="e">
        <f t="shared" ca="1" si="26"/>
        <v>#N/A</v>
      </c>
      <c r="BL66" s="14" t="e">
        <f t="shared" ca="1" si="26"/>
        <v>#N/A</v>
      </c>
      <c r="BM66" s="14" t="e">
        <f t="shared" ca="1" si="26"/>
        <v>#N/A</v>
      </c>
      <c r="BN66" s="14" t="e">
        <f t="shared" ca="1" si="26"/>
        <v>#N/A</v>
      </c>
      <c r="BO66" s="14" t="e">
        <f t="shared" ca="1" si="26"/>
        <v>#N/A</v>
      </c>
      <c r="BP66" s="14" t="e">
        <f t="shared" ca="1" si="26"/>
        <v>#N/A</v>
      </c>
      <c r="BQ66" s="14" t="e">
        <f t="shared" ca="1" si="26"/>
        <v>#N/A</v>
      </c>
      <c r="BR66" s="14" t="e">
        <f t="shared" ca="1" si="26"/>
        <v>#N/A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 t="e">
        <f t="shared" ca="1" si="25"/>
        <v>#N/A</v>
      </c>
      <c r="G67" s="14" t="e">
        <f t="shared" ca="1" si="26"/>
        <v>#N/A</v>
      </c>
      <c r="H67" s="14" t="e">
        <f t="shared" ca="1" si="26"/>
        <v>#N/A</v>
      </c>
      <c r="I67" s="14" t="e">
        <f t="shared" ca="1" si="26"/>
        <v>#N/A</v>
      </c>
      <c r="J67" s="14" t="e">
        <f t="shared" ca="1" si="26"/>
        <v>#N/A</v>
      </c>
      <c r="K67" s="14" t="e">
        <f t="shared" ca="1" si="26"/>
        <v>#N/A</v>
      </c>
      <c r="L67" s="14" t="e">
        <f t="shared" ca="1" si="26"/>
        <v>#N/A</v>
      </c>
      <c r="M67" s="14" t="e">
        <f t="shared" ca="1" si="26"/>
        <v>#N/A</v>
      </c>
      <c r="N67" s="14" t="e">
        <f t="shared" ca="1" si="26"/>
        <v>#N/A</v>
      </c>
      <c r="O67" s="14" t="e">
        <f t="shared" ca="1" si="26"/>
        <v>#N/A</v>
      </c>
      <c r="P67" s="14" t="e">
        <f t="shared" ca="1" si="26"/>
        <v>#N/A</v>
      </c>
      <c r="Q67" s="14" t="e">
        <f t="shared" ca="1" si="26"/>
        <v>#N/A</v>
      </c>
      <c r="R67" s="14" t="e">
        <f t="shared" ca="1" si="26"/>
        <v>#N/A</v>
      </c>
      <c r="S67" s="14" t="e">
        <f t="shared" ca="1" si="26"/>
        <v>#N/A</v>
      </c>
      <c r="T67" s="14" t="e">
        <f t="shared" ca="1" si="26"/>
        <v>#N/A</v>
      </c>
      <c r="U67" s="14" t="e">
        <f t="shared" ca="1" si="26"/>
        <v>#N/A</v>
      </c>
      <c r="V67" s="14" t="e">
        <f t="shared" ca="1" si="26"/>
        <v>#N/A</v>
      </c>
      <c r="W67" s="14" t="e">
        <f t="shared" ca="1" si="26"/>
        <v>#N/A</v>
      </c>
      <c r="X67" s="14" t="e">
        <f t="shared" ca="1" si="26"/>
        <v>#N/A</v>
      </c>
      <c r="Y67" s="14" t="e">
        <f t="shared" ca="1" si="26"/>
        <v>#N/A</v>
      </c>
      <c r="Z67" s="14" t="e">
        <f t="shared" ca="1" si="26"/>
        <v>#N/A</v>
      </c>
      <c r="AA67" s="14" t="e">
        <f t="shared" ca="1" si="26"/>
        <v>#N/A</v>
      </c>
      <c r="AB67" s="14" t="e">
        <f t="shared" ca="1" si="26"/>
        <v>#N/A</v>
      </c>
      <c r="AC67" s="14" t="e">
        <f t="shared" ca="1" si="26"/>
        <v>#N/A</v>
      </c>
      <c r="AD67" s="14" t="e">
        <f t="shared" ca="1" si="26"/>
        <v>#N/A</v>
      </c>
      <c r="AE67" s="14" t="e">
        <f t="shared" ca="1" si="26"/>
        <v>#N/A</v>
      </c>
      <c r="AF67" s="14" t="e">
        <f t="shared" ca="1" si="26"/>
        <v>#N/A</v>
      </c>
      <c r="AG67" s="14" t="e">
        <f t="shared" ca="1" si="26"/>
        <v>#N/A</v>
      </c>
      <c r="AH67" s="14" t="e">
        <f t="shared" ca="1" si="26"/>
        <v>#N/A</v>
      </c>
      <c r="AI67" s="14" t="e">
        <f t="shared" ca="1" si="26"/>
        <v>#N/A</v>
      </c>
      <c r="AJ67" s="14" t="e">
        <f t="shared" ca="1" si="26"/>
        <v>#N/A</v>
      </c>
      <c r="AK67" s="14" t="e">
        <f t="shared" ca="1" si="26"/>
        <v>#N/A</v>
      </c>
      <c r="AL67" s="14" t="e">
        <f t="shared" ca="1" si="26"/>
        <v>#N/A</v>
      </c>
      <c r="AM67" s="14" t="e">
        <f t="shared" ca="1" si="26"/>
        <v>#N/A</v>
      </c>
      <c r="AN67" s="14" t="e">
        <f t="shared" ca="1" si="26"/>
        <v>#N/A</v>
      </c>
      <c r="AO67" s="14" t="e">
        <f t="shared" ca="1" si="26"/>
        <v>#N/A</v>
      </c>
      <c r="AP67" s="14" t="e">
        <f t="shared" ca="1" si="26"/>
        <v>#N/A</v>
      </c>
      <c r="AQ67" s="14" t="e">
        <f t="shared" ca="1" si="26"/>
        <v>#N/A</v>
      </c>
      <c r="AR67" s="14" t="e">
        <f t="shared" ca="1" si="26"/>
        <v>#N/A</v>
      </c>
      <c r="AS67" s="14" t="e">
        <f t="shared" ca="1" si="26"/>
        <v>#N/A</v>
      </c>
      <c r="AT67" s="14" t="e">
        <f t="shared" ca="1" si="26"/>
        <v>#N/A</v>
      </c>
      <c r="AU67" s="14" t="e">
        <f t="shared" ca="1" si="26"/>
        <v>#N/A</v>
      </c>
      <c r="AV67" s="14" t="e">
        <f t="shared" ca="1" si="26"/>
        <v>#N/A</v>
      </c>
      <c r="AW67" s="14" t="e">
        <f t="shared" ca="1" si="26"/>
        <v>#N/A</v>
      </c>
      <c r="AX67" s="14" t="e">
        <f t="shared" ca="1" si="26"/>
        <v>#N/A</v>
      </c>
      <c r="AY67" s="14" t="e">
        <f t="shared" ca="1" si="26"/>
        <v>#N/A</v>
      </c>
      <c r="AZ67" s="14" t="e">
        <f t="shared" ca="1" si="26"/>
        <v>#N/A</v>
      </c>
      <c r="BA67" s="14" t="e">
        <f t="shared" ca="1" si="26"/>
        <v>#N/A</v>
      </c>
      <c r="BB67" s="14" t="e">
        <f t="shared" ca="1" si="26"/>
        <v>#N/A</v>
      </c>
      <c r="BC67" s="14" t="e">
        <f t="shared" ca="1" si="26"/>
        <v>#N/A</v>
      </c>
      <c r="BD67" s="14" t="e">
        <f t="shared" ca="1" si="26"/>
        <v>#N/A</v>
      </c>
      <c r="BE67" s="14" t="e">
        <f t="shared" ca="1" si="26"/>
        <v>#N/A</v>
      </c>
      <c r="BF67" s="14" t="e">
        <f t="shared" ca="1" si="26"/>
        <v>#N/A</v>
      </c>
      <c r="BG67" s="14" t="e">
        <f t="shared" ca="1" si="26"/>
        <v>#N/A</v>
      </c>
      <c r="BH67" s="14" t="e">
        <f t="shared" ca="1" si="26"/>
        <v>#N/A</v>
      </c>
      <c r="BI67" s="14" t="e">
        <f t="shared" ca="1" si="26"/>
        <v>#N/A</v>
      </c>
      <c r="BJ67" s="14" t="e">
        <f t="shared" ca="1" si="26"/>
        <v>#N/A</v>
      </c>
      <c r="BK67" s="14" t="e">
        <f t="shared" ca="1" si="26"/>
        <v>#N/A</v>
      </c>
      <c r="BL67" s="14" t="e">
        <f t="shared" ca="1" si="26"/>
        <v>#N/A</v>
      </c>
      <c r="BM67" s="14" t="e">
        <f t="shared" ca="1" si="26"/>
        <v>#N/A</v>
      </c>
      <c r="BN67" s="14" t="e">
        <f t="shared" ca="1" si="26"/>
        <v>#N/A</v>
      </c>
      <c r="BO67" s="14" t="e">
        <f t="shared" ca="1" si="26"/>
        <v>#N/A</v>
      </c>
      <c r="BP67" s="14" t="e">
        <f t="shared" ca="1" si="26"/>
        <v>#N/A</v>
      </c>
      <c r="BQ67" s="14" t="e">
        <f t="shared" ca="1" si="26"/>
        <v>#N/A</v>
      </c>
      <c r="BR67" s="14" t="e">
        <f t="shared" ca="1" si="26"/>
        <v>#N/A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 t="e">
        <f t="shared" ca="1" si="25"/>
        <v>#N/A</v>
      </c>
      <c r="G68" s="14" t="e">
        <f t="shared" ca="1" si="26"/>
        <v>#N/A</v>
      </c>
      <c r="H68" s="14" t="e">
        <f t="shared" ca="1" si="26"/>
        <v>#N/A</v>
      </c>
      <c r="I68" s="14" t="e">
        <f t="shared" ca="1" si="26"/>
        <v>#N/A</v>
      </c>
      <c r="J68" s="14" t="e">
        <f t="shared" ca="1" si="26"/>
        <v>#N/A</v>
      </c>
      <c r="K68" s="14" t="e">
        <f t="shared" ca="1" si="26"/>
        <v>#N/A</v>
      </c>
      <c r="L68" s="14" t="e">
        <f t="shared" ca="1" si="26"/>
        <v>#N/A</v>
      </c>
      <c r="M68" s="14" t="e">
        <f t="shared" ca="1" si="26"/>
        <v>#N/A</v>
      </c>
      <c r="N68" s="14" t="e">
        <f t="shared" ca="1" si="26"/>
        <v>#N/A</v>
      </c>
      <c r="O68" s="14" t="e">
        <f t="shared" ca="1" si="26"/>
        <v>#N/A</v>
      </c>
      <c r="P68" s="14" t="e">
        <f t="shared" ca="1" si="26"/>
        <v>#N/A</v>
      </c>
      <c r="Q68" s="14" t="e">
        <f t="shared" ca="1" si="26"/>
        <v>#N/A</v>
      </c>
      <c r="R68" s="14" t="e">
        <f t="shared" ca="1" si="26"/>
        <v>#N/A</v>
      </c>
      <c r="S68" s="14" t="e">
        <f t="shared" ca="1" si="26"/>
        <v>#N/A</v>
      </c>
      <c r="T68" s="14" t="e">
        <f t="shared" ca="1" si="26"/>
        <v>#N/A</v>
      </c>
      <c r="U68" s="14" t="e">
        <f t="shared" ca="1" si="26"/>
        <v>#N/A</v>
      </c>
      <c r="V68" s="14" t="e">
        <f t="shared" ca="1" si="26"/>
        <v>#N/A</v>
      </c>
      <c r="W68" s="14" t="e">
        <f t="shared" ca="1" si="26"/>
        <v>#N/A</v>
      </c>
      <c r="X68" s="14" t="e">
        <f t="shared" ca="1" si="26"/>
        <v>#N/A</v>
      </c>
      <c r="Y68" s="14" t="e">
        <f t="shared" ca="1" si="26"/>
        <v>#N/A</v>
      </c>
      <c r="Z68" s="14" t="e">
        <f t="shared" ca="1" si="26"/>
        <v>#N/A</v>
      </c>
      <c r="AA68" s="14" t="e">
        <f t="shared" ca="1" si="26"/>
        <v>#N/A</v>
      </c>
      <c r="AB68" s="14" t="e">
        <f t="shared" ca="1" si="26"/>
        <v>#N/A</v>
      </c>
      <c r="AC68" s="14" t="e">
        <f t="shared" ca="1" si="26"/>
        <v>#N/A</v>
      </c>
      <c r="AD68" s="14" t="e">
        <f t="shared" ca="1" si="26"/>
        <v>#N/A</v>
      </c>
      <c r="AE68" s="14" t="e">
        <f t="shared" ca="1" si="26"/>
        <v>#N/A</v>
      </c>
      <c r="AF68" s="14" t="e">
        <f t="shared" ca="1" si="26"/>
        <v>#N/A</v>
      </c>
      <c r="AG68" s="14" t="e">
        <f t="shared" ca="1" si="26"/>
        <v>#N/A</v>
      </c>
      <c r="AH68" s="14" t="e">
        <f t="shared" ca="1" si="26"/>
        <v>#N/A</v>
      </c>
      <c r="AI68" s="14" t="e">
        <f t="shared" ca="1" si="26"/>
        <v>#N/A</v>
      </c>
      <c r="AJ68" s="14" t="e">
        <f t="shared" ca="1" si="26"/>
        <v>#N/A</v>
      </c>
      <c r="AK68" s="14" t="e">
        <f t="shared" ca="1" si="26"/>
        <v>#N/A</v>
      </c>
      <c r="AL68" s="14" t="e">
        <f t="shared" ca="1" si="26"/>
        <v>#N/A</v>
      </c>
      <c r="AM68" s="14" t="e">
        <f t="shared" ca="1" si="26"/>
        <v>#N/A</v>
      </c>
      <c r="AN68" s="14" t="e">
        <f t="shared" ca="1" si="26"/>
        <v>#N/A</v>
      </c>
      <c r="AO68" s="14" t="e">
        <f t="shared" ca="1" si="26"/>
        <v>#N/A</v>
      </c>
      <c r="AP68" s="14" t="e">
        <f t="shared" ca="1" si="26"/>
        <v>#N/A</v>
      </c>
      <c r="AQ68" s="14" t="e">
        <f t="shared" ca="1" si="26"/>
        <v>#N/A</v>
      </c>
      <c r="AR68" s="14" t="e">
        <f t="shared" ca="1" si="26"/>
        <v>#N/A</v>
      </c>
      <c r="AS68" s="14" t="e">
        <f t="shared" ca="1" si="26"/>
        <v>#N/A</v>
      </c>
      <c r="AT68" s="14" t="e">
        <f t="shared" ca="1" si="26"/>
        <v>#N/A</v>
      </c>
      <c r="AU68" s="14" t="e">
        <f t="shared" ca="1" si="26"/>
        <v>#N/A</v>
      </c>
      <c r="AV68" s="14" t="e">
        <f t="shared" ca="1" si="26"/>
        <v>#N/A</v>
      </c>
      <c r="AW68" s="14" t="e">
        <f t="shared" ca="1" si="26"/>
        <v>#N/A</v>
      </c>
      <c r="AX68" s="14" t="e">
        <f t="shared" ca="1" si="26"/>
        <v>#N/A</v>
      </c>
      <c r="AY68" s="14" t="e">
        <f t="shared" ca="1" si="26"/>
        <v>#N/A</v>
      </c>
      <c r="AZ68" s="14" t="e">
        <f t="shared" ca="1" si="26"/>
        <v>#N/A</v>
      </c>
      <c r="BA68" s="14" t="e">
        <f t="shared" ca="1" si="26"/>
        <v>#N/A</v>
      </c>
      <c r="BB68" s="14" t="e">
        <f t="shared" ca="1" si="26"/>
        <v>#N/A</v>
      </c>
      <c r="BC68" s="14" t="e">
        <f t="shared" ca="1" si="26"/>
        <v>#N/A</v>
      </c>
      <c r="BD68" s="14" t="e">
        <f t="shared" ca="1" si="26"/>
        <v>#N/A</v>
      </c>
      <c r="BE68" s="14" t="e">
        <f t="shared" ca="1" si="26"/>
        <v>#N/A</v>
      </c>
      <c r="BF68" s="14" t="e">
        <f t="shared" ca="1" si="26"/>
        <v>#N/A</v>
      </c>
      <c r="BG68" s="14" t="e">
        <f t="shared" ca="1" si="26"/>
        <v>#N/A</v>
      </c>
      <c r="BH68" s="14" t="e">
        <f t="shared" ca="1" si="26"/>
        <v>#N/A</v>
      </c>
      <c r="BI68" s="14" t="e">
        <f t="shared" ca="1" si="26"/>
        <v>#N/A</v>
      </c>
      <c r="BJ68" s="14" t="e">
        <f t="shared" ca="1" si="26"/>
        <v>#N/A</v>
      </c>
      <c r="BK68" s="14" t="e">
        <f t="shared" ca="1" si="26"/>
        <v>#N/A</v>
      </c>
      <c r="BL68" s="14" t="e">
        <f t="shared" ca="1" si="26"/>
        <v>#N/A</v>
      </c>
      <c r="BM68" s="14" t="e">
        <f t="shared" ca="1" si="26"/>
        <v>#N/A</v>
      </c>
      <c r="BN68" s="14" t="e">
        <f t="shared" ca="1" si="26"/>
        <v>#N/A</v>
      </c>
      <c r="BO68" s="14" t="e">
        <f t="shared" ca="1" si="26"/>
        <v>#N/A</v>
      </c>
      <c r="BP68" s="14" t="e">
        <f t="shared" ca="1" si="26"/>
        <v>#N/A</v>
      </c>
      <c r="BQ68" s="14" t="e">
        <f t="shared" ca="1" si="26"/>
        <v>#N/A</v>
      </c>
      <c r="BR68" s="14" t="e">
        <f t="shared" ca="1" si="26"/>
        <v>#N/A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 t="e">
        <f t="shared" ca="1" si="25"/>
        <v>#N/A</v>
      </c>
      <c r="G69" s="14" t="e">
        <f t="shared" ca="1" si="26"/>
        <v>#N/A</v>
      </c>
      <c r="H69" s="14" t="e">
        <f t="shared" ca="1" si="26"/>
        <v>#N/A</v>
      </c>
      <c r="I69" s="14" t="e">
        <f t="shared" ca="1" si="26"/>
        <v>#N/A</v>
      </c>
      <c r="J69" s="14" t="e">
        <f t="shared" ca="1" si="26"/>
        <v>#N/A</v>
      </c>
      <c r="K69" s="14" t="e">
        <f t="shared" ca="1" si="26"/>
        <v>#N/A</v>
      </c>
      <c r="L69" s="14" t="e">
        <f t="shared" ca="1" si="26"/>
        <v>#N/A</v>
      </c>
      <c r="M69" s="14" t="e">
        <f t="shared" ca="1" si="26"/>
        <v>#N/A</v>
      </c>
      <c r="N69" s="14" t="e">
        <f t="shared" ca="1" si="26"/>
        <v>#N/A</v>
      </c>
      <c r="O69" s="14" t="e">
        <f t="shared" ca="1" si="26"/>
        <v>#N/A</v>
      </c>
      <c r="P69" s="14" t="e">
        <f t="shared" ca="1" si="26"/>
        <v>#N/A</v>
      </c>
      <c r="Q69" s="14" t="e">
        <f t="shared" ca="1" si="26"/>
        <v>#N/A</v>
      </c>
      <c r="R69" s="14" t="e">
        <f t="shared" ca="1" si="26"/>
        <v>#N/A</v>
      </c>
      <c r="S69" s="14" t="e">
        <f t="shared" ca="1" si="26"/>
        <v>#N/A</v>
      </c>
      <c r="T69" s="14" t="e">
        <f t="shared" ca="1" si="26"/>
        <v>#N/A</v>
      </c>
      <c r="U69" s="14" t="e">
        <f t="shared" ca="1" si="26"/>
        <v>#N/A</v>
      </c>
      <c r="V69" s="14" t="e">
        <f t="shared" ca="1" si="26"/>
        <v>#N/A</v>
      </c>
      <c r="W69" s="14" t="e">
        <f t="shared" ca="1" si="26"/>
        <v>#N/A</v>
      </c>
      <c r="X69" s="14" t="e">
        <f t="shared" ca="1" si="26"/>
        <v>#N/A</v>
      </c>
      <c r="Y69" s="14" t="e">
        <f t="shared" ca="1" si="26"/>
        <v>#N/A</v>
      </c>
      <c r="Z69" s="14" t="e">
        <f t="shared" ca="1" si="26"/>
        <v>#N/A</v>
      </c>
      <c r="AA69" s="14" t="e">
        <f t="shared" ca="1" si="26"/>
        <v>#N/A</v>
      </c>
      <c r="AB69" s="14" t="e">
        <f t="shared" ca="1" si="26"/>
        <v>#N/A</v>
      </c>
      <c r="AC69" s="14" t="e">
        <f t="shared" ca="1" si="26"/>
        <v>#N/A</v>
      </c>
      <c r="AD69" s="14" t="e">
        <f t="shared" ca="1" si="26"/>
        <v>#N/A</v>
      </c>
      <c r="AE69" s="14" t="e">
        <f t="shared" ca="1" si="26"/>
        <v>#N/A</v>
      </c>
      <c r="AF69" s="14" t="e">
        <f t="shared" ca="1" si="26"/>
        <v>#N/A</v>
      </c>
      <c r="AG69" s="14" t="e">
        <f t="shared" ca="1" si="26"/>
        <v>#N/A</v>
      </c>
      <c r="AH69" s="14" t="e">
        <f t="shared" ca="1" si="26"/>
        <v>#N/A</v>
      </c>
      <c r="AI69" s="14" t="e">
        <f t="shared" ca="1" si="26"/>
        <v>#N/A</v>
      </c>
      <c r="AJ69" s="14" t="e">
        <f t="shared" ca="1" si="26"/>
        <v>#N/A</v>
      </c>
      <c r="AK69" s="14" t="e">
        <f t="shared" ca="1" si="26"/>
        <v>#N/A</v>
      </c>
      <c r="AL69" s="14" t="e">
        <f t="shared" ca="1" si="26"/>
        <v>#N/A</v>
      </c>
      <c r="AM69" s="14" t="e">
        <f t="shared" ca="1" si="26"/>
        <v>#N/A</v>
      </c>
      <c r="AN69" s="14" t="e">
        <f t="shared" ca="1" si="26"/>
        <v>#N/A</v>
      </c>
      <c r="AO69" s="14" t="e">
        <f t="shared" ca="1" si="26"/>
        <v>#N/A</v>
      </c>
      <c r="AP69" s="14" t="e">
        <f t="shared" ca="1" si="26"/>
        <v>#N/A</v>
      </c>
      <c r="AQ69" s="14" t="e">
        <f t="shared" ca="1" si="26"/>
        <v>#N/A</v>
      </c>
      <c r="AR69" s="14" t="e">
        <f t="shared" ca="1" si="26"/>
        <v>#N/A</v>
      </c>
      <c r="AS69" s="14" t="e">
        <f t="shared" ca="1" si="26"/>
        <v>#N/A</v>
      </c>
      <c r="AT69" s="14" t="e">
        <f t="shared" ca="1" si="26"/>
        <v>#N/A</v>
      </c>
      <c r="AU69" s="14" t="e">
        <f t="shared" ca="1" si="26"/>
        <v>#N/A</v>
      </c>
      <c r="AV69" s="14" t="e">
        <f t="shared" ca="1" si="26"/>
        <v>#N/A</v>
      </c>
      <c r="AW69" s="14" t="e">
        <f t="shared" ca="1" si="26"/>
        <v>#N/A</v>
      </c>
      <c r="AX69" s="14" t="e">
        <f t="shared" ca="1" si="26"/>
        <v>#N/A</v>
      </c>
      <c r="AY69" s="14" t="e">
        <f t="shared" ca="1" si="26"/>
        <v>#N/A</v>
      </c>
      <c r="AZ69" s="14" t="e">
        <f t="shared" ca="1" si="26"/>
        <v>#N/A</v>
      </c>
      <c r="BA69" s="14" t="e">
        <f t="shared" ca="1" si="26"/>
        <v>#N/A</v>
      </c>
      <c r="BB69" s="14" t="e">
        <f t="shared" ca="1" si="26"/>
        <v>#N/A</v>
      </c>
      <c r="BC69" s="14" t="e">
        <f t="shared" ca="1" si="26"/>
        <v>#N/A</v>
      </c>
      <c r="BD69" s="14" t="e">
        <f t="shared" ca="1" si="26"/>
        <v>#N/A</v>
      </c>
      <c r="BE69" s="14" t="e">
        <f t="shared" ca="1" si="26"/>
        <v>#N/A</v>
      </c>
      <c r="BF69" s="14" t="e">
        <f t="shared" ca="1" si="26"/>
        <v>#N/A</v>
      </c>
      <c r="BG69" s="14" t="e">
        <f t="shared" ca="1" si="26"/>
        <v>#N/A</v>
      </c>
      <c r="BH69" s="14" t="e">
        <f t="shared" ca="1" si="26"/>
        <v>#N/A</v>
      </c>
      <c r="BI69" s="14" t="e">
        <f t="shared" ca="1" si="26"/>
        <v>#N/A</v>
      </c>
      <c r="BJ69" s="14" t="e">
        <f t="shared" ca="1" si="26"/>
        <v>#N/A</v>
      </c>
      <c r="BK69" s="14" t="e">
        <f t="shared" ca="1" si="26"/>
        <v>#N/A</v>
      </c>
      <c r="BL69" s="14" t="e">
        <f t="shared" ca="1" si="26"/>
        <v>#N/A</v>
      </c>
      <c r="BM69" s="14" t="e">
        <f t="shared" ca="1" si="26"/>
        <v>#N/A</v>
      </c>
      <c r="BN69" s="14" t="e">
        <f t="shared" ca="1" si="26"/>
        <v>#N/A</v>
      </c>
      <c r="BO69" s="14" t="e">
        <f t="shared" ca="1" si="26"/>
        <v>#N/A</v>
      </c>
      <c r="BP69" s="14" t="e">
        <f t="shared" ca="1" si="26"/>
        <v>#N/A</v>
      </c>
      <c r="BQ69" s="14" t="e">
        <f t="shared" ca="1" si="26"/>
        <v>#N/A</v>
      </c>
      <c r="BR69" s="14" t="e">
        <f t="shared" ca="1" si="26"/>
        <v>#N/A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 t="e">
        <f t="shared" ca="1" si="25"/>
        <v>#N/A</v>
      </c>
      <c r="G70" s="14" t="e">
        <f t="shared" ca="1" si="26"/>
        <v>#N/A</v>
      </c>
      <c r="H70" s="14" t="e">
        <f t="shared" ca="1" si="26"/>
        <v>#N/A</v>
      </c>
      <c r="I70" s="14" t="e">
        <f t="shared" ca="1" si="26"/>
        <v>#N/A</v>
      </c>
      <c r="J70" s="14" t="e">
        <f t="shared" ca="1" si="26"/>
        <v>#N/A</v>
      </c>
      <c r="K70" s="14" t="e">
        <f t="shared" ca="1" si="26"/>
        <v>#N/A</v>
      </c>
      <c r="L70" s="14" t="e">
        <f t="shared" ca="1" si="26"/>
        <v>#N/A</v>
      </c>
      <c r="M70" s="14" t="e">
        <f t="shared" ca="1" si="26"/>
        <v>#N/A</v>
      </c>
      <c r="N70" s="14" t="e">
        <f t="shared" ca="1" si="26"/>
        <v>#N/A</v>
      </c>
      <c r="O70" s="14" t="e">
        <f t="shared" ca="1" si="26"/>
        <v>#N/A</v>
      </c>
      <c r="P70" s="14" t="e">
        <f t="shared" ca="1" si="26"/>
        <v>#N/A</v>
      </c>
      <c r="Q70" s="14" t="e">
        <f t="shared" ca="1" si="26"/>
        <v>#N/A</v>
      </c>
      <c r="R70" s="14" t="e">
        <f t="shared" ca="1" si="26"/>
        <v>#N/A</v>
      </c>
      <c r="S70" s="14" t="e">
        <f t="shared" ca="1" si="26"/>
        <v>#N/A</v>
      </c>
      <c r="T70" s="14" t="e">
        <f t="shared" ca="1" si="26"/>
        <v>#N/A</v>
      </c>
      <c r="U70" s="14" t="e">
        <f t="shared" ca="1" si="26"/>
        <v>#N/A</v>
      </c>
      <c r="V70" s="14" t="e">
        <f t="shared" ca="1" si="26"/>
        <v>#N/A</v>
      </c>
      <c r="W70" s="14" t="e">
        <f t="shared" ca="1" si="26"/>
        <v>#N/A</v>
      </c>
      <c r="X70" s="14" t="e">
        <f t="shared" ca="1" si="26"/>
        <v>#N/A</v>
      </c>
      <c r="Y70" s="14" t="e">
        <f t="shared" ca="1" si="26"/>
        <v>#N/A</v>
      </c>
      <c r="Z70" s="14" t="e">
        <f t="shared" ca="1" si="26"/>
        <v>#N/A</v>
      </c>
      <c r="AA70" s="14" t="e">
        <f t="shared" ca="1" si="26"/>
        <v>#N/A</v>
      </c>
      <c r="AB70" s="14" t="e">
        <f t="shared" ca="1" si="26"/>
        <v>#N/A</v>
      </c>
      <c r="AC70" s="14" t="e">
        <f t="shared" ca="1" si="26"/>
        <v>#N/A</v>
      </c>
      <c r="AD70" s="14" t="e">
        <f t="shared" ca="1" si="26"/>
        <v>#N/A</v>
      </c>
      <c r="AE70" s="14" t="e">
        <f t="shared" ca="1" si="26"/>
        <v>#N/A</v>
      </c>
      <c r="AF70" s="14" t="e">
        <f t="shared" ca="1" si="26"/>
        <v>#N/A</v>
      </c>
      <c r="AG70" s="14" t="e">
        <f t="shared" ca="1" si="26"/>
        <v>#N/A</v>
      </c>
      <c r="AH70" s="14" t="e">
        <f t="shared" ca="1" si="26"/>
        <v>#N/A</v>
      </c>
      <c r="AI70" s="14" t="e">
        <f t="shared" ca="1" si="26"/>
        <v>#N/A</v>
      </c>
      <c r="AJ70" s="14" t="e">
        <f t="shared" ca="1" si="26"/>
        <v>#N/A</v>
      </c>
      <c r="AK70" s="14" t="e">
        <f t="shared" ca="1" si="26"/>
        <v>#N/A</v>
      </c>
      <c r="AL70" s="14" t="e">
        <f t="shared" ca="1" si="26"/>
        <v>#N/A</v>
      </c>
      <c r="AM70" s="14" t="e">
        <f t="shared" ca="1" si="26"/>
        <v>#N/A</v>
      </c>
      <c r="AN70" s="14" t="e">
        <f t="shared" ca="1" si="26"/>
        <v>#N/A</v>
      </c>
      <c r="AO70" s="14" t="e">
        <f t="shared" ca="1" si="26"/>
        <v>#N/A</v>
      </c>
      <c r="AP70" s="14" t="e">
        <f t="shared" ca="1" si="26"/>
        <v>#N/A</v>
      </c>
      <c r="AQ70" s="14" t="e">
        <f t="shared" ca="1" si="26"/>
        <v>#N/A</v>
      </c>
      <c r="AR70" s="14" t="e">
        <f t="shared" ca="1" si="26"/>
        <v>#N/A</v>
      </c>
      <c r="AS70" s="14" t="e">
        <f t="shared" ca="1" si="26"/>
        <v>#N/A</v>
      </c>
      <c r="AT70" s="14" t="e">
        <f t="shared" ref="G70:BR74" ca="1" si="27">$A70*H.Ar + $B70*H.Se + $C70*H.Ge + $D70*H.Ga</f>
        <v>#N/A</v>
      </c>
      <c r="AU70" s="14" t="e">
        <f t="shared" ca="1" si="27"/>
        <v>#N/A</v>
      </c>
      <c r="AV70" s="14" t="e">
        <f t="shared" ca="1" si="27"/>
        <v>#N/A</v>
      </c>
      <c r="AW70" s="14" t="e">
        <f t="shared" ca="1" si="27"/>
        <v>#N/A</v>
      </c>
      <c r="AX70" s="14" t="e">
        <f t="shared" ca="1" si="27"/>
        <v>#N/A</v>
      </c>
      <c r="AY70" s="14" t="e">
        <f t="shared" ca="1" si="27"/>
        <v>#N/A</v>
      </c>
      <c r="AZ70" s="14" t="e">
        <f t="shared" ca="1" si="27"/>
        <v>#N/A</v>
      </c>
      <c r="BA70" s="14" t="e">
        <f t="shared" ca="1" si="27"/>
        <v>#N/A</v>
      </c>
      <c r="BB70" s="14" t="e">
        <f t="shared" ca="1" si="27"/>
        <v>#N/A</v>
      </c>
      <c r="BC70" s="14" t="e">
        <f t="shared" ca="1" si="27"/>
        <v>#N/A</v>
      </c>
      <c r="BD70" s="14" t="e">
        <f t="shared" ca="1" si="27"/>
        <v>#N/A</v>
      </c>
      <c r="BE70" s="14" t="e">
        <f t="shared" ca="1" si="27"/>
        <v>#N/A</v>
      </c>
      <c r="BF70" s="14" t="e">
        <f t="shared" ca="1" si="27"/>
        <v>#N/A</v>
      </c>
      <c r="BG70" s="14" t="e">
        <f t="shared" ca="1" si="27"/>
        <v>#N/A</v>
      </c>
      <c r="BH70" s="14" t="e">
        <f t="shared" ca="1" si="27"/>
        <v>#N/A</v>
      </c>
      <c r="BI70" s="14" t="e">
        <f t="shared" ca="1" si="27"/>
        <v>#N/A</v>
      </c>
      <c r="BJ70" s="14" t="e">
        <f t="shared" ca="1" si="27"/>
        <v>#N/A</v>
      </c>
      <c r="BK70" s="14" t="e">
        <f t="shared" ca="1" si="27"/>
        <v>#N/A</v>
      </c>
      <c r="BL70" s="14" t="e">
        <f t="shared" ca="1" si="27"/>
        <v>#N/A</v>
      </c>
      <c r="BM70" s="14" t="e">
        <f t="shared" ca="1" si="27"/>
        <v>#N/A</v>
      </c>
      <c r="BN70" s="14" t="e">
        <f t="shared" ca="1" si="27"/>
        <v>#N/A</v>
      </c>
      <c r="BO70" s="14" t="e">
        <f t="shared" ca="1" si="27"/>
        <v>#N/A</v>
      </c>
      <c r="BP70" s="14" t="e">
        <f t="shared" ca="1" si="27"/>
        <v>#N/A</v>
      </c>
      <c r="BQ70" s="14" t="e">
        <f t="shared" ca="1" si="27"/>
        <v>#N/A</v>
      </c>
      <c r="BR70" s="14" t="e">
        <f t="shared" ca="1" si="27"/>
        <v>#N/A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 t="e">
        <f t="shared" ca="1" si="25"/>
        <v>#N/A</v>
      </c>
      <c r="G71" s="14" t="e">
        <f t="shared" ca="1" si="27"/>
        <v>#N/A</v>
      </c>
      <c r="H71" s="14" t="e">
        <f t="shared" ca="1" si="27"/>
        <v>#N/A</v>
      </c>
      <c r="I71" s="14" t="e">
        <f t="shared" ca="1" si="27"/>
        <v>#N/A</v>
      </c>
      <c r="J71" s="14" t="e">
        <f t="shared" ca="1" si="27"/>
        <v>#N/A</v>
      </c>
      <c r="K71" s="14" t="e">
        <f t="shared" ca="1" si="27"/>
        <v>#N/A</v>
      </c>
      <c r="L71" s="14" t="e">
        <f t="shared" ca="1" si="27"/>
        <v>#N/A</v>
      </c>
      <c r="M71" s="14" t="e">
        <f t="shared" ca="1" si="27"/>
        <v>#N/A</v>
      </c>
      <c r="N71" s="14" t="e">
        <f t="shared" ca="1" si="27"/>
        <v>#N/A</v>
      </c>
      <c r="O71" s="14" t="e">
        <f t="shared" ca="1" si="27"/>
        <v>#N/A</v>
      </c>
      <c r="P71" s="14" t="e">
        <f t="shared" ca="1" si="27"/>
        <v>#N/A</v>
      </c>
      <c r="Q71" s="14" t="e">
        <f t="shared" ca="1" si="27"/>
        <v>#N/A</v>
      </c>
      <c r="R71" s="14" t="e">
        <f t="shared" ca="1" si="27"/>
        <v>#N/A</v>
      </c>
      <c r="S71" s="14" t="e">
        <f t="shared" ca="1" si="27"/>
        <v>#N/A</v>
      </c>
      <c r="T71" s="14" t="e">
        <f t="shared" ca="1" si="27"/>
        <v>#N/A</v>
      </c>
      <c r="U71" s="14" t="e">
        <f t="shared" ca="1" si="27"/>
        <v>#N/A</v>
      </c>
      <c r="V71" s="14" t="e">
        <f t="shared" ca="1" si="27"/>
        <v>#N/A</v>
      </c>
      <c r="W71" s="14" t="e">
        <f t="shared" ca="1" si="27"/>
        <v>#N/A</v>
      </c>
      <c r="X71" s="14" t="e">
        <f t="shared" ca="1" si="27"/>
        <v>#N/A</v>
      </c>
      <c r="Y71" s="14" t="e">
        <f t="shared" ca="1" si="27"/>
        <v>#N/A</v>
      </c>
      <c r="Z71" s="14" t="e">
        <f t="shared" ca="1" si="27"/>
        <v>#N/A</v>
      </c>
      <c r="AA71" s="14" t="e">
        <f t="shared" ca="1" si="27"/>
        <v>#N/A</v>
      </c>
      <c r="AB71" s="14" t="e">
        <f t="shared" ca="1" si="27"/>
        <v>#N/A</v>
      </c>
      <c r="AC71" s="14" t="e">
        <f t="shared" ca="1" si="27"/>
        <v>#N/A</v>
      </c>
      <c r="AD71" s="14" t="e">
        <f t="shared" ca="1" si="27"/>
        <v>#N/A</v>
      </c>
      <c r="AE71" s="14" t="e">
        <f t="shared" ca="1" si="27"/>
        <v>#N/A</v>
      </c>
      <c r="AF71" s="14" t="e">
        <f t="shared" ca="1" si="27"/>
        <v>#N/A</v>
      </c>
      <c r="AG71" s="14" t="e">
        <f t="shared" ca="1" si="27"/>
        <v>#N/A</v>
      </c>
      <c r="AH71" s="14" t="e">
        <f t="shared" ca="1" si="27"/>
        <v>#N/A</v>
      </c>
      <c r="AI71" s="14" t="e">
        <f t="shared" ca="1" si="27"/>
        <v>#N/A</v>
      </c>
      <c r="AJ71" s="14" t="e">
        <f t="shared" ca="1" si="27"/>
        <v>#N/A</v>
      </c>
      <c r="AK71" s="14" t="e">
        <f t="shared" ca="1" si="27"/>
        <v>#N/A</v>
      </c>
      <c r="AL71" s="14" t="e">
        <f t="shared" ca="1" si="27"/>
        <v>#N/A</v>
      </c>
      <c r="AM71" s="14" t="e">
        <f t="shared" ca="1" si="27"/>
        <v>#N/A</v>
      </c>
      <c r="AN71" s="14" t="e">
        <f t="shared" ca="1" si="27"/>
        <v>#N/A</v>
      </c>
      <c r="AO71" s="14" t="e">
        <f t="shared" ca="1" si="27"/>
        <v>#N/A</v>
      </c>
      <c r="AP71" s="14" t="e">
        <f t="shared" ca="1" si="27"/>
        <v>#N/A</v>
      </c>
      <c r="AQ71" s="14" t="e">
        <f t="shared" ca="1" si="27"/>
        <v>#N/A</v>
      </c>
      <c r="AR71" s="14" t="e">
        <f t="shared" ca="1" si="27"/>
        <v>#N/A</v>
      </c>
      <c r="AS71" s="14" t="e">
        <f t="shared" ca="1" si="27"/>
        <v>#N/A</v>
      </c>
      <c r="AT71" s="14" t="e">
        <f t="shared" ca="1" si="27"/>
        <v>#N/A</v>
      </c>
      <c r="AU71" s="14" t="e">
        <f t="shared" ca="1" si="27"/>
        <v>#N/A</v>
      </c>
      <c r="AV71" s="14" t="e">
        <f t="shared" ca="1" si="27"/>
        <v>#N/A</v>
      </c>
      <c r="AW71" s="14" t="e">
        <f t="shared" ca="1" si="27"/>
        <v>#N/A</v>
      </c>
      <c r="AX71" s="14" t="e">
        <f t="shared" ca="1" si="27"/>
        <v>#N/A</v>
      </c>
      <c r="AY71" s="14" t="e">
        <f t="shared" ca="1" si="27"/>
        <v>#N/A</v>
      </c>
      <c r="AZ71" s="14" t="e">
        <f t="shared" ca="1" si="27"/>
        <v>#N/A</v>
      </c>
      <c r="BA71" s="14" t="e">
        <f t="shared" ca="1" si="27"/>
        <v>#N/A</v>
      </c>
      <c r="BB71" s="14" t="e">
        <f t="shared" ca="1" si="27"/>
        <v>#N/A</v>
      </c>
      <c r="BC71" s="14" t="e">
        <f t="shared" ca="1" si="27"/>
        <v>#N/A</v>
      </c>
      <c r="BD71" s="14" t="e">
        <f t="shared" ca="1" si="27"/>
        <v>#N/A</v>
      </c>
      <c r="BE71" s="14" t="e">
        <f t="shared" ca="1" si="27"/>
        <v>#N/A</v>
      </c>
      <c r="BF71" s="14" t="e">
        <f t="shared" ca="1" si="27"/>
        <v>#N/A</v>
      </c>
      <c r="BG71" s="14" t="e">
        <f t="shared" ca="1" si="27"/>
        <v>#N/A</v>
      </c>
      <c r="BH71" s="14" t="e">
        <f t="shared" ca="1" si="27"/>
        <v>#N/A</v>
      </c>
      <c r="BI71" s="14" t="e">
        <f t="shared" ca="1" si="27"/>
        <v>#N/A</v>
      </c>
      <c r="BJ71" s="14" t="e">
        <f t="shared" ca="1" si="27"/>
        <v>#N/A</v>
      </c>
      <c r="BK71" s="14" t="e">
        <f t="shared" ca="1" si="27"/>
        <v>#N/A</v>
      </c>
      <c r="BL71" s="14" t="e">
        <f t="shared" ca="1" si="27"/>
        <v>#N/A</v>
      </c>
      <c r="BM71" s="14" t="e">
        <f t="shared" ca="1" si="27"/>
        <v>#N/A</v>
      </c>
      <c r="BN71" s="14" t="e">
        <f t="shared" ca="1" si="27"/>
        <v>#N/A</v>
      </c>
      <c r="BO71" s="14" t="e">
        <f t="shared" ca="1" si="27"/>
        <v>#N/A</v>
      </c>
      <c r="BP71" s="14" t="e">
        <f t="shared" ca="1" si="27"/>
        <v>#N/A</v>
      </c>
      <c r="BQ71" s="14" t="e">
        <f t="shared" ca="1" si="27"/>
        <v>#N/A</v>
      </c>
      <c r="BR71" s="14" t="e">
        <f t="shared" ca="1" si="27"/>
        <v>#N/A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 t="e">
        <f t="shared" ca="1" si="25"/>
        <v>#N/A</v>
      </c>
      <c r="G72" s="14" t="e">
        <f t="shared" ca="1" si="27"/>
        <v>#N/A</v>
      </c>
      <c r="H72" s="14" t="e">
        <f t="shared" ca="1" si="27"/>
        <v>#N/A</v>
      </c>
      <c r="I72" s="14" t="e">
        <f t="shared" ca="1" si="27"/>
        <v>#N/A</v>
      </c>
      <c r="J72" s="14" t="e">
        <f t="shared" ca="1" si="27"/>
        <v>#N/A</v>
      </c>
      <c r="K72" s="14" t="e">
        <f t="shared" ca="1" si="27"/>
        <v>#N/A</v>
      </c>
      <c r="L72" s="14" t="e">
        <f t="shared" ca="1" si="27"/>
        <v>#N/A</v>
      </c>
      <c r="M72" s="14" t="e">
        <f t="shared" ca="1" si="27"/>
        <v>#N/A</v>
      </c>
      <c r="N72" s="14" t="e">
        <f t="shared" ca="1" si="27"/>
        <v>#N/A</v>
      </c>
      <c r="O72" s="14" t="e">
        <f t="shared" ca="1" si="27"/>
        <v>#N/A</v>
      </c>
      <c r="P72" s="14" t="e">
        <f t="shared" ca="1" si="27"/>
        <v>#N/A</v>
      </c>
      <c r="Q72" s="14" t="e">
        <f t="shared" ca="1" si="27"/>
        <v>#N/A</v>
      </c>
      <c r="R72" s="14" t="e">
        <f t="shared" ca="1" si="27"/>
        <v>#N/A</v>
      </c>
      <c r="S72" s="14" t="e">
        <f t="shared" ca="1" si="27"/>
        <v>#N/A</v>
      </c>
      <c r="T72" s="14" t="e">
        <f t="shared" ca="1" si="27"/>
        <v>#N/A</v>
      </c>
      <c r="U72" s="14" t="e">
        <f t="shared" ca="1" si="27"/>
        <v>#N/A</v>
      </c>
      <c r="V72" s="14" t="e">
        <f t="shared" ca="1" si="27"/>
        <v>#N/A</v>
      </c>
      <c r="W72" s="14" t="e">
        <f t="shared" ca="1" si="27"/>
        <v>#N/A</v>
      </c>
      <c r="X72" s="14" t="e">
        <f t="shared" ca="1" si="27"/>
        <v>#N/A</v>
      </c>
      <c r="Y72" s="14" t="e">
        <f t="shared" ca="1" si="27"/>
        <v>#N/A</v>
      </c>
      <c r="Z72" s="14" t="e">
        <f t="shared" ca="1" si="27"/>
        <v>#N/A</v>
      </c>
      <c r="AA72" s="14" t="e">
        <f t="shared" ca="1" si="27"/>
        <v>#N/A</v>
      </c>
      <c r="AB72" s="14" t="e">
        <f t="shared" ca="1" si="27"/>
        <v>#N/A</v>
      </c>
      <c r="AC72" s="14" t="e">
        <f t="shared" ca="1" si="27"/>
        <v>#N/A</v>
      </c>
      <c r="AD72" s="14" t="e">
        <f t="shared" ca="1" si="27"/>
        <v>#N/A</v>
      </c>
      <c r="AE72" s="14" t="e">
        <f t="shared" ca="1" si="27"/>
        <v>#N/A</v>
      </c>
      <c r="AF72" s="14" t="e">
        <f t="shared" ca="1" si="27"/>
        <v>#N/A</v>
      </c>
      <c r="AG72" s="14" t="e">
        <f t="shared" ca="1" si="27"/>
        <v>#N/A</v>
      </c>
      <c r="AH72" s="14" t="e">
        <f t="shared" ca="1" si="27"/>
        <v>#N/A</v>
      </c>
      <c r="AI72" s="14" t="e">
        <f t="shared" ca="1" si="27"/>
        <v>#N/A</v>
      </c>
      <c r="AJ72" s="14" t="e">
        <f t="shared" ca="1" si="27"/>
        <v>#N/A</v>
      </c>
      <c r="AK72" s="14" t="e">
        <f t="shared" ca="1" si="27"/>
        <v>#N/A</v>
      </c>
      <c r="AL72" s="14" t="e">
        <f t="shared" ca="1" si="27"/>
        <v>#N/A</v>
      </c>
      <c r="AM72" s="14" t="e">
        <f t="shared" ca="1" si="27"/>
        <v>#N/A</v>
      </c>
      <c r="AN72" s="14" t="e">
        <f t="shared" ca="1" si="27"/>
        <v>#N/A</v>
      </c>
      <c r="AO72" s="14" t="e">
        <f t="shared" ca="1" si="27"/>
        <v>#N/A</v>
      </c>
      <c r="AP72" s="14" t="e">
        <f t="shared" ca="1" si="27"/>
        <v>#N/A</v>
      </c>
      <c r="AQ72" s="14" t="e">
        <f t="shared" ca="1" si="27"/>
        <v>#N/A</v>
      </c>
      <c r="AR72" s="14" t="e">
        <f t="shared" ca="1" si="27"/>
        <v>#N/A</v>
      </c>
      <c r="AS72" s="14" t="e">
        <f t="shared" ca="1" si="27"/>
        <v>#N/A</v>
      </c>
      <c r="AT72" s="14" t="e">
        <f t="shared" ca="1" si="27"/>
        <v>#N/A</v>
      </c>
      <c r="AU72" s="14" t="e">
        <f t="shared" ca="1" si="27"/>
        <v>#N/A</v>
      </c>
      <c r="AV72" s="14" t="e">
        <f t="shared" ca="1" si="27"/>
        <v>#N/A</v>
      </c>
      <c r="AW72" s="14" t="e">
        <f t="shared" ca="1" si="27"/>
        <v>#N/A</v>
      </c>
      <c r="AX72" s="14" t="e">
        <f t="shared" ca="1" si="27"/>
        <v>#N/A</v>
      </c>
      <c r="AY72" s="14" t="e">
        <f t="shared" ca="1" si="27"/>
        <v>#N/A</v>
      </c>
      <c r="AZ72" s="14" t="e">
        <f t="shared" ca="1" si="27"/>
        <v>#N/A</v>
      </c>
      <c r="BA72" s="14" t="e">
        <f t="shared" ca="1" si="27"/>
        <v>#N/A</v>
      </c>
      <c r="BB72" s="14" t="e">
        <f t="shared" ca="1" si="27"/>
        <v>#N/A</v>
      </c>
      <c r="BC72" s="14" t="e">
        <f t="shared" ca="1" si="27"/>
        <v>#N/A</v>
      </c>
      <c r="BD72" s="14" t="e">
        <f t="shared" ca="1" si="27"/>
        <v>#N/A</v>
      </c>
      <c r="BE72" s="14" t="e">
        <f t="shared" ca="1" si="27"/>
        <v>#N/A</v>
      </c>
      <c r="BF72" s="14" t="e">
        <f t="shared" ca="1" si="27"/>
        <v>#N/A</v>
      </c>
      <c r="BG72" s="14" t="e">
        <f t="shared" ca="1" si="27"/>
        <v>#N/A</v>
      </c>
      <c r="BH72" s="14" t="e">
        <f t="shared" ca="1" si="27"/>
        <v>#N/A</v>
      </c>
      <c r="BI72" s="14" t="e">
        <f t="shared" ca="1" si="27"/>
        <v>#N/A</v>
      </c>
      <c r="BJ72" s="14" t="e">
        <f t="shared" ca="1" si="27"/>
        <v>#N/A</v>
      </c>
      <c r="BK72" s="14" t="e">
        <f t="shared" ca="1" si="27"/>
        <v>#N/A</v>
      </c>
      <c r="BL72" s="14" t="e">
        <f t="shared" ca="1" si="27"/>
        <v>#N/A</v>
      </c>
      <c r="BM72" s="14" t="e">
        <f t="shared" ca="1" si="27"/>
        <v>#N/A</v>
      </c>
      <c r="BN72" s="14" t="e">
        <f t="shared" ca="1" si="27"/>
        <v>#N/A</v>
      </c>
      <c r="BO72" s="14" t="e">
        <f t="shared" ca="1" si="27"/>
        <v>#N/A</v>
      </c>
      <c r="BP72" s="14" t="e">
        <f t="shared" ca="1" si="27"/>
        <v>#N/A</v>
      </c>
      <c r="BQ72" s="14" t="e">
        <f t="shared" ca="1" si="27"/>
        <v>#N/A</v>
      </c>
      <c r="BR72" s="14" t="e">
        <f t="shared" ca="1" si="27"/>
        <v>#N/A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 t="e">
        <f t="shared" ca="1" si="25"/>
        <v>#N/A</v>
      </c>
      <c r="G73" s="14" t="e">
        <f t="shared" ca="1" si="27"/>
        <v>#N/A</v>
      </c>
      <c r="H73" s="14" t="e">
        <f t="shared" ca="1" si="27"/>
        <v>#N/A</v>
      </c>
      <c r="I73" s="14" t="e">
        <f t="shared" ca="1" si="27"/>
        <v>#N/A</v>
      </c>
      <c r="J73" s="14" t="e">
        <f t="shared" ca="1" si="27"/>
        <v>#N/A</v>
      </c>
      <c r="K73" s="14" t="e">
        <f t="shared" ca="1" si="27"/>
        <v>#N/A</v>
      </c>
      <c r="L73" s="14" t="e">
        <f t="shared" ca="1" si="27"/>
        <v>#N/A</v>
      </c>
      <c r="M73" s="14" t="e">
        <f t="shared" ca="1" si="27"/>
        <v>#N/A</v>
      </c>
      <c r="N73" s="14" t="e">
        <f t="shared" ca="1" si="27"/>
        <v>#N/A</v>
      </c>
      <c r="O73" s="14" t="e">
        <f t="shared" ca="1" si="27"/>
        <v>#N/A</v>
      </c>
      <c r="P73" s="14" t="e">
        <f t="shared" ca="1" si="27"/>
        <v>#N/A</v>
      </c>
      <c r="Q73" s="14" t="e">
        <f t="shared" ca="1" si="27"/>
        <v>#N/A</v>
      </c>
      <c r="R73" s="14" t="e">
        <f t="shared" ca="1" si="27"/>
        <v>#N/A</v>
      </c>
      <c r="S73" s="14" t="e">
        <f t="shared" ca="1" si="27"/>
        <v>#N/A</v>
      </c>
      <c r="T73" s="14" t="e">
        <f t="shared" ca="1" si="27"/>
        <v>#N/A</v>
      </c>
      <c r="U73" s="14" t="e">
        <f t="shared" ca="1" si="27"/>
        <v>#N/A</v>
      </c>
      <c r="V73" s="14" t="e">
        <f t="shared" ca="1" si="27"/>
        <v>#N/A</v>
      </c>
      <c r="W73" s="14" t="e">
        <f t="shared" ca="1" si="27"/>
        <v>#N/A</v>
      </c>
      <c r="X73" s="14" t="e">
        <f t="shared" ca="1" si="27"/>
        <v>#N/A</v>
      </c>
      <c r="Y73" s="14" t="e">
        <f t="shared" ca="1" si="27"/>
        <v>#N/A</v>
      </c>
      <c r="Z73" s="14" t="e">
        <f t="shared" ca="1" si="27"/>
        <v>#N/A</v>
      </c>
      <c r="AA73" s="14" t="e">
        <f t="shared" ca="1" si="27"/>
        <v>#N/A</v>
      </c>
      <c r="AB73" s="14" t="e">
        <f t="shared" ca="1" si="27"/>
        <v>#N/A</v>
      </c>
      <c r="AC73" s="14" t="e">
        <f t="shared" ca="1" si="27"/>
        <v>#N/A</v>
      </c>
      <c r="AD73" s="14" t="e">
        <f t="shared" ca="1" si="27"/>
        <v>#N/A</v>
      </c>
      <c r="AE73" s="14" t="e">
        <f t="shared" ca="1" si="27"/>
        <v>#N/A</v>
      </c>
      <c r="AF73" s="14" t="e">
        <f t="shared" ca="1" si="27"/>
        <v>#N/A</v>
      </c>
      <c r="AG73" s="14" t="e">
        <f t="shared" ca="1" si="27"/>
        <v>#N/A</v>
      </c>
      <c r="AH73" s="14" t="e">
        <f t="shared" ca="1" si="27"/>
        <v>#N/A</v>
      </c>
      <c r="AI73" s="14" t="e">
        <f t="shared" ca="1" si="27"/>
        <v>#N/A</v>
      </c>
      <c r="AJ73" s="14" t="e">
        <f t="shared" ca="1" si="27"/>
        <v>#N/A</v>
      </c>
      <c r="AK73" s="14" t="e">
        <f t="shared" ca="1" si="27"/>
        <v>#N/A</v>
      </c>
      <c r="AL73" s="14" t="e">
        <f t="shared" ca="1" si="27"/>
        <v>#N/A</v>
      </c>
      <c r="AM73" s="14" t="e">
        <f t="shared" ca="1" si="27"/>
        <v>#N/A</v>
      </c>
      <c r="AN73" s="14" t="e">
        <f t="shared" ca="1" si="27"/>
        <v>#N/A</v>
      </c>
      <c r="AO73" s="14" t="e">
        <f t="shared" ca="1" si="27"/>
        <v>#N/A</v>
      </c>
      <c r="AP73" s="14" t="e">
        <f t="shared" ca="1" si="27"/>
        <v>#N/A</v>
      </c>
      <c r="AQ73" s="14" t="e">
        <f t="shared" ca="1" si="27"/>
        <v>#N/A</v>
      </c>
      <c r="AR73" s="14" t="e">
        <f t="shared" ca="1" si="27"/>
        <v>#N/A</v>
      </c>
      <c r="AS73" s="14" t="e">
        <f t="shared" ca="1" si="27"/>
        <v>#N/A</v>
      </c>
      <c r="AT73" s="14" t="e">
        <f t="shared" ca="1" si="27"/>
        <v>#N/A</v>
      </c>
      <c r="AU73" s="14" t="e">
        <f t="shared" ca="1" si="27"/>
        <v>#N/A</v>
      </c>
      <c r="AV73" s="14" t="e">
        <f t="shared" ca="1" si="27"/>
        <v>#N/A</v>
      </c>
      <c r="AW73" s="14" t="e">
        <f t="shared" ca="1" si="27"/>
        <v>#N/A</v>
      </c>
      <c r="AX73" s="14" t="e">
        <f t="shared" ca="1" si="27"/>
        <v>#N/A</v>
      </c>
      <c r="AY73" s="14" t="e">
        <f t="shared" ca="1" si="27"/>
        <v>#N/A</v>
      </c>
      <c r="AZ73" s="14" t="e">
        <f t="shared" ca="1" si="27"/>
        <v>#N/A</v>
      </c>
      <c r="BA73" s="14" t="e">
        <f t="shared" ca="1" si="27"/>
        <v>#N/A</v>
      </c>
      <c r="BB73" s="14" t="e">
        <f t="shared" ca="1" si="27"/>
        <v>#N/A</v>
      </c>
      <c r="BC73" s="14" t="e">
        <f t="shared" ca="1" si="27"/>
        <v>#N/A</v>
      </c>
      <c r="BD73" s="14" t="e">
        <f t="shared" ca="1" si="27"/>
        <v>#N/A</v>
      </c>
      <c r="BE73" s="14" t="e">
        <f t="shared" ca="1" si="27"/>
        <v>#N/A</v>
      </c>
      <c r="BF73" s="14" t="e">
        <f t="shared" ca="1" si="27"/>
        <v>#N/A</v>
      </c>
      <c r="BG73" s="14" t="e">
        <f t="shared" ca="1" si="27"/>
        <v>#N/A</v>
      </c>
      <c r="BH73" s="14" t="e">
        <f t="shared" ca="1" si="27"/>
        <v>#N/A</v>
      </c>
      <c r="BI73" s="14" t="e">
        <f t="shared" ca="1" si="27"/>
        <v>#N/A</v>
      </c>
      <c r="BJ73" s="14" t="e">
        <f t="shared" ca="1" si="27"/>
        <v>#N/A</v>
      </c>
      <c r="BK73" s="14" t="e">
        <f t="shared" ca="1" si="27"/>
        <v>#N/A</v>
      </c>
      <c r="BL73" s="14" t="e">
        <f t="shared" ca="1" si="27"/>
        <v>#N/A</v>
      </c>
      <c r="BM73" s="14" t="e">
        <f t="shared" ca="1" si="27"/>
        <v>#N/A</v>
      </c>
      <c r="BN73" s="14" t="e">
        <f t="shared" ca="1" si="27"/>
        <v>#N/A</v>
      </c>
      <c r="BO73" s="14" t="e">
        <f t="shared" ca="1" si="27"/>
        <v>#N/A</v>
      </c>
      <c r="BP73" s="14" t="e">
        <f t="shared" ca="1" si="27"/>
        <v>#N/A</v>
      </c>
      <c r="BQ73" s="14" t="e">
        <f t="shared" ca="1" si="27"/>
        <v>#N/A</v>
      </c>
      <c r="BR73" s="14" t="e">
        <f t="shared" ca="1" si="27"/>
        <v>#N/A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 t="e">
        <f t="shared" ca="1" si="25"/>
        <v>#N/A</v>
      </c>
      <c r="G74" s="14" t="e">
        <f t="shared" ca="1" si="27"/>
        <v>#N/A</v>
      </c>
      <c r="H74" s="14" t="e">
        <f t="shared" ca="1" si="27"/>
        <v>#N/A</v>
      </c>
      <c r="I74" s="14" t="e">
        <f t="shared" ca="1" si="27"/>
        <v>#N/A</v>
      </c>
      <c r="J74" s="14" t="e">
        <f t="shared" ca="1" si="27"/>
        <v>#N/A</v>
      </c>
      <c r="K74" s="14" t="e">
        <f t="shared" ca="1" si="27"/>
        <v>#N/A</v>
      </c>
      <c r="L74" s="14" t="e">
        <f t="shared" ca="1" si="27"/>
        <v>#N/A</v>
      </c>
      <c r="M74" s="14" t="e">
        <f t="shared" ca="1" si="27"/>
        <v>#N/A</v>
      </c>
      <c r="N74" s="14" t="e">
        <f t="shared" ca="1" si="27"/>
        <v>#N/A</v>
      </c>
      <c r="O74" s="14" t="e">
        <f t="shared" ca="1" si="27"/>
        <v>#N/A</v>
      </c>
      <c r="P74" s="14" t="e">
        <f t="shared" ca="1" si="27"/>
        <v>#N/A</v>
      </c>
      <c r="Q74" s="14" t="e">
        <f t="shared" ca="1" si="27"/>
        <v>#N/A</v>
      </c>
      <c r="R74" s="14" t="e">
        <f t="shared" ca="1" si="27"/>
        <v>#N/A</v>
      </c>
      <c r="S74" s="14" t="e">
        <f t="shared" ca="1" si="27"/>
        <v>#N/A</v>
      </c>
      <c r="T74" s="14" t="e">
        <f t="shared" ca="1" si="27"/>
        <v>#N/A</v>
      </c>
      <c r="U74" s="14" t="e">
        <f t="shared" ca="1" si="27"/>
        <v>#N/A</v>
      </c>
      <c r="V74" s="14" t="e">
        <f t="shared" ca="1" si="27"/>
        <v>#N/A</v>
      </c>
      <c r="W74" s="14" t="e">
        <f t="shared" ca="1" si="27"/>
        <v>#N/A</v>
      </c>
      <c r="X74" s="14" t="e">
        <f t="shared" ca="1" si="27"/>
        <v>#N/A</v>
      </c>
      <c r="Y74" s="14" t="e">
        <f t="shared" ca="1" si="27"/>
        <v>#N/A</v>
      </c>
      <c r="Z74" s="14" t="e">
        <f t="shared" ca="1" si="27"/>
        <v>#N/A</v>
      </c>
      <c r="AA74" s="14" t="e">
        <f t="shared" ca="1" si="27"/>
        <v>#N/A</v>
      </c>
      <c r="AB74" s="14" t="e">
        <f t="shared" ca="1" si="27"/>
        <v>#N/A</v>
      </c>
      <c r="AC74" s="14" t="e">
        <f t="shared" ca="1" si="27"/>
        <v>#N/A</v>
      </c>
      <c r="AD74" s="14" t="e">
        <f t="shared" ca="1" si="27"/>
        <v>#N/A</v>
      </c>
      <c r="AE74" s="14" t="e">
        <f t="shared" ca="1" si="27"/>
        <v>#N/A</v>
      </c>
      <c r="AF74" s="14" t="e">
        <f t="shared" ca="1" si="27"/>
        <v>#N/A</v>
      </c>
      <c r="AG74" s="14" t="e">
        <f t="shared" ca="1" si="27"/>
        <v>#N/A</v>
      </c>
      <c r="AH74" s="14" t="e">
        <f t="shared" ca="1" si="27"/>
        <v>#N/A</v>
      </c>
      <c r="AI74" s="14" t="e">
        <f t="shared" ca="1" si="27"/>
        <v>#N/A</v>
      </c>
      <c r="AJ74" s="14" t="e">
        <f t="shared" ca="1" si="27"/>
        <v>#N/A</v>
      </c>
      <c r="AK74" s="14" t="e">
        <f t="shared" ca="1" si="27"/>
        <v>#N/A</v>
      </c>
      <c r="AL74" s="14" t="e">
        <f t="shared" ca="1" si="27"/>
        <v>#N/A</v>
      </c>
      <c r="AM74" s="14" t="e">
        <f t="shared" ca="1" si="27"/>
        <v>#N/A</v>
      </c>
      <c r="AN74" s="14" t="e">
        <f t="shared" ca="1" si="27"/>
        <v>#N/A</v>
      </c>
      <c r="AO74" s="14" t="e">
        <f t="shared" ca="1" si="27"/>
        <v>#N/A</v>
      </c>
      <c r="AP74" s="14" t="e">
        <f t="shared" ca="1" si="27"/>
        <v>#N/A</v>
      </c>
      <c r="AQ74" s="14" t="e">
        <f t="shared" ca="1" si="27"/>
        <v>#N/A</v>
      </c>
      <c r="AR74" s="14" t="e">
        <f t="shared" ca="1" si="27"/>
        <v>#N/A</v>
      </c>
      <c r="AS74" s="14" t="e">
        <f t="shared" ref="AS74:BR74" ca="1" si="28">$A74*H.Ar + $B74*H.Se + $C74*H.Ge + $D74*H.Ga</f>
        <v>#N/A</v>
      </c>
      <c r="AT74" s="14" t="e">
        <f t="shared" ca="1" si="28"/>
        <v>#N/A</v>
      </c>
      <c r="AU74" s="14" t="e">
        <f t="shared" ca="1" si="28"/>
        <v>#N/A</v>
      </c>
      <c r="AV74" s="14" t="e">
        <f t="shared" ca="1" si="28"/>
        <v>#N/A</v>
      </c>
      <c r="AW74" s="14" t="e">
        <f t="shared" ca="1" si="28"/>
        <v>#N/A</v>
      </c>
      <c r="AX74" s="14" t="e">
        <f t="shared" ca="1" si="28"/>
        <v>#N/A</v>
      </c>
      <c r="AY74" s="14" t="e">
        <f t="shared" ca="1" si="28"/>
        <v>#N/A</v>
      </c>
      <c r="AZ74" s="14" t="e">
        <f t="shared" ca="1" si="28"/>
        <v>#N/A</v>
      </c>
      <c r="BA74" s="14" t="e">
        <f t="shared" ca="1" si="28"/>
        <v>#N/A</v>
      </c>
      <c r="BB74" s="14" t="e">
        <f t="shared" ca="1" si="28"/>
        <v>#N/A</v>
      </c>
      <c r="BC74" s="14" t="e">
        <f t="shared" ca="1" si="28"/>
        <v>#N/A</v>
      </c>
      <c r="BD74" s="14" t="e">
        <f t="shared" ca="1" si="28"/>
        <v>#N/A</v>
      </c>
      <c r="BE74" s="14" t="e">
        <f t="shared" ca="1" si="28"/>
        <v>#N/A</v>
      </c>
      <c r="BF74" s="14" t="e">
        <f t="shared" ca="1" si="28"/>
        <v>#N/A</v>
      </c>
      <c r="BG74" s="14" t="e">
        <f t="shared" ca="1" si="28"/>
        <v>#N/A</v>
      </c>
      <c r="BH74" s="14" t="e">
        <f t="shared" ca="1" si="28"/>
        <v>#N/A</v>
      </c>
      <c r="BI74" s="14" t="e">
        <f t="shared" ca="1" si="28"/>
        <v>#N/A</v>
      </c>
      <c r="BJ74" s="14" t="e">
        <f t="shared" ca="1" si="28"/>
        <v>#N/A</v>
      </c>
      <c r="BK74" s="14" t="e">
        <f t="shared" ca="1" si="28"/>
        <v>#N/A</v>
      </c>
      <c r="BL74" s="14" t="e">
        <f t="shared" ca="1" si="28"/>
        <v>#N/A</v>
      </c>
      <c r="BM74" s="14" t="e">
        <f t="shared" ca="1" si="28"/>
        <v>#N/A</v>
      </c>
      <c r="BN74" s="14" t="e">
        <f t="shared" ca="1" si="28"/>
        <v>#N/A</v>
      </c>
      <c r="BO74" s="14" t="e">
        <f t="shared" ca="1" si="28"/>
        <v>#N/A</v>
      </c>
      <c r="BP74" s="14" t="e">
        <f t="shared" ca="1" si="28"/>
        <v>#N/A</v>
      </c>
      <c r="BQ74" s="14" t="e">
        <f t="shared" ca="1" si="28"/>
        <v>#N/A</v>
      </c>
      <c r="BR74" s="14" t="e">
        <f t="shared" ca="1" si="28"/>
        <v>#N/A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0</v>
      </c>
      <c r="G79" s="3">
        <f t="shared" ref="G79:BR79" si="31">G3</f>
        <v>0</v>
      </c>
      <c r="H79" s="3">
        <f t="shared" si="31"/>
        <v>0</v>
      </c>
      <c r="I79" s="3">
        <f t="shared" si="31"/>
        <v>0</v>
      </c>
      <c r="J79" s="3">
        <f t="shared" si="31"/>
        <v>0</v>
      </c>
      <c r="K79" s="3">
        <f t="shared" si="31"/>
        <v>0</v>
      </c>
      <c r="L79" s="3">
        <f t="shared" si="31"/>
        <v>0</v>
      </c>
      <c r="M79" s="3">
        <f t="shared" si="31"/>
        <v>0</v>
      </c>
      <c r="N79" s="3">
        <f t="shared" si="31"/>
        <v>0</v>
      </c>
      <c r="O79" s="3">
        <f t="shared" si="31"/>
        <v>0</v>
      </c>
      <c r="P79" s="3">
        <f t="shared" si="31"/>
        <v>0</v>
      </c>
      <c r="Q79" s="3">
        <f t="shared" si="31"/>
        <v>0</v>
      </c>
      <c r="R79" s="3">
        <f t="shared" si="31"/>
        <v>0</v>
      </c>
      <c r="S79" s="3">
        <f t="shared" si="31"/>
        <v>0</v>
      </c>
      <c r="T79" s="3">
        <f t="shared" si="31"/>
        <v>0</v>
      </c>
      <c r="U79" s="3">
        <f t="shared" si="31"/>
        <v>0</v>
      </c>
      <c r="V79" s="3">
        <f t="shared" si="31"/>
        <v>0</v>
      </c>
      <c r="W79" s="3">
        <f t="shared" si="31"/>
        <v>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0</v>
      </c>
      <c r="E80" s="6">
        <f t="shared" si="29"/>
        <v>0</v>
      </c>
      <c r="F80" s="14" t="e">
        <f t="shared" ref="F80" si="33">F4*$C$78</f>
        <v>#DIV/0!</v>
      </c>
      <c r="G80" s="14" t="e">
        <f t="shared" ref="G80:BR80" si="34">G4*$C$78</f>
        <v>#DIV/0!</v>
      </c>
      <c r="H80" s="14" t="e">
        <f t="shared" si="34"/>
        <v>#DIV/0!</v>
      </c>
      <c r="I80" s="14" t="e">
        <f t="shared" si="34"/>
        <v>#DIV/0!</v>
      </c>
      <c r="J80" s="14" t="e">
        <f t="shared" si="34"/>
        <v>#DIV/0!</v>
      </c>
      <c r="K80" s="14" t="e">
        <f t="shared" si="34"/>
        <v>#DIV/0!</v>
      </c>
      <c r="L80" s="14" t="e">
        <f t="shared" si="34"/>
        <v>#DIV/0!</v>
      </c>
      <c r="M80" s="14" t="e">
        <f t="shared" si="34"/>
        <v>#DIV/0!</v>
      </c>
      <c r="N80" s="14" t="e">
        <f t="shared" si="34"/>
        <v>#DIV/0!</v>
      </c>
      <c r="O80" s="14" t="e">
        <f t="shared" si="34"/>
        <v>#DIV/0!</v>
      </c>
      <c r="P80" s="14" t="e">
        <f t="shared" si="34"/>
        <v>#DIV/0!</v>
      </c>
      <c r="Q80" s="14" t="e">
        <f t="shared" si="34"/>
        <v>#DIV/0!</v>
      </c>
      <c r="R80" s="14" t="e">
        <f t="shared" si="34"/>
        <v>#DIV/0!</v>
      </c>
      <c r="S80" s="14" t="e">
        <f t="shared" si="34"/>
        <v>#DIV/0!</v>
      </c>
      <c r="T80" s="14" t="e">
        <f t="shared" si="34"/>
        <v>#DIV/0!</v>
      </c>
      <c r="U80" s="14" t="e">
        <f t="shared" si="34"/>
        <v>#DIV/0!</v>
      </c>
      <c r="V80" s="14" t="e">
        <f t="shared" si="34"/>
        <v>#DIV/0!</v>
      </c>
      <c r="W80" s="14" t="e">
        <f t="shared" si="34"/>
        <v>#DIV/0!</v>
      </c>
      <c r="X80" s="14" t="e">
        <f t="shared" si="34"/>
        <v>#DIV/0!</v>
      </c>
      <c r="Y80" s="14" t="e">
        <f t="shared" si="34"/>
        <v>#DIV/0!</v>
      </c>
      <c r="Z80" s="14" t="e">
        <f t="shared" si="34"/>
        <v>#DIV/0!</v>
      </c>
      <c r="AA80" s="14" t="e">
        <f t="shared" si="34"/>
        <v>#DIV/0!</v>
      </c>
      <c r="AB80" s="14" t="e">
        <f t="shared" si="34"/>
        <v>#DIV/0!</v>
      </c>
      <c r="AC80" s="14" t="e">
        <f t="shared" si="34"/>
        <v>#DIV/0!</v>
      </c>
      <c r="AD80" s="14" t="e">
        <f t="shared" si="34"/>
        <v>#DIV/0!</v>
      </c>
      <c r="AE80" s="14" t="e">
        <f t="shared" si="34"/>
        <v>#DIV/0!</v>
      </c>
      <c r="AF80" s="14" t="e">
        <f t="shared" si="34"/>
        <v>#DIV/0!</v>
      </c>
      <c r="AG80" s="14" t="e">
        <f t="shared" si="34"/>
        <v>#DIV/0!</v>
      </c>
      <c r="AH80" s="14" t="e">
        <f t="shared" si="34"/>
        <v>#DIV/0!</v>
      </c>
      <c r="AI80" s="14" t="e">
        <f t="shared" si="34"/>
        <v>#DIV/0!</v>
      </c>
      <c r="AJ80" s="14" t="e">
        <f t="shared" si="34"/>
        <v>#DIV/0!</v>
      </c>
      <c r="AK80" s="14" t="e">
        <f t="shared" si="34"/>
        <v>#DIV/0!</v>
      </c>
      <c r="AL80" s="14" t="e">
        <f t="shared" si="34"/>
        <v>#DIV/0!</v>
      </c>
      <c r="AM80" s="14" t="e">
        <f t="shared" si="34"/>
        <v>#DIV/0!</v>
      </c>
      <c r="AN80" s="14" t="e">
        <f t="shared" si="34"/>
        <v>#DIV/0!</v>
      </c>
      <c r="AO80" s="14" t="e">
        <f t="shared" si="34"/>
        <v>#DIV/0!</v>
      </c>
      <c r="AP80" s="14" t="e">
        <f t="shared" si="34"/>
        <v>#DIV/0!</v>
      </c>
      <c r="AQ80" s="14" t="e">
        <f t="shared" si="34"/>
        <v>#DIV/0!</v>
      </c>
      <c r="AR80" s="14" t="e">
        <f t="shared" si="34"/>
        <v>#DIV/0!</v>
      </c>
      <c r="AS80" s="14" t="e">
        <f t="shared" si="34"/>
        <v>#DIV/0!</v>
      </c>
      <c r="AT80" s="14" t="e">
        <f t="shared" si="34"/>
        <v>#DIV/0!</v>
      </c>
      <c r="AU80" s="14" t="e">
        <f t="shared" si="34"/>
        <v>#DIV/0!</v>
      </c>
      <c r="AV80" s="14" t="e">
        <f t="shared" si="34"/>
        <v>#DIV/0!</v>
      </c>
      <c r="AW80" s="14" t="e">
        <f t="shared" si="34"/>
        <v>#DIV/0!</v>
      </c>
      <c r="AX80" s="14" t="e">
        <f t="shared" si="34"/>
        <v>#DIV/0!</v>
      </c>
      <c r="AY80" s="14" t="e">
        <f t="shared" si="34"/>
        <v>#DIV/0!</v>
      </c>
      <c r="AZ80" s="14" t="e">
        <f t="shared" si="34"/>
        <v>#DIV/0!</v>
      </c>
      <c r="BA80" s="14" t="e">
        <f t="shared" si="34"/>
        <v>#DIV/0!</v>
      </c>
      <c r="BB80" s="14" t="e">
        <f t="shared" si="34"/>
        <v>#DIV/0!</v>
      </c>
      <c r="BC80" s="14" t="e">
        <f t="shared" si="34"/>
        <v>#DIV/0!</v>
      </c>
      <c r="BD80" s="14" t="e">
        <f t="shared" si="34"/>
        <v>#DIV/0!</v>
      </c>
      <c r="BE80" s="14" t="e">
        <f t="shared" si="34"/>
        <v>#DIV/0!</v>
      </c>
      <c r="BF80" s="14" t="e">
        <f t="shared" si="34"/>
        <v>#DIV/0!</v>
      </c>
      <c r="BG80" s="14" t="e">
        <f t="shared" si="34"/>
        <v>#DIV/0!</v>
      </c>
      <c r="BH80" s="14" t="e">
        <f t="shared" si="34"/>
        <v>#DIV/0!</v>
      </c>
      <c r="BI80" s="14" t="e">
        <f t="shared" si="34"/>
        <v>#DIV/0!</v>
      </c>
      <c r="BJ80" s="14" t="e">
        <f t="shared" si="34"/>
        <v>#DIV/0!</v>
      </c>
      <c r="BK80" s="14" t="e">
        <f t="shared" si="34"/>
        <v>#DIV/0!</v>
      </c>
      <c r="BL80" s="14" t="e">
        <f t="shared" si="34"/>
        <v>#DIV/0!</v>
      </c>
      <c r="BM80" s="14" t="e">
        <f t="shared" si="34"/>
        <v>#DIV/0!</v>
      </c>
      <c r="BN80" s="14" t="e">
        <f t="shared" si="34"/>
        <v>#DIV/0!</v>
      </c>
      <c r="BO80" s="14" t="e">
        <f t="shared" si="34"/>
        <v>#DIV/0!</v>
      </c>
      <c r="BP80" s="14" t="e">
        <f t="shared" si="34"/>
        <v>#DIV/0!</v>
      </c>
      <c r="BQ80" s="14" t="e">
        <f t="shared" si="34"/>
        <v>#DIV/0!</v>
      </c>
      <c r="BR80" s="14" t="e">
        <f t="shared" si="34"/>
        <v>#DIV/0!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>
        <f t="shared" si="29"/>
        <v>0</v>
      </c>
      <c r="F81" s="14" t="e">
        <f t="shared" ref="F81" si="36">F5*$C$78</f>
        <v>#DIV/0!</v>
      </c>
      <c r="G81" s="14" t="e">
        <f t="shared" ref="G81:BR81" si="37">G5*$C$78</f>
        <v>#DIV/0!</v>
      </c>
      <c r="H81" s="14" t="e">
        <f t="shared" si="37"/>
        <v>#DIV/0!</v>
      </c>
      <c r="I81" s="14" t="e">
        <f t="shared" si="37"/>
        <v>#DIV/0!</v>
      </c>
      <c r="J81" s="14" t="e">
        <f t="shared" si="37"/>
        <v>#DIV/0!</v>
      </c>
      <c r="K81" s="14" t="e">
        <f t="shared" si="37"/>
        <v>#DIV/0!</v>
      </c>
      <c r="L81" s="14" t="e">
        <f t="shared" si="37"/>
        <v>#DIV/0!</v>
      </c>
      <c r="M81" s="14" t="e">
        <f t="shared" si="37"/>
        <v>#DIV/0!</v>
      </c>
      <c r="N81" s="14" t="e">
        <f t="shared" si="37"/>
        <v>#DIV/0!</v>
      </c>
      <c r="O81" s="14" t="e">
        <f t="shared" si="37"/>
        <v>#DIV/0!</v>
      </c>
      <c r="P81" s="14" t="e">
        <f t="shared" si="37"/>
        <v>#DIV/0!</v>
      </c>
      <c r="Q81" s="14" t="e">
        <f t="shared" si="37"/>
        <v>#DIV/0!</v>
      </c>
      <c r="R81" s="14" t="e">
        <f t="shared" si="37"/>
        <v>#DIV/0!</v>
      </c>
      <c r="S81" s="14" t="e">
        <f t="shared" si="37"/>
        <v>#DIV/0!</v>
      </c>
      <c r="T81" s="14" t="e">
        <f t="shared" si="37"/>
        <v>#DIV/0!</v>
      </c>
      <c r="U81" s="14" t="e">
        <f t="shared" si="37"/>
        <v>#DIV/0!</v>
      </c>
      <c r="V81" s="14" t="e">
        <f t="shared" si="37"/>
        <v>#DIV/0!</v>
      </c>
      <c r="W81" s="14" t="e">
        <f t="shared" si="37"/>
        <v>#DIV/0!</v>
      </c>
      <c r="X81" s="14" t="e">
        <f t="shared" si="37"/>
        <v>#DIV/0!</v>
      </c>
      <c r="Y81" s="14" t="e">
        <f t="shared" si="37"/>
        <v>#DIV/0!</v>
      </c>
      <c r="Z81" s="14" t="e">
        <f t="shared" si="37"/>
        <v>#DIV/0!</v>
      </c>
      <c r="AA81" s="14" t="e">
        <f t="shared" si="37"/>
        <v>#DIV/0!</v>
      </c>
      <c r="AB81" s="14" t="e">
        <f t="shared" si="37"/>
        <v>#DIV/0!</v>
      </c>
      <c r="AC81" s="14" t="e">
        <f t="shared" si="37"/>
        <v>#DIV/0!</v>
      </c>
      <c r="AD81" s="14" t="e">
        <f t="shared" si="37"/>
        <v>#DIV/0!</v>
      </c>
      <c r="AE81" s="14" t="e">
        <f t="shared" si="37"/>
        <v>#DIV/0!</v>
      </c>
      <c r="AF81" s="14" t="e">
        <f t="shared" si="37"/>
        <v>#DIV/0!</v>
      </c>
      <c r="AG81" s="14" t="e">
        <f t="shared" si="37"/>
        <v>#DIV/0!</v>
      </c>
      <c r="AH81" s="14" t="e">
        <f t="shared" si="37"/>
        <v>#DIV/0!</v>
      </c>
      <c r="AI81" s="14" t="e">
        <f t="shared" si="37"/>
        <v>#DIV/0!</v>
      </c>
      <c r="AJ81" s="14" t="e">
        <f t="shared" si="37"/>
        <v>#DIV/0!</v>
      </c>
      <c r="AK81" s="14" t="e">
        <f t="shared" si="37"/>
        <v>#DIV/0!</v>
      </c>
      <c r="AL81" s="14" t="e">
        <f t="shared" si="37"/>
        <v>#DIV/0!</v>
      </c>
      <c r="AM81" s="14" t="e">
        <f t="shared" si="37"/>
        <v>#DIV/0!</v>
      </c>
      <c r="AN81" s="14" t="e">
        <f t="shared" si="37"/>
        <v>#DIV/0!</v>
      </c>
      <c r="AO81" s="14" t="e">
        <f t="shared" si="37"/>
        <v>#DIV/0!</v>
      </c>
      <c r="AP81" s="14" t="e">
        <f t="shared" si="37"/>
        <v>#DIV/0!</v>
      </c>
      <c r="AQ81" s="14" t="e">
        <f t="shared" si="37"/>
        <v>#DIV/0!</v>
      </c>
      <c r="AR81" s="14" t="e">
        <f t="shared" si="37"/>
        <v>#DIV/0!</v>
      </c>
      <c r="AS81" s="14" t="e">
        <f t="shared" si="37"/>
        <v>#DIV/0!</v>
      </c>
      <c r="AT81" s="14" t="e">
        <f t="shared" si="37"/>
        <v>#DIV/0!</v>
      </c>
      <c r="AU81" s="14" t="e">
        <f t="shared" si="37"/>
        <v>#DIV/0!</v>
      </c>
      <c r="AV81" s="14" t="e">
        <f t="shared" si="37"/>
        <v>#DIV/0!</v>
      </c>
      <c r="AW81" s="14" t="e">
        <f t="shared" si="37"/>
        <v>#DIV/0!</v>
      </c>
      <c r="AX81" s="14" t="e">
        <f t="shared" si="37"/>
        <v>#DIV/0!</v>
      </c>
      <c r="AY81" s="14" t="e">
        <f t="shared" si="37"/>
        <v>#DIV/0!</v>
      </c>
      <c r="AZ81" s="14" t="e">
        <f t="shared" si="37"/>
        <v>#DIV/0!</v>
      </c>
      <c r="BA81" s="14" t="e">
        <f t="shared" si="37"/>
        <v>#DIV/0!</v>
      </c>
      <c r="BB81" s="14" t="e">
        <f t="shared" si="37"/>
        <v>#DIV/0!</v>
      </c>
      <c r="BC81" s="14" t="e">
        <f t="shared" si="37"/>
        <v>#DIV/0!</v>
      </c>
      <c r="BD81" s="14" t="e">
        <f t="shared" si="37"/>
        <v>#DIV/0!</v>
      </c>
      <c r="BE81" s="14" t="e">
        <f t="shared" si="37"/>
        <v>#DIV/0!</v>
      </c>
      <c r="BF81" s="14" t="e">
        <f t="shared" si="37"/>
        <v>#DIV/0!</v>
      </c>
      <c r="BG81" s="14" t="e">
        <f t="shared" si="37"/>
        <v>#DIV/0!</v>
      </c>
      <c r="BH81" s="14" t="e">
        <f t="shared" si="37"/>
        <v>#DIV/0!</v>
      </c>
      <c r="BI81" s="14" t="e">
        <f t="shared" si="37"/>
        <v>#DIV/0!</v>
      </c>
      <c r="BJ81" s="14" t="e">
        <f t="shared" si="37"/>
        <v>#DIV/0!</v>
      </c>
      <c r="BK81" s="14" t="e">
        <f t="shared" si="37"/>
        <v>#DIV/0!</v>
      </c>
      <c r="BL81" s="14" t="e">
        <f t="shared" si="37"/>
        <v>#DIV/0!</v>
      </c>
      <c r="BM81" s="14" t="e">
        <f t="shared" si="37"/>
        <v>#DIV/0!</v>
      </c>
      <c r="BN81" s="14" t="e">
        <f t="shared" si="37"/>
        <v>#DIV/0!</v>
      </c>
      <c r="BO81" s="14" t="e">
        <f t="shared" si="37"/>
        <v>#DIV/0!</v>
      </c>
      <c r="BP81" s="14" t="e">
        <f t="shared" si="37"/>
        <v>#DIV/0!</v>
      </c>
      <c r="BQ81" s="14" t="e">
        <f t="shared" si="37"/>
        <v>#DIV/0!</v>
      </c>
      <c r="BR81" s="14" t="e">
        <f t="shared" si="37"/>
        <v>#DIV/0!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>
        <f t="shared" si="29"/>
        <v>0</v>
      </c>
      <c r="F82" s="14" t="e">
        <f t="shared" ref="F82" si="38">F6*$C$78</f>
        <v>#DIV/0!</v>
      </c>
      <c r="G82" s="14" t="e">
        <f t="shared" ref="G82:BR82" si="39">G6*$C$78</f>
        <v>#DIV/0!</v>
      </c>
      <c r="H82" s="14" t="e">
        <f t="shared" si="39"/>
        <v>#DIV/0!</v>
      </c>
      <c r="I82" s="14" t="e">
        <f t="shared" si="39"/>
        <v>#DIV/0!</v>
      </c>
      <c r="J82" s="14" t="e">
        <f t="shared" si="39"/>
        <v>#DIV/0!</v>
      </c>
      <c r="K82" s="14" t="e">
        <f t="shared" si="39"/>
        <v>#DIV/0!</v>
      </c>
      <c r="L82" s="14" t="e">
        <f t="shared" si="39"/>
        <v>#DIV/0!</v>
      </c>
      <c r="M82" s="14" t="e">
        <f t="shared" si="39"/>
        <v>#DIV/0!</v>
      </c>
      <c r="N82" s="14" t="e">
        <f t="shared" si="39"/>
        <v>#DIV/0!</v>
      </c>
      <c r="O82" s="14" t="e">
        <f t="shared" si="39"/>
        <v>#DIV/0!</v>
      </c>
      <c r="P82" s="14" t="e">
        <f t="shared" si="39"/>
        <v>#DIV/0!</v>
      </c>
      <c r="Q82" s="14" t="e">
        <f t="shared" si="39"/>
        <v>#DIV/0!</v>
      </c>
      <c r="R82" s="14" t="e">
        <f t="shared" si="39"/>
        <v>#DIV/0!</v>
      </c>
      <c r="S82" s="14" t="e">
        <f t="shared" si="39"/>
        <v>#DIV/0!</v>
      </c>
      <c r="T82" s="14" t="e">
        <f t="shared" si="39"/>
        <v>#DIV/0!</v>
      </c>
      <c r="U82" s="14" t="e">
        <f t="shared" si="39"/>
        <v>#DIV/0!</v>
      </c>
      <c r="V82" s="14" t="e">
        <f t="shared" si="39"/>
        <v>#DIV/0!</v>
      </c>
      <c r="W82" s="14" t="e">
        <f t="shared" si="39"/>
        <v>#DIV/0!</v>
      </c>
      <c r="X82" s="14" t="e">
        <f t="shared" si="39"/>
        <v>#DIV/0!</v>
      </c>
      <c r="Y82" s="14" t="e">
        <f t="shared" si="39"/>
        <v>#DIV/0!</v>
      </c>
      <c r="Z82" s="14" t="e">
        <f t="shared" si="39"/>
        <v>#DIV/0!</v>
      </c>
      <c r="AA82" s="14" t="e">
        <f t="shared" si="39"/>
        <v>#DIV/0!</v>
      </c>
      <c r="AB82" s="14" t="e">
        <f t="shared" si="39"/>
        <v>#DIV/0!</v>
      </c>
      <c r="AC82" s="14" t="e">
        <f t="shared" si="39"/>
        <v>#DIV/0!</v>
      </c>
      <c r="AD82" s="14" t="e">
        <f t="shared" si="39"/>
        <v>#DIV/0!</v>
      </c>
      <c r="AE82" s="14" t="e">
        <f t="shared" si="39"/>
        <v>#DIV/0!</v>
      </c>
      <c r="AF82" s="14" t="e">
        <f t="shared" si="39"/>
        <v>#DIV/0!</v>
      </c>
      <c r="AG82" s="14" t="e">
        <f t="shared" si="39"/>
        <v>#DIV/0!</v>
      </c>
      <c r="AH82" s="14" t="e">
        <f t="shared" si="39"/>
        <v>#DIV/0!</v>
      </c>
      <c r="AI82" s="14" t="e">
        <f t="shared" si="39"/>
        <v>#DIV/0!</v>
      </c>
      <c r="AJ82" s="14" t="e">
        <f t="shared" si="39"/>
        <v>#DIV/0!</v>
      </c>
      <c r="AK82" s="14" t="e">
        <f t="shared" si="39"/>
        <v>#DIV/0!</v>
      </c>
      <c r="AL82" s="14" t="e">
        <f t="shared" si="39"/>
        <v>#DIV/0!</v>
      </c>
      <c r="AM82" s="14" t="e">
        <f t="shared" si="39"/>
        <v>#DIV/0!</v>
      </c>
      <c r="AN82" s="14" t="e">
        <f t="shared" si="39"/>
        <v>#DIV/0!</v>
      </c>
      <c r="AO82" s="14" t="e">
        <f t="shared" si="39"/>
        <v>#DIV/0!</v>
      </c>
      <c r="AP82" s="14" t="e">
        <f t="shared" si="39"/>
        <v>#DIV/0!</v>
      </c>
      <c r="AQ82" s="14" t="e">
        <f t="shared" si="39"/>
        <v>#DIV/0!</v>
      </c>
      <c r="AR82" s="14" t="e">
        <f t="shared" si="39"/>
        <v>#DIV/0!</v>
      </c>
      <c r="AS82" s="14" t="e">
        <f t="shared" si="39"/>
        <v>#DIV/0!</v>
      </c>
      <c r="AT82" s="14" t="e">
        <f t="shared" si="39"/>
        <v>#DIV/0!</v>
      </c>
      <c r="AU82" s="14" t="e">
        <f t="shared" si="39"/>
        <v>#DIV/0!</v>
      </c>
      <c r="AV82" s="14" t="e">
        <f t="shared" si="39"/>
        <v>#DIV/0!</v>
      </c>
      <c r="AW82" s="14" t="e">
        <f t="shared" si="39"/>
        <v>#DIV/0!</v>
      </c>
      <c r="AX82" s="14" t="e">
        <f t="shared" si="39"/>
        <v>#DIV/0!</v>
      </c>
      <c r="AY82" s="14" t="e">
        <f t="shared" si="39"/>
        <v>#DIV/0!</v>
      </c>
      <c r="AZ82" s="14" t="e">
        <f t="shared" si="39"/>
        <v>#DIV/0!</v>
      </c>
      <c r="BA82" s="14" t="e">
        <f t="shared" si="39"/>
        <v>#DIV/0!</v>
      </c>
      <c r="BB82" s="14" t="e">
        <f t="shared" si="39"/>
        <v>#DIV/0!</v>
      </c>
      <c r="BC82" s="14" t="e">
        <f t="shared" si="39"/>
        <v>#DIV/0!</v>
      </c>
      <c r="BD82" s="14" t="e">
        <f t="shared" si="39"/>
        <v>#DIV/0!</v>
      </c>
      <c r="BE82" s="14" t="e">
        <f t="shared" si="39"/>
        <v>#DIV/0!</v>
      </c>
      <c r="BF82" s="14" t="e">
        <f t="shared" si="39"/>
        <v>#DIV/0!</v>
      </c>
      <c r="BG82" s="14" t="e">
        <f t="shared" si="39"/>
        <v>#DIV/0!</v>
      </c>
      <c r="BH82" s="14" t="e">
        <f t="shared" si="39"/>
        <v>#DIV/0!</v>
      </c>
      <c r="BI82" s="14" t="e">
        <f t="shared" si="39"/>
        <v>#DIV/0!</v>
      </c>
      <c r="BJ82" s="14" t="e">
        <f t="shared" si="39"/>
        <v>#DIV/0!</v>
      </c>
      <c r="BK82" s="14" t="e">
        <f t="shared" si="39"/>
        <v>#DIV/0!</v>
      </c>
      <c r="BL82" s="14" t="e">
        <f t="shared" si="39"/>
        <v>#DIV/0!</v>
      </c>
      <c r="BM82" s="14" t="e">
        <f t="shared" si="39"/>
        <v>#DIV/0!</v>
      </c>
      <c r="BN82" s="14" t="e">
        <f t="shared" si="39"/>
        <v>#DIV/0!</v>
      </c>
      <c r="BO82" s="14" t="e">
        <f t="shared" si="39"/>
        <v>#DIV/0!</v>
      </c>
      <c r="BP82" s="14" t="e">
        <f t="shared" si="39"/>
        <v>#DIV/0!</v>
      </c>
      <c r="BQ82" s="14" t="e">
        <f t="shared" si="39"/>
        <v>#DIV/0!</v>
      </c>
      <c r="BR82" s="14" t="e">
        <f t="shared" si="39"/>
        <v>#DIV/0!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>
        <f t="shared" si="29"/>
        <v>0</v>
      </c>
      <c r="F83" s="14" t="e">
        <f t="shared" ref="F83" si="40">F7*$C$78</f>
        <v>#DIV/0!</v>
      </c>
      <c r="G83" s="14" t="e">
        <f t="shared" ref="G83:BR83" si="41">G7*$C$78</f>
        <v>#DIV/0!</v>
      </c>
      <c r="H83" s="14" t="e">
        <f t="shared" si="41"/>
        <v>#DIV/0!</v>
      </c>
      <c r="I83" s="14" t="e">
        <f t="shared" si="41"/>
        <v>#DIV/0!</v>
      </c>
      <c r="J83" s="14" t="e">
        <f t="shared" si="41"/>
        <v>#DIV/0!</v>
      </c>
      <c r="K83" s="14" t="e">
        <f t="shared" si="41"/>
        <v>#DIV/0!</v>
      </c>
      <c r="L83" s="14" t="e">
        <f t="shared" si="41"/>
        <v>#DIV/0!</v>
      </c>
      <c r="M83" s="14" t="e">
        <f t="shared" si="41"/>
        <v>#DIV/0!</v>
      </c>
      <c r="N83" s="14" t="e">
        <f t="shared" si="41"/>
        <v>#DIV/0!</v>
      </c>
      <c r="O83" s="14" t="e">
        <f t="shared" si="41"/>
        <v>#DIV/0!</v>
      </c>
      <c r="P83" s="14" t="e">
        <f t="shared" si="41"/>
        <v>#DIV/0!</v>
      </c>
      <c r="Q83" s="14" t="e">
        <f t="shared" si="41"/>
        <v>#DIV/0!</v>
      </c>
      <c r="R83" s="14" t="e">
        <f t="shared" si="41"/>
        <v>#DIV/0!</v>
      </c>
      <c r="S83" s="14" t="e">
        <f t="shared" si="41"/>
        <v>#DIV/0!</v>
      </c>
      <c r="T83" s="14" t="e">
        <f t="shared" si="41"/>
        <v>#DIV/0!</v>
      </c>
      <c r="U83" s="14" t="e">
        <f t="shared" si="41"/>
        <v>#DIV/0!</v>
      </c>
      <c r="V83" s="14" t="e">
        <f t="shared" si="41"/>
        <v>#DIV/0!</v>
      </c>
      <c r="W83" s="14" t="e">
        <f t="shared" si="41"/>
        <v>#DIV/0!</v>
      </c>
      <c r="X83" s="14" t="e">
        <f t="shared" si="41"/>
        <v>#DIV/0!</v>
      </c>
      <c r="Y83" s="14" t="e">
        <f t="shared" si="41"/>
        <v>#DIV/0!</v>
      </c>
      <c r="Z83" s="14" t="e">
        <f t="shared" si="41"/>
        <v>#DIV/0!</v>
      </c>
      <c r="AA83" s="14" t="e">
        <f t="shared" si="41"/>
        <v>#DIV/0!</v>
      </c>
      <c r="AB83" s="14" t="e">
        <f t="shared" si="41"/>
        <v>#DIV/0!</v>
      </c>
      <c r="AC83" s="14" t="e">
        <f t="shared" si="41"/>
        <v>#DIV/0!</v>
      </c>
      <c r="AD83" s="14" t="e">
        <f t="shared" si="41"/>
        <v>#DIV/0!</v>
      </c>
      <c r="AE83" s="14" t="e">
        <f t="shared" si="41"/>
        <v>#DIV/0!</v>
      </c>
      <c r="AF83" s="14" t="e">
        <f t="shared" si="41"/>
        <v>#DIV/0!</v>
      </c>
      <c r="AG83" s="14" t="e">
        <f t="shared" si="41"/>
        <v>#DIV/0!</v>
      </c>
      <c r="AH83" s="14" t="e">
        <f t="shared" si="41"/>
        <v>#DIV/0!</v>
      </c>
      <c r="AI83" s="14" t="e">
        <f t="shared" si="41"/>
        <v>#DIV/0!</v>
      </c>
      <c r="AJ83" s="14" t="e">
        <f t="shared" si="41"/>
        <v>#DIV/0!</v>
      </c>
      <c r="AK83" s="14" t="e">
        <f t="shared" si="41"/>
        <v>#DIV/0!</v>
      </c>
      <c r="AL83" s="14" t="e">
        <f t="shared" si="41"/>
        <v>#DIV/0!</v>
      </c>
      <c r="AM83" s="14" t="e">
        <f t="shared" si="41"/>
        <v>#DIV/0!</v>
      </c>
      <c r="AN83" s="14" t="e">
        <f t="shared" si="41"/>
        <v>#DIV/0!</v>
      </c>
      <c r="AO83" s="14" t="e">
        <f t="shared" si="41"/>
        <v>#DIV/0!</v>
      </c>
      <c r="AP83" s="14" t="e">
        <f t="shared" si="41"/>
        <v>#DIV/0!</v>
      </c>
      <c r="AQ83" s="14" t="e">
        <f t="shared" si="41"/>
        <v>#DIV/0!</v>
      </c>
      <c r="AR83" s="14" t="e">
        <f t="shared" si="41"/>
        <v>#DIV/0!</v>
      </c>
      <c r="AS83" s="14" t="e">
        <f t="shared" si="41"/>
        <v>#DIV/0!</v>
      </c>
      <c r="AT83" s="14" t="e">
        <f t="shared" si="41"/>
        <v>#DIV/0!</v>
      </c>
      <c r="AU83" s="14" t="e">
        <f t="shared" si="41"/>
        <v>#DIV/0!</v>
      </c>
      <c r="AV83" s="14" t="e">
        <f t="shared" si="41"/>
        <v>#DIV/0!</v>
      </c>
      <c r="AW83" s="14" t="e">
        <f t="shared" si="41"/>
        <v>#DIV/0!</v>
      </c>
      <c r="AX83" s="14" t="e">
        <f t="shared" si="41"/>
        <v>#DIV/0!</v>
      </c>
      <c r="AY83" s="14" t="e">
        <f t="shared" si="41"/>
        <v>#DIV/0!</v>
      </c>
      <c r="AZ83" s="14" t="e">
        <f t="shared" si="41"/>
        <v>#DIV/0!</v>
      </c>
      <c r="BA83" s="14" t="e">
        <f t="shared" si="41"/>
        <v>#DIV/0!</v>
      </c>
      <c r="BB83" s="14" t="e">
        <f t="shared" si="41"/>
        <v>#DIV/0!</v>
      </c>
      <c r="BC83" s="14" t="e">
        <f t="shared" si="41"/>
        <v>#DIV/0!</v>
      </c>
      <c r="BD83" s="14" t="e">
        <f t="shared" si="41"/>
        <v>#DIV/0!</v>
      </c>
      <c r="BE83" s="14" t="e">
        <f t="shared" si="41"/>
        <v>#DIV/0!</v>
      </c>
      <c r="BF83" s="14" t="e">
        <f t="shared" si="41"/>
        <v>#DIV/0!</v>
      </c>
      <c r="BG83" s="14" t="e">
        <f t="shared" si="41"/>
        <v>#DIV/0!</v>
      </c>
      <c r="BH83" s="14" t="e">
        <f t="shared" si="41"/>
        <v>#DIV/0!</v>
      </c>
      <c r="BI83" s="14" t="e">
        <f t="shared" si="41"/>
        <v>#DIV/0!</v>
      </c>
      <c r="BJ83" s="14" t="e">
        <f t="shared" si="41"/>
        <v>#DIV/0!</v>
      </c>
      <c r="BK83" s="14" t="e">
        <f t="shared" si="41"/>
        <v>#DIV/0!</v>
      </c>
      <c r="BL83" s="14" t="e">
        <f t="shared" si="41"/>
        <v>#DIV/0!</v>
      </c>
      <c r="BM83" s="14" t="e">
        <f t="shared" si="41"/>
        <v>#DIV/0!</v>
      </c>
      <c r="BN83" s="14" t="e">
        <f t="shared" si="41"/>
        <v>#DIV/0!</v>
      </c>
      <c r="BO83" s="14" t="e">
        <f t="shared" si="41"/>
        <v>#DIV/0!</v>
      </c>
      <c r="BP83" s="14" t="e">
        <f t="shared" si="41"/>
        <v>#DIV/0!</v>
      </c>
      <c r="BQ83" s="14" t="e">
        <f t="shared" si="41"/>
        <v>#DIV/0!</v>
      </c>
      <c r="BR83" s="14" t="e">
        <f t="shared" si="41"/>
        <v>#DIV/0!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>
        <f t="shared" si="29"/>
        <v>0</v>
      </c>
      <c r="F84" s="14" t="e">
        <f t="shared" ref="F84" si="42">F8*$C$78</f>
        <v>#DIV/0!</v>
      </c>
      <c r="G84" s="14" t="e">
        <f t="shared" ref="G84:BR84" si="43">G8*$C$78</f>
        <v>#DIV/0!</v>
      </c>
      <c r="H84" s="14" t="e">
        <f t="shared" si="43"/>
        <v>#DIV/0!</v>
      </c>
      <c r="I84" s="14" t="e">
        <f t="shared" si="43"/>
        <v>#DIV/0!</v>
      </c>
      <c r="J84" s="14" t="e">
        <f t="shared" si="43"/>
        <v>#DIV/0!</v>
      </c>
      <c r="K84" s="14" t="e">
        <f t="shared" si="43"/>
        <v>#DIV/0!</v>
      </c>
      <c r="L84" s="14" t="e">
        <f t="shared" si="43"/>
        <v>#DIV/0!</v>
      </c>
      <c r="M84" s="14" t="e">
        <f t="shared" si="43"/>
        <v>#DIV/0!</v>
      </c>
      <c r="N84" s="14" t="e">
        <f t="shared" si="43"/>
        <v>#DIV/0!</v>
      </c>
      <c r="O84" s="14" t="e">
        <f t="shared" si="43"/>
        <v>#DIV/0!</v>
      </c>
      <c r="P84" s="14" t="e">
        <f t="shared" si="43"/>
        <v>#DIV/0!</v>
      </c>
      <c r="Q84" s="14" t="e">
        <f t="shared" si="43"/>
        <v>#DIV/0!</v>
      </c>
      <c r="R84" s="14" t="e">
        <f t="shared" si="43"/>
        <v>#DIV/0!</v>
      </c>
      <c r="S84" s="14" t="e">
        <f t="shared" si="43"/>
        <v>#DIV/0!</v>
      </c>
      <c r="T84" s="14" t="e">
        <f t="shared" si="43"/>
        <v>#DIV/0!</v>
      </c>
      <c r="U84" s="14" t="e">
        <f t="shared" si="43"/>
        <v>#DIV/0!</v>
      </c>
      <c r="V84" s="14" t="e">
        <f t="shared" si="43"/>
        <v>#DIV/0!</v>
      </c>
      <c r="W84" s="14" t="e">
        <f t="shared" si="43"/>
        <v>#DIV/0!</v>
      </c>
      <c r="X84" s="14" t="e">
        <f t="shared" si="43"/>
        <v>#DIV/0!</v>
      </c>
      <c r="Y84" s="14" t="e">
        <f t="shared" si="43"/>
        <v>#DIV/0!</v>
      </c>
      <c r="Z84" s="14" t="e">
        <f t="shared" si="43"/>
        <v>#DIV/0!</v>
      </c>
      <c r="AA84" s="14" t="e">
        <f t="shared" si="43"/>
        <v>#DIV/0!</v>
      </c>
      <c r="AB84" s="14" t="e">
        <f t="shared" si="43"/>
        <v>#DIV/0!</v>
      </c>
      <c r="AC84" s="14" t="e">
        <f t="shared" si="43"/>
        <v>#DIV/0!</v>
      </c>
      <c r="AD84" s="14" t="e">
        <f t="shared" si="43"/>
        <v>#DIV/0!</v>
      </c>
      <c r="AE84" s="14" t="e">
        <f t="shared" si="43"/>
        <v>#DIV/0!</v>
      </c>
      <c r="AF84" s="14" t="e">
        <f t="shared" si="43"/>
        <v>#DIV/0!</v>
      </c>
      <c r="AG84" s="14" t="e">
        <f t="shared" si="43"/>
        <v>#DIV/0!</v>
      </c>
      <c r="AH84" s="14" t="e">
        <f t="shared" si="43"/>
        <v>#DIV/0!</v>
      </c>
      <c r="AI84" s="14" t="e">
        <f t="shared" si="43"/>
        <v>#DIV/0!</v>
      </c>
      <c r="AJ84" s="14" t="e">
        <f t="shared" si="43"/>
        <v>#DIV/0!</v>
      </c>
      <c r="AK84" s="14" t="e">
        <f t="shared" si="43"/>
        <v>#DIV/0!</v>
      </c>
      <c r="AL84" s="14" t="e">
        <f t="shared" si="43"/>
        <v>#DIV/0!</v>
      </c>
      <c r="AM84" s="14" t="e">
        <f t="shared" si="43"/>
        <v>#DIV/0!</v>
      </c>
      <c r="AN84" s="14" t="e">
        <f t="shared" si="43"/>
        <v>#DIV/0!</v>
      </c>
      <c r="AO84" s="14" t="e">
        <f t="shared" si="43"/>
        <v>#DIV/0!</v>
      </c>
      <c r="AP84" s="14" t="e">
        <f t="shared" si="43"/>
        <v>#DIV/0!</v>
      </c>
      <c r="AQ84" s="14" t="e">
        <f t="shared" si="43"/>
        <v>#DIV/0!</v>
      </c>
      <c r="AR84" s="14" t="e">
        <f t="shared" si="43"/>
        <v>#DIV/0!</v>
      </c>
      <c r="AS84" s="14" t="e">
        <f t="shared" si="43"/>
        <v>#DIV/0!</v>
      </c>
      <c r="AT84" s="14" t="e">
        <f t="shared" si="43"/>
        <v>#DIV/0!</v>
      </c>
      <c r="AU84" s="14" t="e">
        <f t="shared" si="43"/>
        <v>#DIV/0!</v>
      </c>
      <c r="AV84" s="14" t="e">
        <f t="shared" si="43"/>
        <v>#DIV/0!</v>
      </c>
      <c r="AW84" s="14" t="e">
        <f t="shared" si="43"/>
        <v>#DIV/0!</v>
      </c>
      <c r="AX84" s="14" t="e">
        <f t="shared" si="43"/>
        <v>#DIV/0!</v>
      </c>
      <c r="AY84" s="14" t="e">
        <f t="shared" si="43"/>
        <v>#DIV/0!</v>
      </c>
      <c r="AZ84" s="14" t="e">
        <f t="shared" si="43"/>
        <v>#DIV/0!</v>
      </c>
      <c r="BA84" s="14" t="e">
        <f t="shared" si="43"/>
        <v>#DIV/0!</v>
      </c>
      <c r="BB84" s="14" t="e">
        <f t="shared" si="43"/>
        <v>#DIV/0!</v>
      </c>
      <c r="BC84" s="14" t="e">
        <f t="shared" si="43"/>
        <v>#DIV/0!</v>
      </c>
      <c r="BD84" s="14" t="e">
        <f t="shared" si="43"/>
        <v>#DIV/0!</v>
      </c>
      <c r="BE84" s="14" t="e">
        <f t="shared" si="43"/>
        <v>#DIV/0!</v>
      </c>
      <c r="BF84" s="14" t="e">
        <f t="shared" si="43"/>
        <v>#DIV/0!</v>
      </c>
      <c r="BG84" s="14" t="e">
        <f t="shared" si="43"/>
        <v>#DIV/0!</v>
      </c>
      <c r="BH84" s="14" t="e">
        <f t="shared" si="43"/>
        <v>#DIV/0!</v>
      </c>
      <c r="BI84" s="14" t="e">
        <f t="shared" si="43"/>
        <v>#DIV/0!</v>
      </c>
      <c r="BJ84" s="14" t="e">
        <f t="shared" si="43"/>
        <v>#DIV/0!</v>
      </c>
      <c r="BK84" s="14" t="e">
        <f t="shared" si="43"/>
        <v>#DIV/0!</v>
      </c>
      <c r="BL84" s="14" t="e">
        <f t="shared" si="43"/>
        <v>#DIV/0!</v>
      </c>
      <c r="BM84" s="14" t="e">
        <f t="shared" si="43"/>
        <v>#DIV/0!</v>
      </c>
      <c r="BN84" s="14" t="e">
        <f t="shared" si="43"/>
        <v>#DIV/0!</v>
      </c>
      <c r="BO84" s="14" t="e">
        <f t="shared" si="43"/>
        <v>#DIV/0!</v>
      </c>
      <c r="BP84" s="14" t="e">
        <f t="shared" si="43"/>
        <v>#DIV/0!</v>
      </c>
      <c r="BQ84" s="14" t="e">
        <f t="shared" si="43"/>
        <v>#DIV/0!</v>
      </c>
      <c r="BR84" s="14" t="e">
        <f t="shared" si="43"/>
        <v>#DIV/0!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>
        <f t="shared" si="29"/>
        <v>0</v>
      </c>
      <c r="F85" s="14" t="e">
        <f t="shared" ref="F85" si="44">F9*$C$78</f>
        <v>#DIV/0!</v>
      </c>
      <c r="G85" s="14" t="e">
        <f t="shared" ref="G85:BR85" si="45">G9*$C$78</f>
        <v>#DIV/0!</v>
      </c>
      <c r="H85" s="14" t="e">
        <f t="shared" si="45"/>
        <v>#DIV/0!</v>
      </c>
      <c r="I85" s="14" t="e">
        <f t="shared" si="45"/>
        <v>#DIV/0!</v>
      </c>
      <c r="J85" s="14" t="e">
        <f t="shared" si="45"/>
        <v>#DIV/0!</v>
      </c>
      <c r="K85" s="14" t="e">
        <f t="shared" si="45"/>
        <v>#DIV/0!</v>
      </c>
      <c r="L85" s="14" t="e">
        <f t="shared" si="45"/>
        <v>#DIV/0!</v>
      </c>
      <c r="M85" s="14" t="e">
        <f t="shared" si="45"/>
        <v>#DIV/0!</v>
      </c>
      <c r="N85" s="14" t="e">
        <f t="shared" si="45"/>
        <v>#DIV/0!</v>
      </c>
      <c r="O85" s="14" t="e">
        <f t="shared" si="45"/>
        <v>#DIV/0!</v>
      </c>
      <c r="P85" s="14" t="e">
        <f t="shared" si="45"/>
        <v>#DIV/0!</v>
      </c>
      <c r="Q85" s="14" t="e">
        <f t="shared" si="45"/>
        <v>#DIV/0!</v>
      </c>
      <c r="R85" s="14" t="e">
        <f t="shared" si="45"/>
        <v>#DIV/0!</v>
      </c>
      <c r="S85" s="14" t="e">
        <f t="shared" si="45"/>
        <v>#DIV/0!</v>
      </c>
      <c r="T85" s="14" t="e">
        <f t="shared" si="45"/>
        <v>#DIV/0!</v>
      </c>
      <c r="U85" s="14" t="e">
        <f t="shared" si="45"/>
        <v>#DIV/0!</v>
      </c>
      <c r="V85" s="14" t="e">
        <f t="shared" si="45"/>
        <v>#DIV/0!</v>
      </c>
      <c r="W85" s="14" t="e">
        <f t="shared" si="45"/>
        <v>#DIV/0!</v>
      </c>
      <c r="X85" s="14" t="e">
        <f t="shared" si="45"/>
        <v>#DIV/0!</v>
      </c>
      <c r="Y85" s="14" t="e">
        <f t="shared" si="45"/>
        <v>#DIV/0!</v>
      </c>
      <c r="Z85" s="14" t="e">
        <f t="shared" si="45"/>
        <v>#DIV/0!</v>
      </c>
      <c r="AA85" s="14" t="e">
        <f t="shared" si="45"/>
        <v>#DIV/0!</v>
      </c>
      <c r="AB85" s="14" t="e">
        <f t="shared" si="45"/>
        <v>#DIV/0!</v>
      </c>
      <c r="AC85" s="14" t="e">
        <f t="shared" si="45"/>
        <v>#DIV/0!</v>
      </c>
      <c r="AD85" s="14" t="e">
        <f t="shared" si="45"/>
        <v>#DIV/0!</v>
      </c>
      <c r="AE85" s="14" t="e">
        <f t="shared" si="45"/>
        <v>#DIV/0!</v>
      </c>
      <c r="AF85" s="14" t="e">
        <f t="shared" si="45"/>
        <v>#DIV/0!</v>
      </c>
      <c r="AG85" s="14" t="e">
        <f t="shared" si="45"/>
        <v>#DIV/0!</v>
      </c>
      <c r="AH85" s="14" t="e">
        <f t="shared" si="45"/>
        <v>#DIV/0!</v>
      </c>
      <c r="AI85" s="14" t="e">
        <f t="shared" si="45"/>
        <v>#DIV/0!</v>
      </c>
      <c r="AJ85" s="14" t="e">
        <f t="shared" si="45"/>
        <v>#DIV/0!</v>
      </c>
      <c r="AK85" s="14" t="e">
        <f t="shared" si="45"/>
        <v>#DIV/0!</v>
      </c>
      <c r="AL85" s="14" t="e">
        <f t="shared" si="45"/>
        <v>#DIV/0!</v>
      </c>
      <c r="AM85" s="14" t="e">
        <f t="shared" si="45"/>
        <v>#DIV/0!</v>
      </c>
      <c r="AN85" s="14" t="e">
        <f t="shared" si="45"/>
        <v>#DIV/0!</v>
      </c>
      <c r="AO85" s="14" t="e">
        <f t="shared" si="45"/>
        <v>#DIV/0!</v>
      </c>
      <c r="AP85" s="14" t="e">
        <f t="shared" si="45"/>
        <v>#DIV/0!</v>
      </c>
      <c r="AQ85" s="14" t="e">
        <f t="shared" si="45"/>
        <v>#DIV/0!</v>
      </c>
      <c r="AR85" s="14" t="e">
        <f t="shared" si="45"/>
        <v>#DIV/0!</v>
      </c>
      <c r="AS85" s="14" t="e">
        <f t="shared" si="45"/>
        <v>#DIV/0!</v>
      </c>
      <c r="AT85" s="14" t="e">
        <f t="shared" si="45"/>
        <v>#DIV/0!</v>
      </c>
      <c r="AU85" s="14" t="e">
        <f t="shared" si="45"/>
        <v>#DIV/0!</v>
      </c>
      <c r="AV85" s="14" t="e">
        <f t="shared" si="45"/>
        <v>#DIV/0!</v>
      </c>
      <c r="AW85" s="14" t="e">
        <f t="shared" si="45"/>
        <v>#DIV/0!</v>
      </c>
      <c r="AX85" s="14" t="e">
        <f t="shared" si="45"/>
        <v>#DIV/0!</v>
      </c>
      <c r="AY85" s="14" t="e">
        <f t="shared" si="45"/>
        <v>#DIV/0!</v>
      </c>
      <c r="AZ85" s="14" t="e">
        <f t="shared" si="45"/>
        <v>#DIV/0!</v>
      </c>
      <c r="BA85" s="14" t="e">
        <f t="shared" si="45"/>
        <v>#DIV/0!</v>
      </c>
      <c r="BB85" s="14" t="e">
        <f t="shared" si="45"/>
        <v>#DIV/0!</v>
      </c>
      <c r="BC85" s="14" t="e">
        <f t="shared" si="45"/>
        <v>#DIV/0!</v>
      </c>
      <c r="BD85" s="14" t="e">
        <f t="shared" si="45"/>
        <v>#DIV/0!</v>
      </c>
      <c r="BE85" s="14" t="e">
        <f t="shared" si="45"/>
        <v>#DIV/0!</v>
      </c>
      <c r="BF85" s="14" t="e">
        <f t="shared" si="45"/>
        <v>#DIV/0!</v>
      </c>
      <c r="BG85" s="14" t="e">
        <f t="shared" si="45"/>
        <v>#DIV/0!</v>
      </c>
      <c r="BH85" s="14" t="e">
        <f t="shared" si="45"/>
        <v>#DIV/0!</v>
      </c>
      <c r="BI85" s="14" t="e">
        <f t="shared" si="45"/>
        <v>#DIV/0!</v>
      </c>
      <c r="BJ85" s="14" t="e">
        <f t="shared" si="45"/>
        <v>#DIV/0!</v>
      </c>
      <c r="BK85" s="14" t="e">
        <f t="shared" si="45"/>
        <v>#DIV/0!</v>
      </c>
      <c r="BL85" s="14" t="e">
        <f t="shared" si="45"/>
        <v>#DIV/0!</v>
      </c>
      <c r="BM85" s="14" t="e">
        <f t="shared" si="45"/>
        <v>#DIV/0!</v>
      </c>
      <c r="BN85" s="14" t="e">
        <f t="shared" si="45"/>
        <v>#DIV/0!</v>
      </c>
      <c r="BO85" s="14" t="e">
        <f t="shared" si="45"/>
        <v>#DIV/0!</v>
      </c>
      <c r="BP85" s="14" t="e">
        <f t="shared" si="45"/>
        <v>#DIV/0!</v>
      </c>
      <c r="BQ85" s="14" t="e">
        <f t="shared" si="45"/>
        <v>#DIV/0!</v>
      </c>
      <c r="BR85" s="14" t="e">
        <f t="shared" si="45"/>
        <v>#DIV/0!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>
        <f t="shared" si="29"/>
        <v>0</v>
      </c>
      <c r="F86" s="14" t="e">
        <f t="shared" ref="F86" si="46">F10*$C$78</f>
        <v>#DIV/0!</v>
      </c>
      <c r="G86" s="14" t="e">
        <f t="shared" ref="G86:BR86" si="47">G10*$C$78</f>
        <v>#DIV/0!</v>
      </c>
      <c r="H86" s="14" t="e">
        <f t="shared" si="47"/>
        <v>#DIV/0!</v>
      </c>
      <c r="I86" s="14" t="e">
        <f t="shared" si="47"/>
        <v>#DIV/0!</v>
      </c>
      <c r="J86" s="14" t="e">
        <f t="shared" si="47"/>
        <v>#DIV/0!</v>
      </c>
      <c r="K86" s="14" t="e">
        <f t="shared" si="47"/>
        <v>#DIV/0!</v>
      </c>
      <c r="L86" s="14" t="e">
        <f t="shared" si="47"/>
        <v>#DIV/0!</v>
      </c>
      <c r="M86" s="14" t="e">
        <f t="shared" si="47"/>
        <v>#DIV/0!</v>
      </c>
      <c r="N86" s="14" t="e">
        <f t="shared" si="47"/>
        <v>#DIV/0!</v>
      </c>
      <c r="O86" s="14" t="e">
        <f t="shared" si="47"/>
        <v>#DIV/0!</v>
      </c>
      <c r="P86" s="14" t="e">
        <f t="shared" si="47"/>
        <v>#DIV/0!</v>
      </c>
      <c r="Q86" s="14" t="e">
        <f t="shared" si="47"/>
        <v>#DIV/0!</v>
      </c>
      <c r="R86" s="14" t="e">
        <f t="shared" si="47"/>
        <v>#DIV/0!</v>
      </c>
      <c r="S86" s="14" t="e">
        <f t="shared" si="47"/>
        <v>#DIV/0!</v>
      </c>
      <c r="T86" s="14" t="e">
        <f t="shared" si="47"/>
        <v>#DIV/0!</v>
      </c>
      <c r="U86" s="14" t="e">
        <f t="shared" si="47"/>
        <v>#DIV/0!</v>
      </c>
      <c r="V86" s="14" t="e">
        <f t="shared" si="47"/>
        <v>#DIV/0!</v>
      </c>
      <c r="W86" s="14" t="e">
        <f t="shared" si="47"/>
        <v>#DIV/0!</v>
      </c>
      <c r="X86" s="14" t="e">
        <f t="shared" si="47"/>
        <v>#DIV/0!</v>
      </c>
      <c r="Y86" s="14" t="e">
        <f t="shared" si="47"/>
        <v>#DIV/0!</v>
      </c>
      <c r="Z86" s="14" t="e">
        <f t="shared" si="47"/>
        <v>#DIV/0!</v>
      </c>
      <c r="AA86" s="14" t="e">
        <f t="shared" si="47"/>
        <v>#DIV/0!</v>
      </c>
      <c r="AB86" s="14" t="e">
        <f t="shared" si="47"/>
        <v>#DIV/0!</v>
      </c>
      <c r="AC86" s="14" t="e">
        <f t="shared" si="47"/>
        <v>#DIV/0!</v>
      </c>
      <c r="AD86" s="14" t="e">
        <f t="shared" si="47"/>
        <v>#DIV/0!</v>
      </c>
      <c r="AE86" s="14" t="e">
        <f t="shared" si="47"/>
        <v>#DIV/0!</v>
      </c>
      <c r="AF86" s="14" t="e">
        <f t="shared" si="47"/>
        <v>#DIV/0!</v>
      </c>
      <c r="AG86" s="14" t="e">
        <f t="shared" si="47"/>
        <v>#DIV/0!</v>
      </c>
      <c r="AH86" s="14" t="e">
        <f t="shared" si="47"/>
        <v>#DIV/0!</v>
      </c>
      <c r="AI86" s="14" t="e">
        <f t="shared" si="47"/>
        <v>#DIV/0!</v>
      </c>
      <c r="AJ86" s="14" t="e">
        <f t="shared" si="47"/>
        <v>#DIV/0!</v>
      </c>
      <c r="AK86" s="14" t="e">
        <f t="shared" si="47"/>
        <v>#DIV/0!</v>
      </c>
      <c r="AL86" s="14" t="e">
        <f t="shared" si="47"/>
        <v>#DIV/0!</v>
      </c>
      <c r="AM86" s="14" t="e">
        <f t="shared" si="47"/>
        <v>#DIV/0!</v>
      </c>
      <c r="AN86" s="14" t="e">
        <f t="shared" si="47"/>
        <v>#DIV/0!</v>
      </c>
      <c r="AO86" s="14" t="e">
        <f t="shared" si="47"/>
        <v>#DIV/0!</v>
      </c>
      <c r="AP86" s="14" t="e">
        <f t="shared" si="47"/>
        <v>#DIV/0!</v>
      </c>
      <c r="AQ86" s="14" t="e">
        <f t="shared" si="47"/>
        <v>#DIV/0!</v>
      </c>
      <c r="AR86" s="14" t="e">
        <f t="shared" si="47"/>
        <v>#DIV/0!</v>
      </c>
      <c r="AS86" s="14" t="e">
        <f t="shared" si="47"/>
        <v>#DIV/0!</v>
      </c>
      <c r="AT86" s="14" t="e">
        <f t="shared" si="47"/>
        <v>#DIV/0!</v>
      </c>
      <c r="AU86" s="14" t="e">
        <f t="shared" si="47"/>
        <v>#DIV/0!</v>
      </c>
      <c r="AV86" s="14" t="e">
        <f t="shared" si="47"/>
        <v>#DIV/0!</v>
      </c>
      <c r="AW86" s="14" t="e">
        <f t="shared" si="47"/>
        <v>#DIV/0!</v>
      </c>
      <c r="AX86" s="14" t="e">
        <f t="shared" si="47"/>
        <v>#DIV/0!</v>
      </c>
      <c r="AY86" s="14" t="e">
        <f t="shared" si="47"/>
        <v>#DIV/0!</v>
      </c>
      <c r="AZ86" s="14" t="e">
        <f t="shared" si="47"/>
        <v>#DIV/0!</v>
      </c>
      <c r="BA86" s="14" t="e">
        <f t="shared" si="47"/>
        <v>#DIV/0!</v>
      </c>
      <c r="BB86" s="14" t="e">
        <f t="shared" si="47"/>
        <v>#DIV/0!</v>
      </c>
      <c r="BC86" s="14" t="e">
        <f t="shared" si="47"/>
        <v>#DIV/0!</v>
      </c>
      <c r="BD86" s="14" t="e">
        <f t="shared" si="47"/>
        <v>#DIV/0!</v>
      </c>
      <c r="BE86" s="14" t="e">
        <f t="shared" si="47"/>
        <v>#DIV/0!</v>
      </c>
      <c r="BF86" s="14" t="e">
        <f t="shared" si="47"/>
        <v>#DIV/0!</v>
      </c>
      <c r="BG86" s="14" t="e">
        <f t="shared" si="47"/>
        <v>#DIV/0!</v>
      </c>
      <c r="BH86" s="14" t="e">
        <f t="shared" si="47"/>
        <v>#DIV/0!</v>
      </c>
      <c r="BI86" s="14" t="e">
        <f t="shared" si="47"/>
        <v>#DIV/0!</v>
      </c>
      <c r="BJ86" s="14" t="e">
        <f t="shared" si="47"/>
        <v>#DIV/0!</v>
      </c>
      <c r="BK86" s="14" t="e">
        <f t="shared" si="47"/>
        <v>#DIV/0!</v>
      </c>
      <c r="BL86" s="14" t="e">
        <f t="shared" si="47"/>
        <v>#DIV/0!</v>
      </c>
      <c r="BM86" s="14" t="e">
        <f t="shared" si="47"/>
        <v>#DIV/0!</v>
      </c>
      <c r="BN86" s="14" t="e">
        <f t="shared" si="47"/>
        <v>#DIV/0!</v>
      </c>
      <c r="BO86" s="14" t="e">
        <f t="shared" si="47"/>
        <v>#DIV/0!</v>
      </c>
      <c r="BP86" s="14" t="e">
        <f t="shared" si="47"/>
        <v>#DIV/0!</v>
      </c>
      <c r="BQ86" s="14" t="e">
        <f t="shared" si="47"/>
        <v>#DIV/0!</v>
      </c>
      <c r="BR86" s="14" t="e">
        <f t="shared" si="47"/>
        <v>#DIV/0!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0</v>
      </c>
      <c r="D87" s="5">
        <f t="shared" si="35"/>
        <v>0</v>
      </c>
      <c r="E87" s="6">
        <f t="shared" si="29"/>
        <v>0</v>
      </c>
      <c r="F87" s="14" t="e">
        <f t="shared" ref="F87" si="48">F11*$C$78</f>
        <v>#DIV/0!</v>
      </c>
      <c r="G87" s="14" t="e">
        <f t="shared" ref="G87:BR87" si="49">G11*$C$78</f>
        <v>#DIV/0!</v>
      </c>
      <c r="H87" s="14" t="e">
        <f t="shared" si="49"/>
        <v>#DIV/0!</v>
      </c>
      <c r="I87" s="14" t="e">
        <f t="shared" si="49"/>
        <v>#DIV/0!</v>
      </c>
      <c r="J87" s="14" t="e">
        <f t="shared" si="49"/>
        <v>#DIV/0!</v>
      </c>
      <c r="K87" s="14" t="e">
        <f t="shared" si="49"/>
        <v>#DIV/0!</v>
      </c>
      <c r="L87" s="14" t="e">
        <f t="shared" si="49"/>
        <v>#DIV/0!</v>
      </c>
      <c r="M87" s="14" t="e">
        <f t="shared" si="49"/>
        <v>#DIV/0!</v>
      </c>
      <c r="N87" s="14" t="e">
        <f t="shared" si="49"/>
        <v>#DIV/0!</v>
      </c>
      <c r="O87" s="14" t="e">
        <f t="shared" si="49"/>
        <v>#DIV/0!</v>
      </c>
      <c r="P87" s="14" t="e">
        <f t="shared" si="49"/>
        <v>#DIV/0!</v>
      </c>
      <c r="Q87" s="14" t="e">
        <f t="shared" si="49"/>
        <v>#DIV/0!</v>
      </c>
      <c r="R87" s="14" t="e">
        <f t="shared" si="49"/>
        <v>#DIV/0!</v>
      </c>
      <c r="S87" s="14" t="e">
        <f t="shared" si="49"/>
        <v>#DIV/0!</v>
      </c>
      <c r="T87" s="14" t="e">
        <f t="shared" si="49"/>
        <v>#DIV/0!</v>
      </c>
      <c r="U87" s="14" t="e">
        <f t="shared" si="49"/>
        <v>#DIV/0!</v>
      </c>
      <c r="V87" s="14" t="e">
        <f t="shared" si="49"/>
        <v>#DIV/0!</v>
      </c>
      <c r="W87" s="14" t="e">
        <f t="shared" si="49"/>
        <v>#DIV/0!</v>
      </c>
      <c r="X87" s="14" t="e">
        <f t="shared" si="49"/>
        <v>#DIV/0!</v>
      </c>
      <c r="Y87" s="14" t="e">
        <f t="shared" si="49"/>
        <v>#DIV/0!</v>
      </c>
      <c r="Z87" s="14" t="e">
        <f t="shared" si="49"/>
        <v>#DIV/0!</v>
      </c>
      <c r="AA87" s="14" t="e">
        <f t="shared" si="49"/>
        <v>#DIV/0!</v>
      </c>
      <c r="AB87" s="14" t="e">
        <f t="shared" si="49"/>
        <v>#DIV/0!</v>
      </c>
      <c r="AC87" s="14" t="e">
        <f t="shared" si="49"/>
        <v>#DIV/0!</v>
      </c>
      <c r="AD87" s="14" t="e">
        <f t="shared" si="49"/>
        <v>#DIV/0!</v>
      </c>
      <c r="AE87" s="14" t="e">
        <f t="shared" si="49"/>
        <v>#DIV/0!</v>
      </c>
      <c r="AF87" s="14" t="e">
        <f t="shared" si="49"/>
        <v>#DIV/0!</v>
      </c>
      <c r="AG87" s="14" t="e">
        <f t="shared" si="49"/>
        <v>#DIV/0!</v>
      </c>
      <c r="AH87" s="14" t="e">
        <f t="shared" si="49"/>
        <v>#DIV/0!</v>
      </c>
      <c r="AI87" s="14" t="e">
        <f t="shared" si="49"/>
        <v>#DIV/0!</v>
      </c>
      <c r="AJ87" s="14" t="e">
        <f t="shared" si="49"/>
        <v>#DIV/0!</v>
      </c>
      <c r="AK87" s="14" t="e">
        <f t="shared" si="49"/>
        <v>#DIV/0!</v>
      </c>
      <c r="AL87" s="14" t="e">
        <f t="shared" si="49"/>
        <v>#DIV/0!</v>
      </c>
      <c r="AM87" s="14" t="e">
        <f t="shared" si="49"/>
        <v>#DIV/0!</v>
      </c>
      <c r="AN87" s="14" t="e">
        <f t="shared" si="49"/>
        <v>#DIV/0!</v>
      </c>
      <c r="AO87" s="14" t="e">
        <f t="shared" si="49"/>
        <v>#DIV/0!</v>
      </c>
      <c r="AP87" s="14" t="e">
        <f t="shared" si="49"/>
        <v>#DIV/0!</v>
      </c>
      <c r="AQ87" s="14" t="e">
        <f t="shared" si="49"/>
        <v>#DIV/0!</v>
      </c>
      <c r="AR87" s="14" t="e">
        <f t="shared" si="49"/>
        <v>#DIV/0!</v>
      </c>
      <c r="AS87" s="14" t="e">
        <f t="shared" si="49"/>
        <v>#DIV/0!</v>
      </c>
      <c r="AT87" s="14" t="e">
        <f t="shared" si="49"/>
        <v>#DIV/0!</v>
      </c>
      <c r="AU87" s="14" t="e">
        <f t="shared" si="49"/>
        <v>#DIV/0!</v>
      </c>
      <c r="AV87" s="14" t="e">
        <f t="shared" si="49"/>
        <v>#DIV/0!</v>
      </c>
      <c r="AW87" s="14" t="e">
        <f t="shared" si="49"/>
        <v>#DIV/0!</v>
      </c>
      <c r="AX87" s="14" t="e">
        <f t="shared" si="49"/>
        <v>#DIV/0!</v>
      </c>
      <c r="AY87" s="14" t="e">
        <f t="shared" si="49"/>
        <v>#DIV/0!</v>
      </c>
      <c r="AZ87" s="14" t="e">
        <f t="shared" si="49"/>
        <v>#DIV/0!</v>
      </c>
      <c r="BA87" s="14" t="e">
        <f t="shared" si="49"/>
        <v>#DIV/0!</v>
      </c>
      <c r="BB87" s="14" t="e">
        <f t="shared" si="49"/>
        <v>#DIV/0!</v>
      </c>
      <c r="BC87" s="14" t="e">
        <f t="shared" si="49"/>
        <v>#DIV/0!</v>
      </c>
      <c r="BD87" s="14" t="e">
        <f t="shared" si="49"/>
        <v>#DIV/0!</v>
      </c>
      <c r="BE87" s="14" t="e">
        <f t="shared" si="49"/>
        <v>#DIV/0!</v>
      </c>
      <c r="BF87" s="14" t="e">
        <f t="shared" si="49"/>
        <v>#DIV/0!</v>
      </c>
      <c r="BG87" s="14" t="e">
        <f t="shared" si="49"/>
        <v>#DIV/0!</v>
      </c>
      <c r="BH87" s="14" t="e">
        <f t="shared" si="49"/>
        <v>#DIV/0!</v>
      </c>
      <c r="BI87" s="14" t="e">
        <f t="shared" si="49"/>
        <v>#DIV/0!</v>
      </c>
      <c r="BJ87" s="14" t="e">
        <f t="shared" si="49"/>
        <v>#DIV/0!</v>
      </c>
      <c r="BK87" s="14" t="e">
        <f t="shared" si="49"/>
        <v>#DIV/0!</v>
      </c>
      <c r="BL87" s="14" t="e">
        <f t="shared" si="49"/>
        <v>#DIV/0!</v>
      </c>
      <c r="BM87" s="14" t="e">
        <f t="shared" si="49"/>
        <v>#DIV/0!</v>
      </c>
      <c r="BN87" s="14" t="e">
        <f t="shared" si="49"/>
        <v>#DIV/0!</v>
      </c>
      <c r="BO87" s="14" t="e">
        <f t="shared" si="49"/>
        <v>#DIV/0!</v>
      </c>
      <c r="BP87" s="14" t="e">
        <f t="shared" si="49"/>
        <v>#DIV/0!</v>
      </c>
      <c r="BQ87" s="14" t="e">
        <f t="shared" si="49"/>
        <v>#DIV/0!</v>
      </c>
      <c r="BR87" s="14" t="e">
        <f t="shared" si="49"/>
        <v>#DIV/0!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0</v>
      </c>
      <c r="E88" s="6">
        <f t="shared" si="29"/>
        <v>0</v>
      </c>
      <c r="F88" s="14" t="e">
        <f t="shared" ref="F88" si="50">F12*$C$78</f>
        <v>#DIV/0!</v>
      </c>
      <c r="G88" s="14" t="e">
        <f t="shared" ref="G88:BR88" si="51">G12*$C$78</f>
        <v>#DIV/0!</v>
      </c>
      <c r="H88" s="14" t="e">
        <f t="shared" si="51"/>
        <v>#DIV/0!</v>
      </c>
      <c r="I88" s="14" t="e">
        <f t="shared" si="51"/>
        <v>#DIV/0!</v>
      </c>
      <c r="J88" s="14" t="e">
        <f t="shared" si="51"/>
        <v>#DIV/0!</v>
      </c>
      <c r="K88" s="14" t="e">
        <f t="shared" si="51"/>
        <v>#DIV/0!</v>
      </c>
      <c r="L88" s="14" t="e">
        <f t="shared" si="51"/>
        <v>#DIV/0!</v>
      </c>
      <c r="M88" s="14" t="e">
        <f t="shared" si="51"/>
        <v>#DIV/0!</v>
      </c>
      <c r="N88" s="14" t="e">
        <f t="shared" si="51"/>
        <v>#DIV/0!</v>
      </c>
      <c r="O88" s="14" t="e">
        <f t="shared" si="51"/>
        <v>#DIV/0!</v>
      </c>
      <c r="P88" s="14" t="e">
        <f t="shared" si="51"/>
        <v>#DIV/0!</v>
      </c>
      <c r="Q88" s="14" t="e">
        <f t="shared" si="51"/>
        <v>#DIV/0!</v>
      </c>
      <c r="R88" s="14" t="e">
        <f t="shared" si="51"/>
        <v>#DIV/0!</v>
      </c>
      <c r="S88" s="14" t="e">
        <f t="shared" si="51"/>
        <v>#DIV/0!</v>
      </c>
      <c r="T88" s="14" t="e">
        <f t="shared" si="51"/>
        <v>#DIV/0!</v>
      </c>
      <c r="U88" s="14" t="e">
        <f t="shared" si="51"/>
        <v>#DIV/0!</v>
      </c>
      <c r="V88" s="14" t="e">
        <f t="shared" si="51"/>
        <v>#DIV/0!</v>
      </c>
      <c r="W88" s="14" t="e">
        <f t="shared" si="51"/>
        <v>#DIV/0!</v>
      </c>
      <c r="X88" s="14" t="e">
        <f t="shared" si="51"/>
        <v>#DIV/0!</v>
      </c>
      <c r="Y88" s="14" t="e">
        <f t="shared" si="51"/>
        <v>#DIV/0!</v>
      </c>
      <c r="Z88" s="14" t="e">
        <f t="shared" si="51"/>
        <v>#DIV/0!</v>
      </c>
      <c r="AA88" s="14" t="e">
        <f t="shared" si="51"/>
        <v>#DIV/0!</v>
      </c>
      <c r="AB88" s="14" t="e">
        <f t="shared" si="51"/>
        <v>#DIV/0!</v>
      </c>
      <c r="AC88" s="14" t="e">
        <f t="shared" si="51"/>
        <v>#DIV/0!</v>
      </c>
      <c r="AD88" s="14" t="e">
        <f t="shared" si="51"/>
        <v>#DIV/0!</v>
      </c>
      <c r="AE88" s="14" t="e">
        <f t="shared" si="51"/>
        <v>#DIV/0!</v>
      </c>
      <c r="AF88" s="14" t="e">
        <f t="shared" si="51"/>
        <v>#DIV/0!</v>
      </c>
      <c r="AG88" s="14" t="e">
        <f t="shared" si="51"/>
        <v>#DIV/0!</v>
      </c>
      <c r="AH88" s="14" t="e">
        <f t="shared" si="51"/>
        <v>#DIV/0!</v>
      </c>
      <c r="AI88" s="14" t="e">
        <f t="shared" si="51"/>
        <v>#DIV/0!</v>
      </c>
      <c r="AJ88" s="14" t="e">
        <f t="shared" si="51"/>
        <v>#DIV/0!</v>
      </c>
      <c r="AK88" s="14" t="e">
        <f t="shared" si="51"/>
        <v>#DIV/0!</v>
      </c>
      <c r="AL88" s="14" t="e">
        <f t="shared" si="51"/>
        <v>#DIV/0!</v>
      </c>
      <c r="AM88" s="14" t="e">
        <f t="shared" si="51"/>
        <v>#DIV/0!</v>
      </c>
      <c r="AN88" s="14" t="e">
        <f t="shared" si="51"/>
        <v>#DIV/0!</v>
      </c>
      <c r="AO88" s="14" t="e">
        <f t="shared" si="51"/>
        <v>#DIV/0!</v>
      </c>
      <c r="AP88" s="14" t="e">
        <f t="shared" si="51"/>
        <v>#DIV/0!</v>
      </c>
      <c r="AQ88" s="14" t="e">
        <f t="shared" si="51"/>
        <v>#DIV/0!</v>
      </c>
      <c r="AR88" s="14" t="e">
        <f t="shared" si="51"/>
        <v>#DIV/0!</v>
      </c>
      <c r="AS88" s="14" t="e">
        <f t="shared" si="51"/>
        <v>#DIV/0!</v>
      </c>
      <c r="AT88" s="14" t="e">
        <f t="shared" si="51"/>
        <v>#DIV/0!</v>
      </c>
      <c r="AU88" s="14" t="e">
        <f t="shared" si="51"/>
        <v>#DIV/0!</v>
      </c>
      <c r="AV88" s="14" t="e">
        <f t="shared" si="51"/>
        <v>#DIV/0!</v>
      </c>
      <c r="AW88" s="14" t="e">
        <f t="shared" si="51"/>
        <v>#DIV/0!</v>
      </c>
      <c r="AX88" s="14" t="e">
        <f t="shared" si="51"/>
        <v>#DIV/0!</v>
      </c>
      <c r="AY88" s="14" t="e">
        <f t="shared" si="51"/>
        <v>#DIV/0!</v>
      </c>
      <c r="AZ88" s="14" t="e">
        <f t="shared" si="51"/>
        <v>#DIV/0!</v>
      </c>
      <c r="BA88" s="14" t="e">
        <f t="shared" si="51"/>
        <v>#DIV/0!</v>
      </c>
      <c r="BB88" s="14" t="e">
        <f t="shared" si="51"/>
        <v>#DIV/0!</v>
      </c>
      <c r="BC88" s="14" t="e">
        <f t="shared" si="51"/>
        <v>#DIV/0!</v>
      </c>
      <c r="BD88" s="14" t="e">
        <f t="shared" si="51"/>
        <v>#DIV/0!</v>
      </c>
      <c r="BE88" s="14" t="e">
        <f t="shared" si="51"/>
        <v>#DIV/0!</v>
      </c>
      <c r="BF88" s="14" t="e">
        <f t="shared" si="51"/>
        <v>#DIV/0!</v>
      </c>
      <c r="BG88" s="14" t="e">
        <f t="shared" si="51"/>
        <v>#DIV/0!</v>
      </c>
      <c r="BH88" s="14" t="e">
        <f t="shared" si="51"/>
        <v>#DIV/0!</v>
      </c>
      <c r="BI88" s="14" t="e">
        <f t="shared" si="51"/>
        <v>#DIV/0!</v>
      </c>
      <c r="BJ88" s="14" t="e">
        <f t="shared" si="51"/>
        <v>#DIV/0!</v>
      </c>
      <c r="BK88" s="14" t="e">
        <f t="shared" si="51"/>
        <v>#DIV/0!</v>
      </c>
      <c r="BL88" s="14" t="e">
        <f t="shared" si="51"/>
        <v>#DIV/0!</v>
      </c>
      <c r="BM88" s="14" t="e">
        <f t="shared" si="51"/>
        <v>#DIV/0!</v>
      </c>
      <c r="BN88" s="14" t="e">
        <f t="shared" si="51"/>
        <v>#DIV/0!</v>
      </c>
      <c r="BO88" s="14" t="e">
        <f t="shared" si="51"/>
        <v>#DIV/0!</v>
      </c>
      <c r="BP88" s="14" t="e">
        <f t="shared" si="51"/>
        <v>#DIV/0!</v>
      </c>
      <c r="BQ88" s="14" t="e">
        <f t="shared" si="51"/>
        <v>#DIV/0!</v>
      </c>
      <c r="BR88" s="14" t="e">
        <f t="shared" si="51"/>
        <v>#DIV/0!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>
        <f t="shared" si="29"/>
        <v>0</v>
      </c>
      <c r="F89" s="14" t="e">
        <f t="shared" ref="F89" si="52">F13*$C$78</f>
        <v>#DIV/0!</v>
      </c>
      <c r="G89" s="14" t="e">
        <f t="shared" ref="G89:BR89" si="53">G13*$C$78</f>
        <v>#DIV/0!</v>
      </c>
      <c r="H89" s="14" t="e">
        <f t="shared" si="53"/>
        <v>#DIV/0!</v>
      </c>
      <c r="I89" s="14" t="e">
        <f t="shared" si="53"/>
        <v>#DIV/0!</v>
      </c>
      <c r="J89" s="14" t="e">
        <f t="shared" si="53"/>
        <v>#DIV/0!</v>
      </c>
      <c r="K89" s="14" t="e">
        <f t="shared" si="53"/>
        <v>#DIV/0!</v>
      </c>
      <c r="L89" s="14" t="e">
        <f t="shared" si="53"/>
        <v>#DIV/0!</v>
      </c>
      <c r="M89" s="14" t="e">
        <f t="shared" si="53"/>
        <v>#DIV/0!</v>
      </c>
      <c r="N89" s="14" t="e">
        <f t="shared" si="53"/>
        <v>#DIV/0!</v>
      </c>
      <c r="O89" s="14" t="e">
        <f t="shared" si="53"/>
        <v>#DIV/0!</v>
      </c>
      <c r="P89" s="14" t="e">
        <f t="shared" si="53"/>
        <v>#DIV/0!</v>
      </c>
      <c r="Q89" s="14" t="e">
        <f t="shared" si="53"/>
        <v>#DIV/0!</v>
      </c>
      <c r="R89" s="14" t="e">
        <f t="shared" si="53"/>
        <v>#DIV/0!</v>
      </c>
      <c r="S89" s="14" t="e">
        <f t="shared" si="53"/>
        <v>#DIV/0!</v>
      </c>
      <c r="T89" s="14" t="e">
        <f t="shared" si="53"/>
        <v>#DIV/0!</v>
      </c>
      <c r="U89" s="14" t="e">
        <f t="shared" si="53"/>
        <v>#DIV/0!</v>
      </c>
      <c r="V89" s="14" t="e">
        <f t="shared" si="53"/>
        <v>#DIV/0!</v>
      </c>
      <c r="W89" s="14" t="e">
        <f t="shared" si="53"/>
        <v>#DIV/0!</v>
      </c>
      <c r="X89" s="14" t="e">
        <f t="shared" si="53"/>
        <v>#DIV/0!</v>
      </c>
      <c r="Y89" s="14" t="e">
        <f t="shared" si="53"/>
        <v>#DIV/0!</v>
      </c>
      <c r="Z89" s="14" t="e">
        <f t="shared" si="53"/>
        <v>#DIV/0!</v>
      </c>
      <c r="AA89" s="14" t="e">
        <f t="shared" si="53"/>
        <v>#DIV/0!</v>
      </c>
      <c r="AB89" s="14" t="e">
        <f t="shared" si="53"/>
        <v>#DIV/0!</v>
      </c>
      <c r="AC89" s="14" t="e">
        <f t="shared" si="53"/>
        <v>#DIV/0!</v>
      </c>
      <c r="AD89" s="14" t="e">
        <f t="shared" si="53"/>
        <v>#DIV/0!</v>
      </c>
      <c r="AE89" s="14" t="e">
        <f t="shared" si="53"/>
        <v>#DIV/0!</v>
      </c>
      <c r="AF89" s="14" t="e">
        <f t="shared" si="53"/>
        <v>#DIV/0!</v>
      </c>
      <c r="AG89" s="14" t="e">
        <f t="shared" si="53"/>
        <v>#DIV/0!</v>
      </c>
      <c r="AH89" s="14" t="e">
        <f t="shared" si="53"/>
        <v>#DIV/0!</v>
      </c>
      <c r="AI89" s="14" t="e">
        <f t="shared" si="53"/>
        <v>#DIV/0!</v>
      </c>
      <c r="AJ89" s="14" t="e">
        <f t="shared" si="53"/>
        <v>#DIV/0!</v>
      </c>
      <c r="AK89" s="14" t="e">
        <f t="shared" si="53"/>
        <v>#DIV/0!</v>
      </c>
      <c r="AL89" s="14" t="e">
        <f t="shared" si="53"/>
        <v>#DIV/0!</v>
      </c>
      <c r="AM89" s="14" t="e">
        <f t="shared" si="53"/>
        <v>#DIV/0!</v>
      </c>
      <c r="AN89" s="14" t="e">
        <f t="shared" si="53"/>
        <v>#DIV/0!</v>
      </c>
      <c r="AO89" s="14" t="e">
        <f t="shared" si="53"/>
        <v>#DIV/0!</v>
      </c>
      <c r="AP89" s="14" t="e">
        <f t="shared" si="53"/>
        <v>#DIV/0!</v>
      </c>
      <c r="AQ89" s="14" t="e">
        <f t="shared" si="53"/>
        <v>#DIV/0!</v>
      </c>
      <c r="AR89" s="14" t="e">
        <f t="shared" si="53"/>
        <v>#DIV/0!</v>
      </c>
      <c r="AS89" s="14" t="e">
        <f t="shared" si="53"/>
        <v>#DIV/0!</v>
      </c>
      <c r="AT89" s="14" t="e">
        <f t="shared" si="53"/>
        <v>#DIV/0!</v>
      </c>
      <c r="AU89" s="14" t="e">
        <f t="shared" si="53"/>
        <v>#DIV/0!</v>
      </c>
      <c r="AV89" s="14" t="e">
        <f t="shared" si="53"/>
        <v>#DIV/0!</v>
      </c>
      <c r="AW89" s="14" t="e">
        <f t="shared" si="53"/>
        <v>#DIV/0!</v>
      </c>
      <c r="AX89" s="14" t="e">
        <f t="shared" si="53"/>
        <v>#DIV/0!</v>
      </c>
      <c r="AY89" s="14" t="e">
        <f t="shared" si="53"/>
        <v>#DIV/0!</v>
      </c>
      <c r="AZ89" s="14" t="e">
        <f t="shared" si="53"/>
        <v>#DIV/0!</v>
      </c>
      <c r="BA89" s="14" t="e">
        <f t="shared" si="53"/>
        <v>#DIV/0!</v>
      </c>
      <c r="BB89" s="14" t="e">
        <f t="shared" si="53"/>
        <v>#DIV/0!</v>
      </c>
      <c r="BC89" s="14" t="e">
        <f t="shared" si="53"/>
        <v>#DIV/0!</v>
      </c>
      <c r="BD89" s="14" t="e">
        <f t="shared" si="53"/>
        <v>#DIV/0!</v>
      </c>
      <c r="BE89" s="14" t="e">
        <f t="shared" si="53"/>
        <v>#DIV/0!</v>
      </c>
      <c r="BF89" s="14" t="e">
        <f t="shared" si="53"/>
        <v>#DIV/0!</v>
      </c>
      <c r="BG89" s="14" t="e">
        <f t="shared" si="53"/>
        <v>#DIV/0!</v>
      </c>
      <c r="BH89" s="14" t="e">
        <f t="shared" si="53"/>
        <v>#DIV/0!</v>
      </c>
      <c r="BI89" s="14" t="e">
        <f t="shared" si="53"/>
        <v>#DIV/0!</v>
      </c>
      <c r="BJ89" s="14" t="e">
        <f t="shared" si="53"/>
        <v>#DIV/0!</v>
      </c>
      <c r="BK89" s="14" t="e">
        <f t="shared" si="53"/>
        <v>#DIV/0!</v>
      </c>
      <c r="BL89" s="14" t="e">
        <f t="shared" si="53"/>
        <v>#DIV/0!</v>
      </c>
      <c r="BM89" s="14" t="e">
        <f t="shared" si="53"/>
        <v>#DIV/0!</v>
      </c>
      <c r="BN89" s="14" t="e">
        <f t="shared" si="53"/>
        <v>#DIV/0!</v>
      </c>
      <c r="BO89" s="14" t="e">
        <f t="shared" si="53"/>
        <v>#DIV/0!</v>
      </c>
      <c r="BP89" s="14" t="e">
        <f t="shared" si="53"/>
        <v>#DIV/0!</v>
      </c>
      <c r="BQ89" s="14" t="e">
        <f t="shared" si="53"/>
        <v>#DIV/0!</v>
      </c>
      <c r="BR89" s="14" t="e">
        <f t="shared" si="53"/>
        <v>#DIV/0!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>
        <f t="shared" si="29"/>
        <v>0</v>
      </c>
      <c r="F90" s="14" t="e">
        <f t="shared" ref="F90" si="54">F14*$C$78</f>
        <v>#DIV/0!</v>
      </c>
      <c r="G90" s="14" t="e">
        <f t="shared" ref="G90:BR90" si="55">G14*$C$78</f>
        <v>#DIV/0!</v>
      </c>
      <c r="H90" s="14" t="e">
        <f t="shared" si="55"/>
        <v>#DIV/0!</v>
      </c>
      <c r="I90" s="14" t="e">
        <f t="shared" si="55"/>
        <v>#DIV/0!</v>
      </c>
      <c r="J90" s="14" t="e">
        <f t="shared" si="55"/>
        <v>#DIV/0!</v>
      </c>
      <c r="K90" s="14" t="e">
        <f t="shared" si="55"/>
        <v>#DIV/0!</v>
      </c>
      <c r="L90" s="14" t="e">
        <f t="shared" si="55"/>
        <v>#DIV/0!</v>
      </c>
      <c r="M90" s="14" t="e">
        <f t="shared" si="55"/>
        <v>#DIV/0!</v>
      </c>
      <c r="N90" s="14" t="e">
        <f t="shared" si="55"/>
        <v>#DIV/0!</v>
      </c>
      <c r="O90" s="14" t="e">
        <f t="shared" si="55"/>
        <v>#DIV/0!</v>
      </c>
      <c r="P90" s="14" t="e">
        <f t="shared" si="55"/>
        <v>#DIV/0!</v>
      </c>
      <c r="Q90" s="14" t="e">
        <f t="shared" si="55"/>
        <v>#DIV/0!</v>
      </c>
      <c r="R90" s="14" t="e">
        <f t="shared" si="55"/>
        <v>#DIV/0!</v>
      </c>
      <c r="S90" s="14" t="e">
        <f t="shared" si="55"/>
        <v>#DIV/0!</v>
      </c>
      <c r="T90" s="14" t="e">
        <f t="shared" si="55"/>
        <v>#DIV/0!</v>
      </c>
      <c r="U90" s="14" t="e">
        <f t="shared" si="55"/>
        <v>#DIV/0!</v>
      </c>
      <c r="V90" s="14" t="e">
        <f t="shared" si="55"/>
        <v>#DIV/0!</v>
      </c>
      <c r="W90" s="14" t="e">
        <f t="shared" si="55"/>
        <v>#DIV/0!</v>
      </c>
      <c r="X90" s="14" t="e">
        <f t="shared" si="55"/>
        <v>#DIV/0!</v>
      </c>
      <c r="Y90" s="14" t="e">
        <f t="shared" si="55"/>
        <v>#DIV/0!</v>
      </c>
      <c r="Z90" s="14" t="e">
        <f t="shared" si="55"/>
        <v>#DIV/0!</v>
      </c>
      <c r="AA90" s="14" t="e">
        <f t="shared" si="55"/>
        <v>#DIV/0!</v>
      </c>
      <c r="AB90" s="14" t="e">
        <f t="shared" si="55"/>
        <v>#DIV/0!</v>
      </c>
      <c r="AC90" s="14" t="e">
        <f t="shared" si="55"/>
        <v>#DIV/0!</v>
      </c>
      <c r="AD90" s="14" t="e">
        <f t="shared" si="55"/>
        <v>#DIV/0!</v>
      </c>
      <c r="AE90" s="14" t="e">
        <f t="shared" si="55"/>
        <v>#DIV/0!</v>
      </c>
      <c r="AF90" s="14" t="e">
        <f t="shared" si="55"/>
        <v>#DIV/0!</v>
      </c>
      <c r="AG90" s="14" t="e">
        <f t="shared" si="55"/>
        <v>#DIV/0!</v>
      </c>
      <c r="AH90" s="14" t="e">
        <f t="shared" si="55"/>
        <v>#DIV/0!</v>
      </c>
      <c r="AI90" s="14" t="e">
        <f t="shared" si="55"/>
        <v>#DIV/0!</v>
      </c>
      <c r="AJ90" s="14" t="e">
        <f t="shared" si="55"/>
        <v>#DIV/0!</v>
      </c>
      <c r="AK90" s="14" t="e">
        <f t="shared" si="55"/>
        <v>#DIV/0!</v>
      </c>
      <c r="AL90" s="14" t="e">
        <f t="shared" si="55"/>
        <v>#DIV/0!</v>
      </c>
      <c r="AM90" s="14" t="e">
        <f t="shared" si="55"/>
        <v>#DIV/0!</v>
      </c>
      <c r="AN90" s="14" t="e">
        <f t="shared" si="55"/>
        <v>#DIV/0!</v>
      </c>
      <c r="AO90" s="14" t="e">
        <f t="shared" si="55"/>
        <v>#DIV/0!</v>
      </c>
      <c r="AP90" s="14" t="e">
        <f t="shared" si="55"/>
        <v>#DIV/0!</v>
      </c>
      <c r="AQ90" s="14" t="e">
        <f t="shared" si="55"/>
        <v>#DIV/0!</v>
      </c>
      <c r="AR90" s="14" t="e">
        <f t="shared" si="55"/>
        <v>#DIV/0!</v>
      </c>
      <c r="AS90" s="14" t="e">
        <f t="shared" si="55"/>
        <v>#DIV/0!</v>
      </c>
      <c r="AT90" s="14" t="e">
        <f t="shared" si="55"/>
        <v>#DIV/0!</v>
      </c>
      <c r="AU90" s="14" t="e">
        <f t="shared" si="55"/>
        <v>#DIV/0!</v>
      </c>
      <c r="AV90" s="14" t="e">
        <f t="shared" si="55"/>
        <v>#DIV/0!</v>
      </c>
      <c r="AW90" s="14" t="e">
        <f t="shared" si="55"/>
        <v>#DIV/0!</v>
      </c>
      <c r="AX90" s="14" t="e">
        <f t="shared" si="55"/>
        <v>#DIV/0!</v>
      </c>
      <c r="AY90" s="14" t="e">
        <f t="shared" si="55"/>
        <v>#DIV/0!</v>
      </c>
      <c r="AZ90" s="14" t="e">
        <f t="shared" si="55"/>
        <v>#DIV/0!</v>
      </c>
      <c r="BA90" s="14" t="e">
        <f t="shared" si="55"/>
        <v>#DIV/0!</v>
      </c>
      <c r="BB90" s="14" t="e">
        <f t="shared" si="55"/>
        <v>#DIV/0!</v>
      </c>
      <c r="BC90" s="14" t="e">
        <f t="shared" si="55"/>
        <v>#DIV/0!</v>
      </c>
      <c r="BD90" s="14" t="e">
        <f t="shared" si="55"/>
        <v>#DIV/0!</v>
      </c>
      <c r="BE90" s="14" t="e">
        <f t="shared" si="55"/>
        <v>#DIV/0!</v>
      </c>
      <c r="BF90" s="14" t="e">
        <f t="shared" si="55"/>
        <v>#DIV/0!</v>
      </c>
      <c r="BG90" s="14" t="e">
        <f t="shared" si="55"/>
        <v>#DIV/0!</v>
      </c>
      <c r="BH90" s="14" t="e">
        <f t="shared" si="55"/>
        <v>#DIV/0!</v>
      </c>
      <c r="BI90" s="14" t="e">
        <f t="shared" si="55"/>
        <v>#DIV/0!</v>
      </c>
      <c r="BJ90" s="14" t="e">
        <f t="shared" si="55"/>
        <v>#DIV/0!</v>
      </c>
      <c r="BK90" s="14" t="e">
        <f t="shared" si="55"/>
        <v>#DIV/0!</v>
      </c>
      <c r="BL90" s="14" t="e">
        <f t="shared" si="55"/>
        <v>#DIV/0!</v>
      </c>
      <c r="BM90" s="14" t="e">
        <f t="shared" si="55"/>
        <v>#DIV/0!</v>
      </c>
      <c r="BN90" s="14" t="e">
        <f t="shared" si="55"/>
        <v>#DIV/0!</v>
      </c>
      <c r="BO90" s="14" t="e">
        <f t="shared" si="55"/>
        <v>#DIV/0!</v>
      </c>
      <c r="BP90" s="14" t="e">
        <f t="shared" si="55"/>
        <v>#DIV/0!</v>
      </c>
      <c r="BQ90" s="14" t="e">
        <f t="shared" si="55"/>
        <v>#DIV/0!</v>
      </c>
      <c r="BR90" s="14" t="e">
        <f t="shared" si="55"/>
        <v>#DIV/0!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>
        <f t="shared" si="29"/>
        <v>0</v>
      </c>
      <c r="F91" s="14" t="e">
        <f t="shared" ref="F91" si="56">F15*$C$78</f>
        <v>#DIV/0!</v>
      </c>
      <c r="G91" s="14" t="e">
        <f t="shared" ref="G91:BR91" si="57">G15*$C$78</f>
        <v>#DIV/0!</v>
      </c>
      <c r="H91" s="14" t="e">
        <f t="shared" si="57"/>
        <v>#DIV/0!</v>
      </c>
      <c r="I91" s="14" t="e">
        <f t="shared" si="57"/>
        <v>#DIV/0!</v>
      </c>
      <c r="J91" s="14" t="e">
        <f t="shared" si="57"/>
        <v>#DIV/0!</v>
      </c>
      <c r="K91" s="14" t="e">
        <f t="shared" si="57"/>
        <v>#DIV/0!</v>
      </c>
      <c r="L91" s="14" t="e">
        <f t="shared" si="57"/>
        <v>#DIV/0!</v>
      </c>
      <c r="M91" s="14" t="e">
        <f t="shared" si="57"/>
        <v>#DIV/0!</v>
      </c>
      <c r="N91" s="14" t="e">
        <f t="shared" si="57"/>
        <v>#DIV/0!</v>
      </c>
      <c r="O91" s="14" t="e">
        <f t="shared" si="57"/>
        <v>#DIV/0!</v>
      </c>
      <c r="P91" s="14" t="e">
        <f t="shared" si="57"/>
        <v>#DIV/0!</v>
      </c>
      <c r="Q91" s="14" t="e">
        <f t="shared" si="57"/>
        <v>#DIV/0!</v>
      </c>
      <c r="R91" s="14" t="e">
        <f t="shared" si="57"/>
        <v>#DIV/0!</v>
      </c>
      <c r="S91" s="14" t="e">
        <f t="shared" si="57"/>
        <v>#DIV/0!</v>
      </c>
      <c r="T91" s="14" t="e">
        <f t="shared" si="57"/>
        <v>#DIV/0!</v>
      </c>
      <c r="U91" s="14" t="e">
        <f t="shared" si="57"/>
        <v>#DIV/0!</v>
      </c>
      <c r="V91" s="14" t="e">
        <f t="shared" si="57"/>
        <v>#DIV/0!</v>
      </c>
      <c r="W91" s="14" t="e">
        <f t="shared" si="57"/>
        <v>#DIV/0!</v>
      </c>
      <c r="X91" s="14" t="e">
        <f t="shared" si="57"/>
        <v>#DIV/0!</v>
      </c>
      <c r="Y91" s="14" t="e">
        <f t="shared" si="57"/>
        <v>#DIV/0!</v>
      </c>
      <c r="Z91" s="14" t="e">
        <f t="shared" si="57"/>
        <v>#DIV/0!</v>
      </c>
      <c r="AA91" s="14" t="e">
        <f t="shared" si="57"/>
        <v>#DIV/0!</v>
      </c>
      <c r="AB91" s="14" t="e">
        <f t="shared" si="57"/>
        <v>#DIV/0!</v>
      </c>
      <c r="AC91" s="14" t="e">
        <f t="shared" si="57"/>
        <v>#DIV/0!</v>
      </c>
      <c r="AD91" s="14" t="e">
        <f t="shared" si="57"/>
        <v>#DIV/0!</v>
      </c>
      <c r="AE91" s="14" t="e">
        <f t="shared" si="57"/>
        <v>#DIV/0!</v>
      </c>
      <c r="AF91" s="14" t="e">
        <f t="shared" si="57"/>
        <v>#DIV/0!</v>
      </c>
      <c r="AG91" s="14" t="e">
        <f t="shared" si="57"/>
        <v>#DIV/0!</v>
      </c>
      <c r="AH91" s="14" t="e">
        <f t="shared" si="57"/>
        <v>#DIV/0!</v>
      </c>
      <c r="AI91" s="14" t="e">
        <f t="shared" si="57"/>
        <v>#DIV/0!</v>
      </c>
      <c r="AJ91" s="14" t="e">
        <f t="shared" si="57"/>
        <v>#DIV/0!</v>
      </c>
      <c r="AK91" s="14" t="e">
        <f t="shared" si="57"/>
        <v>#DIV/0!</v>
      </c>
      <c r="AL91" s="14" t="e">
        <f t="shared" si="57"/>
        <v>#DIV/0!</v>
      </c>
      <c r="AM91" s="14" t="e">
        <f t="shared" si="57"/>
        <v>#DIV/0!</v>
      </c>
      <c r="AN91" s="14" t="e">
        <f t="shared" si="57"/>
        <v>#DIV/0!</v>
      </c>
      <c r="AO91" s="14" t="e">
        <f t="shared" si="57"/>
        <v>#DIV/0!</v>
      </c>
      <c r="AP91" s="14" t="e">
        <f t="shared" si="57"/>
        <v>#DIV/0!</v>
      </c>
      <c r="AQ91" s="14" t="e">
        <f t="shared" si="57"/>
        <v>#DIV/0!</v>
      </c>
      <c r="AR91" s="14" t="e">
        <f t="shared" si="57"/>
        <v>#DIV/0!</v>
      </c>
      <c r="AS91" s="14" t="e">
        <f t="shared" si="57"/>
        <v>#DIV/0!</v>
      </c>
      <c r="AT91" s="14" t="e">
        <f t="shared" si="57"/>
        <v>#DIV/0!</v>
      </c>
      <c r="AU91" s="14" t="e">
        <f t="shared" si="57"/>
        <v>#DIV/0!</v>
      </c>
      <c r="AV91" s="14" t="e">
        <f t="shared" si="57"/>
        <v>#DIV/0!</v>
      </c>
      <c r="AW91" s="14" t="e">
        <f t="shared" si="57"/>
        <v>#DIV/0!</v>
      </c>
      <c r="AX91" s="14" t="e">
        <f t="shared" si="57"/>
        <v>#DIV/0!</v>
      </c>
      <c r="AY91" s="14" t="e">
        <f t="shared" si="57"/>
        <v>#DIV/0!</v>
      </c>
      <c r="AZ91" s="14" t="e">
        <f t="shared" si="57"/>
        <v>#DIV/0!</v>
      </c>
      <c r="BA91" s="14" t="e">
        <f t="shared" si="57"/>
        <v>#DIV/0!</v>
      </c>
      <c r="BB91" s="14" t="e">
        <f t="shared" si="57"/>
        <v>#DIV/0!</v>
      </c>
      <c r="BC91" s="14" t="e">
        <f t="shared" si="57"/>
        <v>#DIV/0!</v>
      </c>
      <c r="BD91" s="14" t="e">
        <f t="shared" si="57"/>
        <v>#DIV/0!</v>
      </c>
      <c r="BE91" s="14" t="e">
        <f t="shared" si="57"/>
        <v>#DIV/0!</v>
      </c>
      <c r="BF91" s="14" t="e">
        <f t="shared" si="57"/>
        <v>#DIV/0!</v>
      </c>
      <c r="BG91" s="14" t="e">
        <f t="shared" si="57"/>
        <v>#DIV/0!</v>
      </c>
      <c r="BH91" s="14" t="e">
        <f t="shared" si="57"/>
        <v>#DIV/0!</v>
      </c>
      <c r="BI91" s="14" t="e">
        <f t="shared" si="57"/>
        <v>#DIV/0!</v>
      </c>
      <c r="BJ91" s="14" t="e">
        <f t="shared" si="57"/>
        <v>#DIV/0!</v>
      </c>
      <c r="BK91" s="14" t="e">
        <f t="shared" si="57"/>
        <v>#DIV/0!</v>
      </c>
      <c r="BL91" s="14" t="e">
        <f t="shared" si="57"/>
        <v>#DIV/0!</v>
      </c>
      <c r="BM91" s="14" t="e">
        <f t="shared" si="57"/>
        <v>#DIV/0!</v>
      </c>
      <c r="BN91" s="14" t="e">
        <f t="shared" si="57"/>
        <v>#DIV/0!</v>
      </c>
      <c r="BO91" s="14" t="e">
        <f t="shared" si="57"/>
        <v>#DIV/0!</v>
      </c>
      <c r="BP91" s="14" t="e">
        <f t="shared" si="57"/>
        <v>#DIV/0!</v>
      </c>
      <c r="BQ91" s="14" t="e">
        <f t="shared" si="57"/>
        <v>#DIV/0!</v>
      </c>
      <c r="BR91" s="14" t="e">
        <f t="shared" si="57"/>
        <v>#DIV/0!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>
        <f t="shared" si="29"/>
        <v>0</v>
      </c>
      <c r="F92" s="14" t="e">
        <f t="shared" ref="F92" si="58">F16*$C$78</f>
        <v>#DIV/0!</v>
      </c>
      <c r="G92" s="14" t="e">
        <f t="shared" ref="G92:BR92" si="59">G16*$C$78</f>
        <v>#DIV/0!</v>
      </c>
      <c r="H92" s="14" t="e">
        <f t="shared" si="59"/>
        <v>#DIV/0!</v>
      </c>
      <c r="I92" s="14" t="e">
        <f t="shared" si="59"/>
        <v>#DIV/0!</v>
      </c>
      <c r="J92" s="14" t="e">
        <f t="shared" si="59"/>
        <v>#DIV/0!</v>
      </c>
      <c r="K92" s="14" t="e">
        <f t="shared" si="59"/>
        <v>#DIV/0!</v>
      </c>
      <c r="L92" s="14" t="e">
        <f t="shared" si="59"/>
        <v>#DIV/0!</v>
      </c>
      <c r="M92" s="14" t="e">
        <f t="shared" si="59"/>
        <v>#DIV/0!</v>
      </c>
      <c r="N92" s="14" t="e">
        <f t="shared" si="59"/>
        <v>#DIV/0!</v>
      </c>
      <c r="O92" s="14" t="e">
        <f t="shared" si="59"/>
        <v>#DIV/0!</v>
      </c>
      <c r="P92" s="14" t="e">
        <f t="shared" si="59"/>
        <v>#DIV/0!</v>
      </c>
      <c r="Q92" s="14" t="e">
        <f t="shared" si="59"/>
        <v>#DIV/0!</v>
      </c>
      <c r="R92" s="14" t="e">
        <f t="shared" si="59"/>
        <v>#DIV/0!</v>
      </c>
      <c r="S92" s="14" t="e">
        <f t="shared" si="59"/>
        <v>#DIV/0!</v>
      </c>
      <c r="T92" s="14" t="e">
        <f t="shared" si="59"/>
        <v>#DIV/0!</v>
      </c>
      <c r="U92" s="14" t="e">
        <f t="shared" si="59"/>
        <v>#DIV/0!</v>
      </c>
      <c r="V92" s="14" t="e">
        <f t="shared" si="59"/>
        <v>#DIV/0!</v>
      </c>
      <c r="W92" s="14" t="e">
        <f t="shared" si="59"/>
        <v>#DIV/0!</v>
      </c>
      <c r="X92" s="14" t="e">
        <f t="shared" si="59"/>
        <v>#DIV/0!</v>
      </c>
      <c r="Y92" s="14" t="e">
        <f t="shared" si="59"/>
        <v>#DIV/0!</v>
      </c>
      <c r="Z92" s="14" t="e">
        <f t="shared" si="59"/>
        <v>#DIV/0!</v>
      </c>
      <c r="AA92" s="14" t="e">
        <f t="shared" si="59"/>
        <v>#DIV/0!</v>
      </c>
      <c r="AB92" s="14" t="e">
        <f t="shared" si="59"/>
        <v>#DIV/0!</v>
      </c>
      <c r="AC92" s="14" t="e">
        <f t="shared" si="59"/>
        <v>#DIV/0!</v>
      </c>
      <c r="AD92" s="14" t="e">
        <f t="shared" si="59"/>
        <v>#DIV/0!</v>
      </c>
      <c r="AE92" s="14" t="e">
        <f t="shared" si="59"/>
        <v>#DIV/0!</v>
      </c>
      <c r="AF92" s="14" t="e">
        <f t="shared" si="59"/>
        <v>#DIV/0!</v>
      </c>
      <c r="AG92" s="14" t="e">
        <f t="shared" si="59"/>
        <v>#DIV/0!</v>
      </c>
      <c r="AH92" s="14" t="e">
        <f t="shared" si="59"/>
        <v>#DIV/0!</v>
      </c>
      <c r="AI92" s="14" t="e">
        <f t="shared" si="59"/>
        <v>#DIV/0!</v>
      </c>
      <c r="AJ92" s="14" t="e">
        <f t="shared" si="59"/>
        <v>#DIV/0!</v>
      </c>
      <c r="AK92" s="14" t="e">
        <f t="shared" si="59"/>
        <v>#DIV/0!</v>
      </c>
      <c r="AL92" s="14" t="e">
        <f t="shared" si="59"/>
        <v>#DIV/0!</v>
      </c>
      <c r="AM92" s="14" t="e">
        <f t="shared" si="59"/>
        <v>#DIV/0!</v>
      </c>
      <c r="AN92" s="14" t="e">
        <f t="shared" si="59"/>
        <v>#DIV/0!</v>
      </c>
      <c r="AO92" s="14" t="e">
        <f t="shared" si="59"/>
        <v>#DIV/0!</v>
      </c>
      <c r="AP92" s="14" t="e">
        <f t="shared" si="59"/>
        <v>#DIV/0!</v>
      </c>
      <c r="AQ92" s="14" t="e">
        <f t="shared" si="59"/>
        <v>#DIV/0!</v>
      </c>
      <c r="AR92" s="14" t="e">
        <f t="shared" si="59"/>
        <v>#DIV/0!</v>
      </c>
      <c r="AS92" s="14" t="e">
        <f t="shared" si="59"/>
        <v>#DIV/0!</v>
      </c>
      <c r="AT92" s="14" t="e">
        <f t="shared" si="59"/>
        <v>#DIV/0!</v>
      </c>
      <c r="AU92" s="14" t="e">
        <f t="shared" si="59"/>
        <v>#DIV/0!</v>
      </c>
      <c r="AV92" s="14" t="e">
        <f t="shared" si="59"/>
        <v>#DIV/0!</v>
      </c>
      <c r="AW92" s="14" t="e">
        <f t="shared" si="59"/>
        <v>#DIV/0!</v>
      </c>
      <c r="AX92" s="14" t="e">
        <f t="shared" si="59"/>
        <v>#DIV/0!</v>
      </c>
      <c r="AY92" s="14" t="e">
        <f t="shared" si="59"/>
        <v>#DIV/0!</v>
      </c>
      <c r="AZ92" s="14" t="e">
        <f t="shared" si="59"/>
        <v>#DIV/0!</v>
      </c>
      <c r="BA92" s="14" t="e">
        <f t="shared" si="59"/>
        <v>#DIV/0!</v>
      </c>
      <c r="BB92" s="14" t="e">
        <f t="shared" si="59"/>
        <v>#DIV/0!</v>
      </c>
      <c r="BC92" s="14" t="e">
        <f t="shared" si="59"/>
        <v>#DIV/0!</v>
      </c>
      <c r="BD92" s="14" t="e">
        <f t="shared" si="59"/>
        <v>#DIV/0!</v>
      </c>
      <c r="BE92" s="14" t="e">
        <f t="shared" si="59"/>
        <v>#DIV/0!</v>
      </c>
      <c r="BF92" s="14" t="e">
        <f t="shared" si="59"/>
        <v>#DIV/0!</v>
      </c>
      <c r="BG92" s="14" t="e">
        <f t="shared" si="59"/>
        <v>#DIV/0!</v>
      </c>
      <c r="BH92" s="14" t="e">
        <f t="shared" si="59"/>
        <v>#DIV/0!</v>
      </c>
      <c r="BI92" s="14" t="e">
        <f t="shared" si="59"/>
        <v>#DIV/0!</v>
      </c>
      <c r="BJ92" s="14" t="e">
        <f t="shared" si="59"/>
        <v>#DIV/0!</v>
      </c>
      <c r="BK92" s="14" t="e">
        <f t="shared" si="59"/>
        <v>#DIV/0!</v>
      </c>
      <c r="BL92" s="14" t="e">
        <f t="shared" si="59"/>
        <v>#DIV/0!</v>
      </c>
      <c r="BM92" s="14" t="e">
        <f t="shared" si="59"/>
        <v>#DIV/0!</v>
      </c>
      <c r="BN92" s="14" t="e">
        <f t="shared" si="59"/>
        <v>#DIV/0!</v>
      </c>
      <c r="BO92" s="14" t="e">
        <f t="shared" si="59"/>
        <v>#DIV/0!</v>
      </c>
      <c r="BP92" s="14" t="e">
        <f t="shared" si="59"/>
        <v>#DIV/0!</v>
      </c>
      <c r="BQ92" s="14" t="e">
        <f t="shared" si="59"/>
        <v>#DIV/0!</v>
      </c>
      <c r="BR92" s="14" t="e">
        <f t="shared" si="59"/>
        <v>#DIV/0!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>
        <f t="shared" si="29"/>
        <v>0</v>
      </c>
      <c r="F93" s="14" t="e">
        <f t="shared" ref="F93" si="60">F17*$C$78</f>
        <v>#DIV/0!</v>
      </c>
      <c r="G93" s="14" t="e">
        <f t="shared" ref="G93:BR93" si="61">G17*$C$78</f>
        <v>#DIV/0!</v>
      </c>
      <c r="H93" s="14" t="e">
        <f t="shared" si="61"/>
        <v>#DIV/0!</v>
      </c>
      <c r="I93" s="14" t="e">
        <f t="shared" si="61"/>
        <v>#DIV/0!</v>
      </c>
      <c r="J93" s="14" t="e">
        <f t="shared" si="61"/>
        <v>#DIV/0!</v>
      </c>
      <c r="K93" s="14" t="e">
        <f t="shared" si="61"/>
        <v>#DIV/0!</v>
      </c>
      <c r="L93" s="14" t="e">
        <f t="shared" si="61"/>
        <v>#DIV/0!</v>
      </c>
      <c r="M93" s="14" t="e">
        <f t="shared" si="61"/>
        <v>#DIV/0!</v>
      </c>
      <c r="N93" s="14" t="e">
        <f t="shared" si="61"/>
        <v>#DIV/0!</v>
      </c>
      <c r="O93" s="14" t="e">
        <f t="shared" si="61"/>
        <v>#DIV/0!</v>
      </c>
      <c r="P93" s="14" t="e">
        <f t="shared" si="61"/>
        <v>#DIV/0!</v>
      </c>
      <c r="Q93" s="14" t="e">
        <f t="shared" si="61"/>
        <v>#DIV/0!</v>
      </c>
      <c r="R93" s="14" t="e">
        <f t="shared" si="61"/>
        <v>#DIV/0!</v>
      </c>
      <c r="S93" s="14" t="e">
        <f t="shared" si="61"/>
        <v>#DIV/0!</v>
      </c>
      <c r="T93" s="14" t="e">
        <f t="shared" si="61"/>
        <v>#DIV/0!</v>
      </c>
      <c r="U93" s="14" t="e">
        <f t="shared" si="61"/>
        <v>#DIV/0!</v>
      </c>
      <c r="V93" s="14" t="e">
        <f t="shared" si="61"/>
        <v>#DIV/0!</v>
      </c>
      <c r="W93" s="14" t="e">
        <f t="shared" si="61"/>
        <v>#DIV/0!</v>
      </c>
      <c r="X93" s="14" t="e">
        <f t="shared" si="61"/>
        <v>#DIV/0!</v>
      </c>
      <c r="Y93" s="14" t="e">
        <f t="shared" si="61"/>
        <v>#DIV/0!</v>
      </c>
      <c r="Z93" s="14" t="e">
        <f t="shared" si="61"/>
        <v>#DIV/0!</v>
      </c>
      <c r="AA93" s="14" t="e">
        <f t="shared" si="61"/>
        <v>#DIV/0!</v>
      </c>
      <c r="AB93" s="14" t="e">
        <f t="shared" si="61"/>
        <v>#DIV/0!</v>
      </c>
      <c r="AC93" s="14" t="e">
        <f t="shared" si="61"/>
        <v>#DIV/0!</v>
      </c>
      <c r="AD93" s="14" t="e">
        <f t="shared" si="61"/>
        <v>#DIV/0!</v>
      </c>
      <c r="AE93" s="14" t="e">
        <f t="shared" si="61"/>
        <v>#DIV/0!</v>
      </c>
      <c r="AF93" s="14" t="e">
        <f t="shared" si="61"/>
        <v>#DIV/0!</v>
      </c>
      <c r="AG93" s="14" t="e">
        <f t="shared" si="61"/>
        <v>#DIV/0!</v>
      </c>
      <c r="AH93" s="14" t="e">
        <f t="shared" si="61"/>
        <v>#DIV/0!</v>
      </c>
      <c r="AI93" s="14" t="e">
        <f t="shared" si="61"/>
        <v>#DIV/0!</v>
      </c>
      <c r="AJ93" s="14" t="e">
        <f t="shared" si="61"/>
        <v>#DIV/0!</v>
      </c>
      <c r="AK93" s="14" t="e">
        <f t="shared" si="61"/>
        <v>#DIV/0!</v>
      </c>
      <c r="AL93" s="14" t="e">
        <f t="shared" si="61"/>
        <v>#DIV/0!</v>
      </c>
      <c r="AM93" s="14" t="e">
        <f t="shared" si="61"/>
        <v>#DIV/0!</v>
      </c>
      <c r="AN93" s="14" t="e">
        <f t="shared" si="61"/>
        <v>#DIV/0!</v>
      </c>
      <c r="AO93" s="14" t="e">
        <f t="shared" si="61"/>
        <v>#DIV/0!</v>
      </c>
      <c r="AP93" s="14" t="e">
        <f t="shared" si="61"/>
        <v>#DIV/0!</v>
      </c>
      <c r="AQ93" s="14" t="e">
        <f t="shared" si="61"/>
        <v>#DIV/0!</v>
      </c>
      <c r="AR93" s="14" t="e">
        <f t="shared" si="61"/>
        <v>#DIV/0!</v>
      </c>
      <c r="AS93" s="14" t="e">
        <f t="shared" si="61"/>
        <v>#DIV/0!</v>
      </c>
      <c r="AT93" s="14" t="e">
        <f t="shared" si="61"/>
        <v>#DIV/0!</v>
      </c>
      <c r="AU93" s="14" t="e">
        <f t="shared" si="61"/>
        <v>#DIV/0!</v>
      </c>
      <c r="AV93" s="14" t="e">
        <f t="shared" si="61"/>
        <v>#DIV/0!</v>
      </c>
      <c r="AW93" s="14" t="e">
        <f t="shared" si="61"/>
        <v>#DIV/0!</v>
      </c>
      <c r="AX93" s="14" t="e">
        <f t="shared" si="61"/>
        <v>#DIV/0!</v>
      </c>
      <c r="AY93" s="14" t="e">
        <f t="shared" si="61"/>
        <v>#DIV/0!</v>
      </c>
      <c r="AZ93" s="14" t="e">
        <f t="shared" si="61"/>
        <v>#DIV/0!</v>
      </c>
      <c r="BA93" s="14" t="e">
        <f t="shared" si="61"/>
        <v>#DIV/0!</v>
      </c>
      <c r="BB93" s="14" t="e">
        <f t="shared" si="61"/>
        <v>#DIV/0!</v>
      </c>
      <c r="BC93" s="14" t="e">
        <f t="shared" si="61"/>
        <v>#DIV/0!</v>
      </c>
      <c r="BD93" s="14" t="e">
        <f t="shared" si="61"/>
        <v>#DIV/0!</v>
      </c>
      <c r="BE93" s="14" t="e">
        <f t="shared" si="61"/>
        <v>#DIV/0!</v>
      </c>
      <c r="BF93" s="14" t="e">
        <f t="shared" si="61"/>
        <v>#DIV/0!</v>
      </c>
      <c r="BG93" s="14" t="e">
        <f t="shared" si="61"/>
        <v>#DIV/0!</v>
      </c>
      <c r="BH93" s="14" t="e">
        <f t="shared" si="61"/>
        <v>#DIV/0!</v>
      </c>
      <c r="BI93" s="14" t="e">
        <f t="shared" si="61"/>
        <v>#DIV/0!</v>
      </c>
      <c r="BJ93" s="14" t="e">
        <f t="shared" si="61"/>
        <v>#DIV/0!</v>
      </c>
      <c r="BK93" s="14" t="e">
        <f t="shared" si="61"/>
        <v>#DIV/0!</v>
      </c>
      <c r="BL93" s="14" t="e">
        <f t="shared" si="61"/>
        <v>#DIV/0!</v>
      </c>
      <c r="BM93" s="14" t="e">
        <f t="shared" si="61"/>
        <v>#DIV/0!</v>
      </c>
      <c r="BN93" s="14" t="e">
        <f t="shared" si="61"/>
        <v>#DIV/0!</v>
      </c>
      <c r="BO93" s="14" t="e">
        <f t="shared" si="61"/>
        <v>#DIV/0!</v>
      </c>
      <c r="BP93" s="14" t="e">
        <f t="shared" si="61"/>
        <v>#DIV/0!</v>
      </c>
      <c r="BQ93" s="14" t="e">
        <f t="shared" si="61"/>
        <v>#DIV/0!</v>
      </c>
      <c r="BR93" s="14" t="e">
        <f t="shared" si="61"/>
        <v>#DIV/0!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>
        <f t="shared" si="29"/>
        <v>0</v>
      </c>
      <c r="F94" s="14" t="e">
        <f t="shared" ref="F94" si="62">F18*$C$78</f>
        <v>#DIV/0!</v>
      </c>
      <c r="G94" s="14" t="e">
        <f t="shared" ref="G94:BR94" si="63">G18*$C$78</f>
        <v>#DIV/0!</v>
      </c>
      <c r="H94" s="14" t="e">
        <f t="shared" si="63"/>
        <v>#DIV/0!</v>
      </c>
      <c r="I94" s="14" t="e">
        <f t="shared" si="63"/>
        <v>#DIV/0!</v>
      </c>
      <c r="J94" s="14" t="e">
        <f t="shared" si="63"/>
        <v>#DIV/0!</v>
      </c>
      <c r="K94" s="14" t="e">
        <f t="shared" si="63"/>
        <v>#DIV/0!</v>
      </c>
      <c r="L94" s="14" t="e">
        <f t="shared" si="63"/>
        <v>#DIV/0!</v>
      </c>
      <c r="M94" s="14" t="e">
        <f t="shared" si="63"/>
        <v>#DIV/0!</v>
      </c>
      <c r="N94" s="14" t="e">
        <f t="shared" si="63"/>
        <v>#DIV/0!</v>
      </c>
      <c r="O94" s="14" t="e">
        <f t="shared" si="63"/>
        <v>#DIV/0!</v>
      </c>
      <c r="P94" s="14" t="e">
        <f t="shared" si="63"/>
        <v>#DIV/0!</v>
      </c>
      <c r="Q94" s="14" t="e">
        <f t="shared" si="63"/>
        <v>#DIV/0!</v>
      </c>
      <c r="R94" s="14" t="e">
        <f t="shared" si="63"/>
        <v>#DIV/0!</v>
      </c>
      <c r="S94" s="14" t="e">
        <f t="shared" si="63"/>
        <v>#DIV/0!</v>
      </c>
      <c r="T94" s="14" t="e">
        <f t="shared" si="63"/>
        <v>#DIV/0!</v>
      </c>
      <c r="U94" s="14" t="e">
        <f t="shared" si="63"/>
        <v>#DIV/0!</v>
      </c>
      <c r="V94" s="14" t="e">
        <f t="shared" si="63"/>
        <v>#DIV/0!</v>
      </c>
      <c r="W94" s="14" t="e">
        <f t="shared" si="63"/>
        <v>#DIV/0!</v>
      </c>
      <c r="X94" s="14" t="e">
        <f t="shared" si="63"/>
        <v>#DIV/0!</v>
      </c>
      <c r="Y94" s="14" t="e">
        <f t="shared" si="63"/>
        <v>#DIV/0!</v>
      </c>
      <c r="Z94" s="14" t="e">
        <f t="shared" si="63"/>
        <v>#DIV/0!</v>
      </c>
      <c r="AA94" s="14" t="e">
        <f t="shared" si="63"/>
        <v>#DIV/0!</v>
      </c>
      <c r="AB94" s="14" t="e">
        <f t="shared" si="63"/>
        <v>#DIV/0!</v>
      </c>
      <c r="AC94" s="14" t="e">
        <f t="shared" si="63"/>
        <v>#DIV/0!</v>
      </c>
      <c r="AD94" s="14" t="e">
        <f t="shared" si="63"/>
        <v>#DIV/0!</v>
      </c>
      <c r="AE94" s="14" t="e">
        <f t="shared" si="63"/>
        <v>#DIV/0!</v>
      </c>
      <c r="AF94" s="14" t="e">
        <f t="shared" si="63"/>
        <v>#DIV/0!</v>
      </c>
      <c r="AG94" s="14" t="e">
        <f t="shared" si="63"/>
        <v>#DIV/0!</v>
      </c>
      <c r="AH94" s="14" t="e">
        <f t="shared" si="63"/>
        <v>#DIV/0!</v>
      </c>
      <c r="AI94" s="14" t="e">
        <f t="shared" si="63"/>
        <v>#DIV/0!</v>
      </c>
      <c r="AJ94" s="14" t="e">
        <f t="shared" si="63"/>
        <v>#DIV/0!</v>
      </c>
      <c r="AK94" s="14" t="e">
        <f t="shared" si="63"/>
        <v>#DIV/0!</v>
      </c>
      <c r="AL94" s="14" t="e">
        <f t="shared" si="63"/>
        <v>#DIV/0!</v>
      </c>
      <c r="AM94" s="14" t="e">
        <f t="shared" si="63"/>
        <v>#DIV/0!</v>
      </c>
      <c r="AN94" s="14" t="e">
        <f t="shared" si="63"/>
        <v>#DIV/0!</v>
      </c>
      <c r="AO94" s="14" t="e">
        <f t="shared" si="63"/>
        <v>#DIV/0!</v>
      </c>
      <c r="AP94" s="14" t="e">
        <f t="shared" si="63"/>
        <v>#DIV/0!</v>
      </c>
      <c r="AQ94" s="14" t="e">
        <f t="shared" si="63"/>
        <v>#DIV/0!</v>
      </c>
      <c r="AR94" s="14" t="e">
        <f t="shared" si="63"/>
        <v>#DIV/0!</v>
      </c>
      <c r="AS94" s="14" t="e">
        <f t="shared" si="63"/>
        <v>#DIV/0!</v>
      </c>
      <c r="AT94" s="14" t="e">
        <f t="shared" si="63"/>
        <v>#DIV/0!</v>
      </c>
      <c r="AU94" s="14" t="e">
        <f t="shared" si="63"/>
        <v>#DIV/0!</v>
      </c>
      <c r="AV94" s="14" t="e">
        <f t="shared" si="63"/>
        <v>#DIV/0!</v>
      </c>
      <c r="AW94" s="14" t="e">
        <f t="shared" si="63"/>
        <v>#DIV/0!</v>
      </c>
      <c r="AX94" s="14" t="e">
        <f t="shared" si="63"/>
        <v>#DIV/0!</v>
      </c>
      <c r="AY94" s="14" t="e">
        <f t="shared" si="63"/>
        <v>#DIV/0!</v>
      </c>
      <c r="AZ94" s="14" t="e">
        <f t="shared" si="63"/>
        <v>#DIV/0!</v>
      </c>
      <c r="BA94" s="14" t="e">
        <f t="shared" si="63"/>
        <v>#DIV/0!</v>
      </c>
      <c r="BB94" s="14" t="e">
        <f t="shared" si="63"/>
        <v>#DIV/0!</v>
      </c>
      <c r="BC94" s="14" t="e">
        <f t="shared" si="63"/>
        <v>#DIV/0!</v>
      </c>
      <c r="BD94" s="14" t="e">
        <f t="shared" si="63"/>
        <v>#DIV/0!</v>
      </c>
      <c r="BE94" s="14" t="e">
        <f t="shared" si="63"/>
        <v>#DIV/0!</v>
      </c>
      <c r="BF94" s="14" t="e">
        <f t="shared" si="63"/>
        <v>#DIV/0!</v>
      </c>
      <c r="BG94" s="14" t="e">
        <f t="shared" si="63"/>
        <v>#DIV/0!</v>
      </c>
      <c r="BH94" s="14" t="e">
        <f t="shared" si="63"/>
        <v>#DIV/0!</v>
      </c>
      <c r="BI94" s="14" t="e">
        <f t="shared" si="63"/>
        <v>#DIV/0!</v>
      </c>
      <c r="BJ94" s="14" t="e">
        <f t="shared" si="63"/>
        <v>#DIV/0!</v>
      </c>
      <c r="BK94" s="14" t="e">
        <f t="shared" si="63"/>
        <v>#DIV/0!</v>
      </c>
      <c r="BL94" s="14" t="e">
        <f t="shared" si="63"/>
        <v>#DIV/0!</v>
      </c>
      <c r="BM94" s="14" t="e">
        <f t="shared" si="63"/>
        <v>#DIV/0!</v>
      </c>
      <c r="BN94" s="14" t="e">
        <f t="shared" si="63"/>
        <v>#DIV/0!</v>
      </c>
      <c r="BO94" s="14" t="e">
        <f t="shared" si="63"/>
        <v>#DIV/0!</v>
      </c>
      <c r="BP94" s="14" t="e">
        <f t="shared" si="63"/>
        <v>#DIV/0!</v>
      </c>
      <c r="BQ94" s="14" t="e">
        <f t="shared" si="63"/>
        <v>#DIV/0!</v>
      </c>
      <c r="BR94" s="14" t="e">
        <f t="shared" si="63"/>
        <v>#DIV/0!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>
        <f t="shared" si="29"/>
        <v>0</v>
      </c>
      <c r="F95" s="14" t="e">
        <f t="shared" ref="F95" si="64">F19*$C$78</f>
        <v>#DIV/0!</v>
      </c>
      <c r="G95" s="14" t="e">
        <f t="shared" ref="G95:BR95" si="65">G19*$C$78</f>
        <v>#DIV/0!</v>
      </c>
      <c r="H95" s="14" t="e">
        <f t="shared" si="65"/>
        <v>#DIV/0!</v>
      </c>
      <c r="I95" s="14" t="e">
        <f t="shared" si="65"/>
        <v>#DIV/0!</v>
      </c>
      <c r="J95" s="14" t="e">
        <f t="shared" si="65"/>
        <v>#DIV/0!</v>
      </c>
      <c r="K95" s="14" t="e">
        <f t="shared" si="65"/>
        <v>#DIV/0!</v>
      </c>
      <c r="L95" s="14" t="e">
        <f t="shared" si="65"/>
        <v>#DIV/0!</v>
      </c>
      <c r="M95" s="14" t="e">
        <f t="shared" si="65"/>
        <v>#DIV/0!</v>
      </c>
      <c r="N95" s="14" t="e">
        <f t="shared" si="65"/>
        <v>#DIV/0!</v>
      </c>
      <c r="O95" s="14" t="e">
        <f t="shared" si="65"/>
        <v>#DIV/0!</v>
      </c>
      <c r="P95" s="14" t="e">
        <f t="shared" si="65"/>
        <v>#DIV/0!</v>
      </c>
      <c r="Q95" s="14" t="e">
        <f t="shared" si="65"/>
        <v>#DIV/0!</v>
      </c>
      <c r="R95" s="14" t="e">
        <f t="shared" si="65"/>
        <v>#DIV/0!</v>
      </c>
      <c r="S95" s="14" t="e">
        <f t="shared" si="65"/>
        <v>#DIV/0!</v>
      </c>
      <c r="T95" s="14" t="e">
        <f t="shared" si="65"/>
        <v>#DIV/0!</v>
      </c>
      <c r="U95" s="14" t="e">
        <f t="shared" si="65"/>
        <v>#DIV/0!</v>
      </c>
      <c r="V95" s="14" t="e">
        <f t="shared" si="65"/>
        <v>#DIV/0!</v>
      </c>
      <c r="W95" s="14" t="e">
        <f t="shared" si="65"/>
        <v>#DIV/0!</v>
      </c>
      <c r="X95" s="14" t="e">
        <f t="shared" si="65"/>
        <v>#DIV/0!</v>
      </c>
      <c r="Y95" s="14" t="e">
        <f t="shared" si="65"/>
        <v>#DIV/0!</v>
      </c>
      <c r="Z95" s="14" t="e">
        <f t="shared" si="65"/>
        <v>#DIV/0!</v>
      </c>
      <c r="AA95" s="14" t="e">
        <f t="shared" si="65"/>
        <v>#DIV/0!</v>
      </c>
      <c r="AB95" s="14" t="e">
        <f t="shared" si="65"/>
        <v>#DIV/0!</v>
      </c>
      <c r="AC95" s="14" t="e">
        <f t="shared" si="65"/>
        <v>#DIV/0!</v>
      </c>
      <c r="AD95" s="14" t="e">
        <f t="shared" si="65"/>
        <v>#DIV/0!</v>
      </c>
      <c r="AE95" s="14" t="e">
        <f t="shared" si="65"/>
        <v>#DIV/0!</v>
      </c>
      <c r="AF95" s="14" t="e">
        <f t="shared" si="65"/>
        <v>#DIV/0!</v>
      </c>
      <c r="AG95" s="14" t="e">
        <f t="shared" si="65"/>
        <v>#DIV/0!</v>
      </c>
      <c r="AH95" s="14" t="e">
        <f t="shared" si="65"/>
        <v>#DIV/0!</v>
      </c>
      <c r="AI95" s="14" t="e">
        <f t="shared" si="65"/>
        <v>#DIV/0!</v>
      </c>
      <c r="AJ95" s="14" t="e">
        <f t="shared" si="65"/>
        <v>#DIV/0!</v>
      </c>
      <c r="AK95" s="14" t="e">
        <f t="shared" si="65"/>
        <v>#DIV/0!</v>
      </c>
      <c r="AL95" s="14" t="e">
        <f t="shared" si="65"/>
        <v>#DIV/0!</v>
      </c>
      <c r="AM95" s="14" t="e">
        <f t="shared" si="65"/>
        <v>#DIV/0!</v>
      </c>
      <c r="AN95" s="14" t="e">
        <f t="shared" si="65"/>
        <v>#DIV/0!</v>
      </c>
      <c r="AO95" s="14" t="e">
        <f t="shared" si="65"/>
        <v>#DIV/0!</v>
      </c>
      <c r="AP95" s="14" t="e">
        <f t="shared" si="65"/>
        <v>#DIV/0!</v>
      </c>
      <c r="AQ95" s="14" t="e">
        <f t="shared" si="65"/>
        <v>#DIV/0!</v>
      </c>
      <c r="AR95" s="14" t="e">
        <f t="shared" si="65"/>
        <v>#DIV/0!</v>
      </c>
      <c r="AS95" s="14" t="e">
        <f t="shared" si="65"/>
        <v>#DIV/0!</v>
      </c>
      <c r="AT95" s="14" t="e">
        <f t="shared" si="65"/>
        <v>#DIV/0!</v>
      </c>
      <c r="AU95" s="14" t="e">
        <f t="shared" si="65"/>
        <v>#DIV/0!</v>
      </c>
      <c r="AV95" s="14" t="e">
        <f t="shared" si="65"/>
        <v>#DIV/0!</v>
      </c>
      <c r="AW95" s="14" t="e">
        <f t="shared" si="65"/>
        <v>#DIV/0!</v>
      </c>
      <c r="AX95" s="14" t="e">
        <f t="shared" si="65"/>
        <v>#DIV/0!</v>
      </c>
      <c r="AY95" s="14" t="e">
        <f t="shared" si="65"/>
        <v>#DIV/0!</v>
      </c>
      <c r="AZ95" s="14" t="e">
        <f t="shared" si="65"/>
        <v>#DIV/0!</v>
      </c>
      <c r="BA95" s="14" t="e">
        <f t="shared" si="65"/>
        <v>#DIV/0!</v>
      </c>
      <c r="BB95" s="14" t="e">
        <f t="shared" si="65"/>
        <v>#DIV/0!</v>
      </c>
      <c r="BC95" s="14" t="e">
        <f t="shared" si="65"/>
        <v>#DIV/0!</v>
      </c>
      <c r="BD95" s="14" t="e">
        <f t="shared" si="65"/>
        <v>#DIV/0!</v>
      </c>
      <c r="BE95" s="14" t="e">
        <f t="shared" si="65"/>
        <v>#DIV/0!</v>
      </c>
      <c r="BF95" s="14" t="e">
        <f t="shared" si="65"/>
        <v>#DIV/0!</v>
      </c>
      <c r="BG95" s="14" t="e">
        <f t="shared" si="65"/>
        <v>#DIV/0!</v>
      </c>
      <c r="BH95" s="14" t="e">
        <f t="shared" si="65"/>
        <v>#DIV/0!</v>
      </c>
      <c r="BI95" s="14" t="e">
        <f t="shared" si="65"/>
        <v>#DIV/0!</v>
      </c>
      <c r="BJ95" s="14" t="e">
        <f t="shared" si="65"/>
        <v>#DIV/0!</v>
      </c>
      <c r="BK95" s="14" t="e">
        <f t="shared" si="65"/>
        <v>#DIV/0!</v>
      </c>
      <c r="BL95" s="14" t="e">
        <f t="shared" si="65"/>
        <v>#DIV/0!</v>
      </c>
      <c r="BM95" s="14" t="e">
        <f t="shared" si="65"/>
        <v>#DIV/0!</v>
      </c>
      <c r="BN95" s="14" t="e">
        <f t="shared" si="65"/>
        <v>#DIV/0!</v>
      </c>
      <c r="BO95" s="14" t="e">
        <f t="shared" si="65"/>
        <v>#DIV/0!</v>
      </c>
      <c r="BP95" s="14" t="e">
        <f t="shared" si="65"/>
        <v>#DIV/0!</v>
      </c>
      <c r="BQ95" s="14" t="e">
        <f t="shared" si="65"/>
        <v>#DIV/0!</v>
      </c>
      <c r="BR95" s="14" t="e">
        <f t="shared" si="65"/>
        <v>#DIV/0!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 t="e">
        <f t="shared" ref="F96" si="66">F20*$C$78</f>
        <v>#DIV/0!</v>
      </c>
      <c r="G96" s="14" t="e">
        <f t="shared" ref="G96:BR96" si="67">G20*$C$78</f>
        <v>#DIV/0!</v>
      </c>
      <c r="H96" s="14" t="e">
        <f t="shared" si="67"/>
        <v>#DIV/0!</v>
      </c>
      <c r="I96" s="14" t="e">
        <f t="shared" si="67"/>
        <v>#DIV/0!</v>
      </c>
      <c r="J96" s="14" t="e">
        <f t="shared" si="67"/>
        <v>#DIV/0!</v>
      </c>
      <c r="K96" s="14" t="e">
        <f t="shared" si="67"/>
        <v>#DIV/0!</v>
      </c>
      <c r="L96" s="14" t="e">
        <f t="shared" si="67"/>
        <v>#DIV/0!</v>
      </c>
      <c r="M96" s="14" t="e">
        <f t="shared" si="67"/>
        <v>#DIV/0!</v>
      </c>
      <c r="N96" s="14" t="e">
        <f t="shared" si="67"/>
        <v>#DIV/0!</v>
      </c>
      <c r="O96" s="14" t="e">
        <f t="shared" si="67"/>
        <v>#DIV/0!</v>
      </c>
      <c r="P96" s="14" t="e">
        <f t="shared" si="67"/>
        <v>#DIV/0!</v>
      </c>
      <c r="Q96" s="14" t="e">
        <f t="shared" si="67"/>
        <v>#DIV/0!</v>
      </c>
      <c r="R96" s="14" t="e">
        <f t="shared" si="67"/>
        <v>#DIV/0!</v>
      </c>
      <c r="S96" s="14" t="e">
        <f t="shared" si="67"/>
        <v>#DIV/0!</v>
      </c>
      <c r="T96" s="14" t="e">
        <f t="shared" si="67"/>
        <v>#DIV/0!</v>
      </c>
      <c r="U96" s="14" t="e">
        <f t="shared" si="67"/>
        <v>#DIV/0!</v>
      </c>
      <c r="V96" s="14" t="e">
        <f t="shared" si="67"/>
        <v>#DIV/0!</v>
      </c>
      <c r="W96" s="14" t="e">
        <f t="shared" si="67"/>
        <v>#DIV/0!</v>
      </c>
      <c r="X96" s="14" t="e">
        <f t="shared" si="67"/>
        <v>#DIV/0!</v>
      </c>
      <c r="Y96" s="14" t="e">
        <f t="shared" si="67"/>
        <v>#DIV/0!</v>
      </c>
      <c r="Z96" s="14" t="e">
        <f t="shared" si="67"/>
        <v>#DIV/0!</v>
      </c>
      <c r="AA96" s="14" t="e">
        <f t="shared" si="67"/>
        <v>#DIV/0!</v>
      </c>
      <c r="AB96" s="14" t="e">
        <f t="shared" si="67"/>
        <v>#DIV/0!</v>
      </c>
      <c r="AC96" s="14" t="e">
        <f t="shared" si="67"/>
        <v>#DIV/0!</v>
      </c>
      <c r="AD96" s="14" t="e">
        <f t="shared" si="67"/>
        <v>#DIV/0!</v>
      </c>
      <c r="AE96" s="14" t="e">
        <f t="shared" si="67"/>
        <v>#DIV/0!</v>
      </c>
      <c r="AF96" s="14" t="e">
        <f t="shared" si="67"/>
        <v>#DIV/0!</v>
      </c>
      <c r="AG96" s="14" t="e">
        <f t="shared" si="67"/>
        <v>#DIV/0!</v>
      </c>
      <c r="AH96" s="14" t="e">
        <f t="shared" si="67"/>
        <v>#DIV/0!</v>
      </c>
      <c r="AI96" s="14" t="e">
        <f t="shared" si="67"/>
        <v>#DIV/0!</v>
      </c>
      <c r="AJ96" s="14" t="e">
        <f t="shared" si="67"/>
        <v>#DIV/0!</v>
      </c>
      <c r="AK96" s="14" t="e">
        <f t="shared" si="67"/>
        <v>#DIV/0!</v>
      </c>
      <c r="AL96" s="14" t="e">
        <f t="shared" si="67"/>
        <v>#DIV/0!</v>
      </c>
      <c r="AM96" s="14" t="e">
        <f t="shared" si="67"/>
        <v>#DIV/0!</v>
      </c>
      <c r="AN96" s="14" t="e">
        <f t="shared" si="67"/>
        <v>#DIV/0!</v>
      </c>
      <c r="AO96" s="14" t="e">
        <f t="shared" si="67"/>
        <v>#DIV/0!</v>
      </c>
      <c r="AP96" s="14" t="e">
        <f t="shared" si="67"/>
        <v>#DIV/0!</v>
      </c>
      <c r="AQ96" s="14" t="e">
        <f t="shared" si="67"/>
        <v>#DIV/0!</v>
      </c>
      <c r="AR96" s="14" t="e">
        <f t="shared" si="67"/>
        <v>#DIV/0!</v>
      </c>
      <c r="AS96" s="14" t="e">
        <f t="shared" si="67"/>
        <v>#DIV/0!</v>
      </c>
      <c r="AT96" s="14" t="e">
        <f t="shared" si="67"/>
        <v>#DIV/0!</v>
      </c>
      <c r="AU96" s="14" t="e">
        <f t="shared" si="67"/>
        <v>#DIV/0!</v>
      </c>
      <c r="AV96" s="14" t="e">
        <f t="shared" si="67"/>
        <v>#DIV/0!</v>
      </c>
      <c r="AW96" s="14" t="e">
        <f t="shared" si="67"/>
        <v>#DIV/0!</v>
      </c>
      <c r="AX96" s="14" t="e">
        <f t="shared" si="67"/>
        <v>#DIV/0!</v>
      </c>
      <c r="AY96" s="14" t="e">
        <f t="shared" si="67"/>
        <v>#DIV/0!</v>
      </c>
      <c r="AZ96" s="14" t="e">
        <f t="shared" si="67"/>
        <v>#DIV/0!</v>
      </c>
      <c r="BA96" s="14" t="e">
        <f t="shared" si="67"/>
        <v>#DIV/0!</v>
      </c>
      <c r="BB96" s="14" t="e">
        <f t="shared" si="67"/>
        <v>#DIV/0!</v>
      </c>
      <c r="BC96" s="14" t="e">
        <f t="shared" si="67"/>
        <v>#DIV/0!</v>
      </c>
      <c r="BD96" s="14" t="e">
        <f t="shared" si="67"/>
        <v>#DIV/0!</v>
      </c>
      <c r="BE96" s="14" t="e">
        <f t="shared" si="67"/>
        <v>#DIV/0!</v>
      </c>
      <c r="BF96" s="14" t="e">
        <f t="shared" si="67"/>
        <v>#DIV/0!</v>
      </c>
      <c r="BG96" s="14" t="e">
        <f t="shared" si="67"/>
        <v>#DIV/0!</v>
      </c>
      <c r="BH96" s="14" t="e">
        <f t="shared" si="67"/>
        <v>#DIV/0!</v>
      </c>
      <c r="BI96" s="14" t="e">
        <f t="shared" si="67"/>
        <v>#DIV/0!</v>
      </c>
      <c r="BJ96" s="14" t="e">
        <f t="shared" si="67"/>
        <v>#DIV/0!</v>
      </c>
      <c r="BK96" s="14" t="e">
        <f t="shared" si="67"/>
        <v>#DIV/0!</v>
      </c>
      <c r="BL96" s="14" t="e">
        <f t="shared" si="67"/>
        <v>#DIV/0!</v>
      </c>
      <c r="BM96" s="14" t="e">
        <f t="shared" si="67"/>
        <v>#DIV/0!</v>
      </c>
      <c r="BN96" s="14" t="e">
        <f t="shared" si="67"/>
        <v>#DIV/0!</v>
      </c>
      <c r="BO96" s="14" t="e">
        <f t="shared" si="67"/>
        <v>#DIV/0!</v>
      </c>
      <c r="BP96" s="14" t="e">
        <f t="shared" si="67"/>
        <v>#DIV/0!</v>
      </c>
      <c r="BQ96" s="14" t="e">
        <f t="shared" si="67"/>
        <v>#DIV/0!</v>
      </c>
      <c r="BR96" s="14" t="e">
        <f t="shared" si="67"/>
        <v>#DIV/0!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 t="e">
        <f t="shared" ref="F97" si="69">F21*$C$78</f>
        <v>#DIV/0!</v>
      </c>
      <c r="G97" s="14" t="e">
        <f t="shared" ref="G97:BR97" si="70">G21*$C$78</f>
        <v>#DIV/0!</v>
      </c>
      <c r="H97" s="14" t="e">
        <f t="shared" si="70"/>
        <v>#DIV/0!</v>
      </c>
      <c r="I97" s="14" t="e">
        <f t="shared" si="70"/>
        <v>#DIV/0!</v>
      </c>
      <c r="J97" s="14" t="e">
        <f t="shared" si="70"/>
        <v>#DIV/0!</v>
      </c>
      <c r="K97" s="14" t="e">
        <f t="shared" si="70"/>
        <v>#DIV/0!</v>
      </c>
      <c r="L97" s="14" t="e">
        <f t="shared" si="70"/>
        <v>#DIV/0!</v>
      </c>
      <c r="M97" s="14" t="e">
        <f t="shared" si="70"/>
        <v>#DIV/0!</v>
      </c>
      <c r="N97" s="14" t="e">
        <f t="shared" si="70"/>
        <v>#DIV/0!</v>
      </c>
      <c r="O97" s="14" t="e">
        <f t="shared" si="70"/>
        <v>#DIV/0!</v>
      </c>
      <c r="P97" s="14" t="e">
        <f t="shared" si="70"/>
        <v>#DIV/0!</v>
      </c>
      <c r="Q97" s="14" t="e">
        <f t="shared" si="70"/>
        <v>#DIV/0!</v>
      </c>
      <c r="R97" s="14" t="e">
        <f t="shared" si="70"/>
        <v>#DIV/0!</v>
      </c>
      <c r="S97" s="14" t="e">
        <f t="shared" si="70"/>
        <v>#DIV/0!</v>
      </c>
      <c r="T97" s="14" t="e">
        <f t="shared" si="70"/>
        <v>#DIV/0!</v>
      </c>
      <c r="U97" s="14" t="e">
        <f t="shared" si="70"/>
        <v>#DIV/0!</v>
      </c>
      <c r="V97" s="14" t="e">
        <f t="shared" si="70"/>
        <v>#DIV/0!</v>
      </c>
      <c r="W97" s="14" t="e">
        <f t="shared" si="70"/>
        <v>#DIV/0!</v>
      </c>
      <c r="X97" s="14" t="e">
        <f t="shared" si="70"/>
        <v>#DIV/0!</v>
      </c>
      <c r="Y97" s="14" t="e">
        <f t="shared" si="70"/>
        <v>#DIV/0!</v>
      </c>
      <c r="Z97" s="14" t="e">
        <f t="shared" si="70"/>
        <v>#DIV/0!</v>
      </c>
      <c r="AA97" s="14" t="e">
        <f t="shared" si="70"/>
        <v>#DIV/0!</v>
      </c>
      <c r="AB97" s="14" t="e">
        <f t="shared" si="70"/>
        <v>#DIV/0!</v>
      </c>
      <c r="AC97" s="14" t="e">
        <f t="shared" si="70"/>
        <v>#DIV/0!</v>
      </c>
      <c r="AD97" s="14" t="e">
        <f t="shared" si="70"/>
        <v>#DIV/0!</v>
      </c>
      <c r="AE97" s="14" t="e">
        <f t="shared" si="70"/>
        <v>#DIV/0!</v>
      </c>
      <c r="AF97" s="14" t="e">
        <f t="shared" si="70"/>
        <v>#DIV/0!</v>
      </c>
      <c r="AG97" s="14" t="e">
        <f t="shared" si="70"/>
        <v>#DIV/0!</v>
      </c>
      <c r="AH97" s="14" t="e">
        <f t="shared" si="70"/>
        <v>#DIV/0!</v>
      </c>
      <c r="AI97" s="14" t="e">
        <f t="shared" si="70"/>
        <v>#DIV/0!</v>
      </c>
      <c r="AJ97" s="14" t="e">
        <f t="shared" si="70"/>
        <v>#DIV/0!</v>
      </c>
      <c r="AK97" s="14" t="e">
        <f t="shared" si="70"/>
        <v>#DIV/0!</v>
      </c>
      <c r="AL97" s="14" t="e">
        <f t="shared" si="70"/>
        <v>#DIV/0!</v>
      </c>
      <c r="AM97" s="14" t="e">
        <f t="shared" si="70"/>
        <v>#DIV/0!</v>
      </c>
      <c r="AN97" s="14" t="e">
        <f t="shared" si="70"/>
        <v>#DIV/0!</v>
      </c>
      <c r="AO97" s="14" t="e">
        <f t="shared" si="70"/>
        <v>#DIV/0!</v>
      </c>
      <c r="AP97" s="14" t="e">
        <f t="shared" si="70"/>
        <v>#DIV/0!</v>
      </c>
      <c r="AQ97" s="14" t="e">
        <f t="shared" si="70"/>
        <v>#DIV/0!</v>
      </c>
      <c r="AR97" s="14" t="e">
        <f t="shared" si="70"/>
        <v>#DIV/0!</v>
      </c>
      <c r="AS97" s="14" t="e">
        <f t="shared" si="70"/>
        <v>#DIV/0!</v>
      </c>
      <c r="AT97" s="14" t="e">
        <f t="shared" si="70"/>
        <v>#DIV/0!</v>
      </c>
      <c r="AU97" s="14" t="e">
        <f t="shared" si="70"/>
        <v>#DIV/0!</v>
      </c>
      <c r="AV97" s="14" t="e">
        <f t="shared" si="70"/>
        <v>#DIV/0!</v>
      </c>
      <c r="AW97" s="14" t="e">
        <f t="shared" si="70"/>
        <v>#DIV/0!</v>
      </c>
      <c r="AX97" s="14" t="e">
        <f t="shared" si="70"/>
        <v>#DIV/0!</v>
      </c>
      <c r="AY97" s="14" t="e">
        <f t="shared" si="70"/>
        <v>#DIV/0!</v>
      </c>
      <c r="AZ97" s="14" t="e">
        <f t="shared" si="70"/>
        <v>#DIV/0!</v>
      </c>
      <c r="BA97" s="14" t="e">
        <f t="shared" si="70"/>
        <v>#DIV/0!</v>
      </c>
      <c r="BB97" s="14" t="e">
        <f t="shared" si="70"/>
        <v>#DIV/0!</v>
      </c>
      <c r="BC97" s="14" t="e">
        <f t="shared" si="70"/>
        <v>#DIV/0!</v>
      </c>
      <c r="BD97" s="14" t="e">
        <f t="shared" si="70"/>
        <v>#DIV/0!</v>
      </c>
      <c r="BE97" s="14" t="e">
        <f t="shared" si="70"/>
        <v>#DIV/0!</v>
      </c>
      <c r="BF97" s="14" t="e">
        <f t="shared" si="70"/>
        <v>#DIV/0!</v>
      </c>
      <c r="BG97" s="14" t="e">
        <f t="shared" si="70"/>
        <v>#DIV/0!</v>
      </c>
      <c r="BH97" s="14" t="e">
        <f t="shared" si="70"/>
        <v>#DIV/0!</v>
      </c>
      <c r="BI97" s="14" t="e">
        <f t="shared" si="70"/>
        <v>#DIV/0!</v>
      </c>
      <c r="BJ97" s="14" t="e">
        <f t="shared" si="70"/>
        <v>#DIV/0!</v>
      </c>
      <c r="BK97" s="14" t="e">
        <f t="shared" si="70"/>
        <v>#DIV/0!</v>
      </c>
      <c r="BL97" s="14" t="e">
        <f t="shared" si="70"/>
        <v>#DIV/0!</v>
      </c>
      <c r="BM97" s="14" t="e">
        <f t="shared" si="70"/>
        <v>#DIV/0!</v>
      </c>
      <c r="BN97" s="14" t="e">
        <f t="shared" si="70"/>
        <v>#DIV/0!</v>
      </c>
      <c r="BO97" s="14" t="e">
        <f t="shared" si="70"/>
        <v>#DIV/0!</v>
      </c>
      <c r="BP97" s="14" t="e">
        <f t="shared" si="70"/>
        <v>#DIV/0!</v>
      </c>
      <c r="BQ97" s="14" t="e">
        <f t="shared" si="70"/>
        <v>#DIV/0!</v>
      </c>
      <c r="BR97" s="14" t="e">
        <f t="shared" si="70"/>
        <v>#DIV/0!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 t="e">
        <f t="shared" ref="F98" si="71">F22*$C$78</f>
        <v>#DIV/0!</v>
      </c>
      <c r="G98" s="14" t="e">
        <f t="shared" ref="G98:BR98" si="72">G22*$C$78</f>
        <v>#DIV/0!</v>
      </c>
      <c r="H98" s="14" t="e">
        <f t="shared" si="72"/>
        <v>#DIV/0!</v>
      </c>
      <c r="I98" s="14" t="e">
        <f t="shared" si="72"/>
        <v>#DIV/0!</v>
      </c>
      <c r="J98" s="14" t="e">
        <f t="shared" si="72"/>
        <v>#DIV/0!</v>
      </c>
      <c r="K98" s="14" t="e">
        <f t="shared" si="72"/>
        <v>#DIV/0!</v>
      </c>
      <c r="L98" s="14" t="e">
        <f t="shared" si="72"/>
        <v>#DIV/0!</v>
      </c>
      <c r="M98" s="14" t="e">
        <f t="shared" si="72"/>
        <v>#DIV/0!</v>
      </c>
      <c r="N98" s="14" t="e">
        <f t="shared" si="72"/>
        <v>#DIV/0!</v>
      </c>
      <c r="O98" s="14" t="e">
        <f t="shared" si="72"/>
        <v>#DIV/0!</v>
      </c>
      <c r="P98" s="14" t="e">
        <f t="shared" si="72"/>
        <v>#DIV/0!</v>
      </c>
      <c r="Q98" s="14" t="e">
        <f t="shared" si="72"/>
        <v>#DIV/0!</v>
      </c>
      <c r="R98" s="14" t="e">
        <f t="shared" si="72"/>
        <v>#DIV/0!</v>
      </c>
      <c r="S98" s="14" t="e">
        <f t="shared" si="72"/>
        <v>#DIV/0!</v>
      </c>
      <c r="T98" s="14" t="e">
        <f t="shared" si="72"/>
        <v>#DIV/0!</v>
      </c>
      <c r="U98" s="14" t="e">
        <f t="shared" si="72"/>
        <v>#DIV/0!</v>
      </c>
      <c r="V98" s="14" t="e">
        <f t="shared" si="72"/>
        <v>#DIV/0!</v>
      </c>
      <c r="W98" s="14" t="e">
        <f t="shared" si="72"/>
        <v>#DIV/0!</v>
      </c>
      <c r="X98" s="14" t="e">
        <f t="shared" si="72"/>
        <v>#DIV/0!</v>
      </c>
      <c r="Y98" s="14" t="e">
        <f t="shared" si="72"/>
        <v>#DIV/0!</v>
      </c>
      <c r="Z98" s="14" t="e">
        <f t="shared" si="72"/>
        <v>#DIV/0!</v>
      </c>
      <c r="AA98" s="14" t="e">
        <f t="shared" si="72"/>
        <v>#DIV/0!</v>
      </c>
      <c r="AB98" s="14" t="e">
        <f t="shared" si="72"/>
        <v>#DIV/0!</v>
      </c>
      <c r="AC98" s="14" t="e">
        <f t="shared" si="72"/>
        <v>#DIV/0!</v>
      </c>
      <c r="AD98" s="14" t="e">
        <f t="shared" si="72"/>
        <v>#DIV/0!</v>
      </c>
      <c r="AE98" s="14" t="e">
        <f t="shared" si="72"/>
        <v>#DIV/0!</v>
      </c>
      <c r="AF98" s="14" t="e">
        <f t="shared" si="72"/>
        <v>#DIV/0!</v>
      </c>
      <c r="AG98" s="14" t="e">
        <f t="shared" si="72"/>
        <v>#DIV/0!</v>
      </c>
      <c r="AH98" s="14" t="e">
        <f t="shared" si="72"/>
        <v>#DIV/0!</v>
      </c>
      <c r="AI98" s="14" t="e">
        <f t="shared" si="72"/>
        <v>#DIV/0!</v>
      </c>
      <c r="AJ98" s="14" t="e">
        <f t="shared" si="72"/>
        <v>#DIV/0!</v>
      </c>
      <c r="AK98" s="14" t="e">
        <f t="shared" si="72"/>
        <v>#DIV/0!</v>
      </c>
      <c r="AL98" s="14" t="e">
        <f t="shared" si="72"/>
        <v>#DIV/0!</v>
      </c>
      <c r="AM98" s="14" t="e">
        <f t="shared" si="72"/>
        <v>#DIV/0!</v>
      </c>
      <c r="AN98" s="14" t="e">
        <f t="shared" si="72"/>
        <v>#DIV/0!</v>
      </c>
      <c r="AO98" s="14" t="e">
        <f t="shared" si="72"/>
        <v>#DIV/0!</v>
      </c>
      <c r="AP98" s="14" t="e">
        <f t="shared" si="72"/>
        <v>#DIV/0!</v>
      </c>
      <c r="AQ98" s="14" t="e">
        <f t="shared" si="72"/>
        <v>#DIV/0!</v>
      </c>
      <c r="AR98" s="14" t="e">
        <f t="shared" si="72"/>
        <v>#DIV/0!</v>
      </c>
      <c r="AS98" s="14" t="e">
        <f t="shared" si="72"/>
        <v>#DIV/0!</v>
      </c>
      <c r="AT98" s="14" t="e">
        <f t="shared" si="72"/>
        <v>#DIV/0!</v>
      </c>
      <c r="AU98" s="14" t="e">
        <f t="shared" si="72"/>
        <v>#DIV/0!</v>
      </c>
      <c r="AV98" s="14" t="e">
        <f t="shared" si="72"/>
        <v>#DIV/0!</v>
      </c>
      <c r="AW98" s="14" t="e">
        <f t="shared" si="72"/>
        <v>#DIV/0!</v>
      </c>
      <c r="AX98" s="14" t="e">
        <f t="shared" si="72"/>
        <v>#DIV/0!</v>
      </c>
      <c r="AY98" s="14" t="e">
        <f t="shared" si="72"/>
        <v>#DIV/0!</v>
      </c>
      <c r="AZ98" s="14" t="e">
        <f t="shared" si="72"/>
        <v>#DIV/0!</v>
      </c>
      <c r="BA98" s="14" t="e">
        <f t="shared" si="72"/>
        <v>#DIV/0!</v>
      </c>
      <c r="BB98" s="14" t="e">
        <f t="shared" si="72"/>
        <v>#DIV/0!</v>
      </c>
      <c r="BC98" s="14" t="e">
        <f t="shared" si="72"/>
        <v>#DIV/0!</v>
      </c>
      <c r="BD98" s="14" t="e">
        <f t="shared" si="72"/>
        <v>#DIV/0!</v>
      </c>
      <c r="BE98" s="14" t="e">
        <f t="shared" si="72"/>
        <v>#DIV/0!</v>
      </c>
      <c r="BF98" s="14" t="e">
        <f t="shared" si="72"/>
        <v>#DIV/0!</v>
      </c>
      <c r="BG98" s="14" t="e">
        <f t="shared" si="72"/>
        <v>#DIV/0!</v>
      </c>
      <c r="BH98" s="14" t="e">
        <f t="shared" si="72"/>
        <v>#DIV/0!</v>
      </c>
      <c r="BI98" s="14" t="e">
        <f t="shared" si="72"/>
        <v>#DIV/0!</v>
      </c>
      <c r="BJ98" s="14" t="e">
        <f t="shared" si="72"/>
        <v>#DIV/0!</v>
      </c>
      <c r="BK98" s="14" t="e">
        <f t="shared" si="72"/>
        <v>#DIV/0!</v>
      </c>
      <c r="BL98" s="14" t="e">
        <f t="shared" si="72"/>
        <v>#DIV/0!</v>
      </c>
      <c r="BM98" s="14" t="e">
        <f t="shared" si="72"/>
        <v>#DIV/0!</v>
      </c>
      <c r="BN98" s="14" t="e">
        <f t="shared" si="72"/>
        <v>#DIV/0!</v>
      </c>
      <c r="BO98" s="14" t="e">
        <f t="shared" si="72"/>
        <v>#DIV/0!</v>
      </c>
      <c r="BP98" s="14" t="e">
        <f t="shared" si="72"/>
        <v>#DIV/0!</v>
      </c>
      <c r="BQ98" s="14" t="e">
        <f t="shared" si="72"/>
        <v>#DIV/0!</v>
      </c>
      <c r="BR98" s="14" t="e">
        <f t="shared" si="72"/>
        <v>#DIV/0!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 t="e">
        <f t="shared" ref="F99" si="73">F23*$C$78</f>
        <v>#DIV/0!</v>
      </c>
      <c r="G99" s="14" t="e">
        <f t="shared" ref="G99:BR99" si="74">G23*$C$78</f>
        <v>#DIV/0!</v>
      </c>
      <c r="H99" s="14" t="e">
        <f t="shared" si="74"/>
        <v>#DIV/0!</v>
      </c>
      <c r="I99" s="14" t="e">
        <f t="shared" si="74"/>
        <v>#DIV/0!</v>
      </c>
      <c r="J99" s="14" t="e">
        <f t="shared" si="74"/>
        <v>#DIV/0!</v>
      </c>
      <c r="K99" s="14" t="e">
        <f t="shared" si="74"/>
        <v>#DIV/0!</v>
      </c>
      <c r="L99" s="14" t="e">
        <f t="shared" si="74"/>
        <v>#DIV/0!</v>
      </c>
      <c r="M99" s="14" t="e">
        <f t="shared" si="74"/>
        <v>#DIV/0!</v>
      </c>
      <c r="N99" s="14" t="e">
        <f t="shared" si="74"/>
        <v>#DIV/0!</v>
      </c>
      <c r="O99" s="14" t="e">
        <f t="shared" si="74"/>
        <v>#DIV/0!</v>
      </c>
      <c r="P99" s="14" t="e">
        <f t="shared" si="74"/>
        <v>#DIV/0!</v>
      </c>
      <c r="Q99" s="14" t="e">
        <f t="shared" si="74"/>
        <v>#DIV/0!</v>
      </c>
      <c r="R99" s="14" t="e">
        <f t="shared" si="74"/>
        <v>#DIV/0!</v>
      </c>
      <c r="S99" s="14" t="e">
        <f t="shared" si="74"/>
        <v>#DIV/0!</v>
      </c>
      <c r="T99" s="14" t="e">
        <f t="shared" si="74"/>
        <v>#DIV/0!</v>
      </c>
      <c r="U99" s="14" t="e">
        <f t="shared" si="74"/>
        <v>#DIV/0!</v>
      </c>
      <c r="V99" s="14" t="e">
        <f t="shared" si="74"/>
        <v>#DIV/0!</v>
      </c>
      <c r="W99" s="14" t="e">
        <f t="shared" si="74"/>
        <v>#DIV/0!</v>
      </c>
      <c r="X99" s="14" t="e">
        <f t="shared" si="74"/>
        <v>#DIV/0!</v>
      </c>
      <c r="Y99" s="14" t="e">
        <f t="shared" si="74"/>
        <v>#DIV/0!</v>
      </c>
      <c r="Z99" s="14" t="e">
        <f t="shared" si="74"/>
        <v>#DIV/0!</v>
      </c>
      <c r="AA99" s="14" t="e">
        <f t="shared" si="74"/>
        <v>#DIV/0!</v>
      </c>
      <c r="AB99" s="14" t="e">
        <f t="shared" si="74"/>
        <v>#DIV/0!</v>
      </c>
      <c r="AC99" s="14" t="e">
        <f t="shared" si="74"/>
        <v>#DIV/0!</v>
      </c>
      <c r="AD99" s="14" t="e">
        <f t="shared" si="74"/>
        <v>#DIV/0!</v>
      </c>
      <c r="AE99" s="14" t="e">
        <f t="shared" si="74"/>
        <v>#DIV/0!</v>
      </c>
      <c r="AF99" s="14" t="e">
        <f t="shared" si="74"/>
        <v>#DIV/0!</v>
      </c>
      <c r="AG99" s="14" t="e">
        <f t="shared" si="74"/>
        <v>#DIV/0!</v>
      </c>
      <c r="AH99" s="14" t="e">
        <f t="shared" si="74"/>
        <v>#DIV/0!</v>
      </c>
      <c r="AI99" s="14" t="e">
        <f t="shared" si="74"/>
        <v>#DIV/0!</v>
      </c>
      <c r="AJ99" s="14" t="e">
        <f t="shared" si="74"/>
        <v>#DIV/0!</v>
      </c>
      <c r="AK99" s="14" t="e">
        <f t="shared" si="74"/>
        <v>#DIV/0!</v>
      </c>
      <c r="AL99" s="14" t="e">
        <f t="shared" si="74"/>
        <v>#DIV/0!</v>
      </c>
      <c r="AM99" s="14" t="e">
        <f t="shared" si="74"/>
        <v>#DIV/0!</v>
      </c>
      <c r="AN99" s="14" t="e">
        <f t="shared" si="74"/>
        <v>#DIV/0!</v>
      </c>
      <c r="AO99" s="14" t="e">
        <f t="shared" si="74"/>
        <v>#DIV/0!</v>
      </c>
      <c r="AP99" s="14" t="e">
        <f t="shared" si="74"/>
        <v>#DIV/0!</v>
      </c>
      <c r="AQ99" s="14" t="e">
        <f t="shared" si="74"/>
        <v>#DIV/0!</v>
      </c>
      <c r="AR99" s="14" t="e">
        <f t="shared" si="74"/>
        <v>#DIV/0!</v>
      </c>
      <c r="AS99" s="14" t="e">
        <f t="shared" si="74"/>
        <v>#DIV/0!</v>
      </c>
      <c r="AT99" s="14" t="e">
        <f t="shared" si="74"/>
        <v>#DIV/0!</v>
      </c>
      <c r="AU99" s="14" t="e">
        <f t="shared" si="74"/>
        <v>#DIV/0!</v>
      </c>
      <c r="AV99" s="14" t="e">
        <f t="shared" si="74"/>
        <v>#DIV/0!</v>
      </c>
      <c r="AW99" s="14" t="e">
        <f t="shared" si="74"/>
        <v>#DIV/0!</v>
      </c>
      <c r="AX99" s="14" t="e">
        <f t="shared" si="74"/>
        <v>#DIV/0!</v>
      </c>
      <c r="AY99" s="14" t="e">
        <f t="shared" si="74"/>
        <v>#DIV/0!</v>
      </c>
      <c r="AZ99" s="14" t="e">
        <f t="shared" si="74"/>
        <v>#DIV/0!</v>
      </c>
      <c r="BA99" s="14" t="e">
        <f t="shared" si="74"/>
        <v>#DIV/0!</v>
      </c>
      <c r="BB99" s="14" t="e">
        <f t="shared" si="74"/>
        <v>#DIV/0!</v>
      </c>
      <c r="BC99" s="14" t="e">
        <f t="shared" si="74"/>
        <v>#DIV/0!</v>
      </c>
      <c r="BD99" s="14" t="e">
        <f t="shared" si="74"/>
        <v>#DIV/0!</v>
      </c>
      <c r="BE99" s="14" t="e">
        <f t="shared" si="74"/>
        <v>#DIV/0!</v>
      </c>
      <c r="BF99" s="14" t="e">
        <f t="shared" si="74"/>
        <v>#DIV/0!</v>
      </c>
      <c r="BG99" s="14" t="e">
        <f t="shared" si="74"/>
        <v>#DIV/0!</v>
      </c>
      <c r="BH99" s="14" t="e">
        <f t="shared" si="74"/>
        <v>#DIV/0!</v>
      </c>
      <c r="BI99" s="14" t="e">
        <f t="shared" si="74"/>
        <v>#DIV/0!</v>
      </c>
      <c r="BJ99" s="14" t="e">
        <f t="shared" si="74"/>
        <v>#DIV/0!</v>
      </c>
      <c r="BK99" s="14" t="e">
        <f t="shared" si="74"/>
        <v>#DIV/0!</v>
      </c>
      <c r="BL99" s="14" t="e">
        <f t="shared" si="74"/>
        <v>#DIV/0!</v>
      </c>
      <c r="BM99" s="14" t="e">
        <f t="shared" si="74"/>
        <v>#DIV/0!</v>
      </c>
      <c r="BN99" s="14" t="e">
        <f t="shared" si="74"/>
        <v>#DIV/0!</v>
      </c>
      <c r="BO99" s="14" t="e">
        <f t="shared" si="74"/>
        <v>#DIV/0!</v>
      </c>
      <c r="BP99" s="14" t="e">
        <f t="shared" si="74"/>
        <v>#DIV/0!</v>
      </c>
      <c r="BQ99" s="14" t="e">
        <f t="shared" si="74"/>
        <v>#DIV/0!</v>
      </c>
      <c r="BR99" s="14" t="e">
        <f t="shared" si="74"/>
        <v>#DIV/0!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 t="e">
        <f t="shared" ref="F100" si="75">F24*$C$78</f>
        <v>#DIV/0!</v>
      </c>
      <c r="G100" s="14" t="e">
        <f t="shared" ref="G100:BR100" si="76">G24*$C$78</f>
        <v>#DIV/0!</v>
      </c>
      <c r="H100" s="14" t="e">
        <f t="shared" si="76"/>
        <v>#DIV/0!</v>
      </c>
      <c r="I100" s="14" t="e">
        <f t="shared" si="76"/>
        <v>#DIV/0!</v>
      </c>
      <c r="J100" s="14" t="e">
        <f t="shared" si="76"/>
        <v>#DIV/0!</v>
      </c>
      <c r="K100" s="14" t="e">
        <f t="shared" si="76"/>
        <v>#DIV/0!</v>
      </c>
      <c r="L100" s="14" t="e">
        <f t="shared" si="76"/>
        <v>#DIV/0!</v>
      </c>
      <c r="M100" s="14" t="e">
        <f t="shared" si="76"/>
        <v>#DIV/0!</v>
      </c>
      <c r="N100" s="14" t="e">
        <f t="shared" si="76"/>
        <v>#DIV/0!</v>
      </c>
      <c r="O100" s="14" t="e">
        <f t="shared" si="76"/>
        <v>#DIV/0!</v>
      </c>
      <c r="P100" s="14" t="e">
        <f t="shared" si="76"/>
        <v>#DIV/0!</v>
      </c>
      <c r="Q100" s="14" t="e">
        <f t="shared" si="76"/>
        <v>#DIV/0!</v>
      </c>
      <c r="R100" s="14" t="e">
        <f t="shared" si="76"/>
        <v>#DIV/0!</v>
      </c>
      <c r="S100" s="14" t="e">
        <f t="shared" si="76"/>
        <v>#DIV/0!</v>
      </c>
      <c r="T100" s="14" t="e">
        <f t="shared" si="76"/>
        <v>#DIV/0!</v>
      </c>
      <c r="U100" s="14" t="e">
        <f t="shared" si="76"/>
        <v>#DIV/0!</v>
      </c>
      <c r="V100" s="14" t="e">
        <f t="shared" si="76"/>
        <v>#DIV/0!</v>
      </c>
      <c r="W100" s="14" t="e">
        <f t="shared" si="76"/>
        <v>#DIV/0!</v>
      </c>
      <c r="X100" s="14" t="e">
        <f t="shared" si="76"/>
        <v>#DIV/0!</v>
      </c>
      <c r="Y100" s="14" t="e">
        <f t="shared" si="76"/>
        <v>#DIV/0!</v>
      </c>
      <c r="Z100" s="14" t="e">
        <f t="shared" si="76"/>
        <v>#DIV/0!</v>
      </c>
      <c r="AA100" s="14" t="e">
        <f t="shared" si="76"/>
        <v>#DIV/0!</v>
      </c>
      <c r="AB100" s="14" t="e">
        <f t="shared" si="76"/>
        <v>#DIV/0!</v>
      </c>
      <c r="AC100" s="14" t="e">
        <f t="shared" si="76"/>
        <v>#DIV/0!</v>
      </c>
      <c r="AD100" s="14" t="e">
        <f t="shared" si="76"/>
        <v>#DIV/0!</v>
      </c>
      <c r="AE100" s="14" t="e">
        <f t="shared" si="76"/>
        <v>#DIV/0!</v>
      </c>
      <c r="AF100" s="14" t="e">
        <f t="shared" si="76"/>
        <v>#DIV/0!</v>
      </c>
      <c r="AG100" s="14" t="e">
        <f t="shared" si="76"/>
        <v>#DIV/0!</v>
      </c>
      <c r="AH100" s="14" t="e">
        <f t="shared" si="76"/>
        <v>#DIV/0!</v>
      </c>
      <c r="AI100" s="14" t="e">
        <f t="shared" si="76"/>
        <v>#DIV/0!</v>
      </c>
      <c r="AJ100" s="14" t="e">
        <f t="shared" si="76"/>
        <v>#DIV/0!</v>
      </c>
      <c r="AK100" s="14" t="e">
        <f t="shared" si="76"/>
        <v>#DIV/0!</v>
      </c>
      <c r="AL100" s="14" t="e">
        <f t="shared" si="76"/>
        <v>#DIV/0!</v>
      </c>
      <c r="AM100" s="14" t="e">
        <f t="shared" si="76"/>
        <v>#DIV/0!</v>
      </c>
      <c r="AN100" s="14" t="e">
        <f t="shared" si="76"/>
        <v>#DIV/0!</v>
      </c>
      <c r="AO100" s="14" t="e">
        <f t="shared" si="76"/>
        <v>#DIV/0!</v>
      </c>
      <c r="AP100" s="14" t="e">
        <f t="shared" si="76"/>
        <v>#DIV/0!</v>
      </c>
      <c r="AQ100" s="14" t="e">
        <f t="shared" si="76"/>
        <v>#DIV/0!</v>
      </c>
      <c r="AR100" s="14" t="e">
        <f t="shared" si="76"/>
        <v>#DIV/0!</v>
      </c>
      <c r="AS100" s="14" t="e">
        <f t="shared" si="76"/>
        <v>#DIV/0!</v>
      </c>
      <c r="AT100" s="14" t="e">
        <f t="shared" si="76"/>
        <v>#DIV/0!</v>
      </c>
      <c r="AU100" s="14" t="e">
        <f t="shared" si="76"/>
        <v>#DIV/0!</v>
      </c>
      <c r="AV100" s="14" t="e">
        <f t="shared" si="76"/>
        <v>#DIV/0!</v>
      </c>
      <c r="AW100" s="14" t="e">
        <f t="shared" si="76"/>
        <v>#DIV/0!</v>
      </c>
      <c r="AX100" s="14" t="e">
        <f t="shared" si="76"/>
        <v>#DIV/0!</v>
      </c>
      <c r="AY100" s="14" t="e">
        <f t="shared" si="76"/>
        <v>#DIV/0!</v>
      </c>
      <c r="AZ100" s="14" t="e">
        <f t="shared" si="76"/>
        <v>#DIV/0!</v>
      </c>
      <c r="BA100" s="14" t="e">
        <f t="shared" si="76"/>
        <v>#DIV/0!</v>
      </c>
      <c r="BB100" s="14" t="e">
        <f t="shared" si="76"/>
        <v>#DIV/0!</v>
      </c>
      <c r="BC100" s="14" t="e">
        <f t="shared" si="76"/>
        <v>#DIV/0!</v>
      </c>
      <c r="BD100" s="14" t="e">
        <f t="shared" si="76"/>
        <v>#DIV/0!</v>
      </c>
      <c r="BE100" s="14" t="e">
        <f t="shared" si="76"/>
        <v>#DIV/0!</v>
      </c>
      <c r="BF100" s="14" t="e">
        <f t="shared" si="76"/>
        <v>#DIV/0!</v>
      </c>
      <c r="BG100" s="14" t="e">
        <f t="shared" si="76"/>
        <v>#DIV/0!</v>
      </c>
      <c r="BH100" s="14" t="e">
        <f t="shared" si="76"/>
        <v>#DIV/0!</v>
      </c>
      <c r="BI100" s="14" t="e">
        <f t="shared" si="76"/>
        <v>#DIV/0!</v>
      </c>
      <c r="BJ100" s="14" t="e">
        <f t="shared" si="76"/>
        <v>#DIV/0!</v>
      </c>
      <c r="BK100" s="14" t="e">
        <f t="shared" si="76"/>
        <v>#DIV/0!</v>
      </c>
      <c r="BL100" s="14" t="e">
        <f t="shared" si="76"/>
        <v>#DIV/0!</v>
      </c>
      <c r="BM100" s="14" t="e">
        <f t="shared" si="76"/>
        <v>#DIV/0!</v>
      </c>
      <c r="BN100" s="14" t="e">
        <f t="shared" si="76"/>
        <v>#DIV/0!</v>
      </c>
      <c r="BO100" s="14" t="e">
        <f t="shared" si="76"/>
        <v>#DIV/0!</v>
      </c>
      <c r="BP100" s="14" t="e">
        <f t="shared" si="76"/>
        <v>#DIV/0!</v>
      </c>
      <c r="BQ100" s="14" t="e">
        <f t="shared" si="76"/>
        <v>#DIV/0!</v>
      </c>
      <c r="BR100" s="14" t="e">
        <f t="shared" si="76"/>
        <v>#DIV/0!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 t="e">
        <f t="shared" ref="F101" si="77">F25*$C$78</f>
        <v>#DIV/0!</v>
      </c>
      <c r="G101" s="14" t="e">
        <f t="shared" ref="G101:BR101" si="78">G25*$C$78</f>
        <v>#DIV/0!</v>
      </c>
      <c r="H101" s="14" t="e">
        <f t="shared" si="78"/>
        <v>#DIV/0!</v>
      </c>
      <c r="I101" s="14" t="e">
        <f t="shared" si="78"/>
        <v>#DIV/0!</v>
      </c>
      <c r="J101" s="14" t="e">
        <f t="shared" si="78"/>
        <v>#DIV/0!</v>
      </c>
      <c r="K101" s="14" t="e">
        <f t="shared" si="78"/>
        <v>#DIV/0!</v>
      </c>
      <c r="L101" s="14" t="e">
        <f t="shared" si="78"/>
        <v>#DIV/0!</v>
      </c>
      <c r="M101" s="14" t="e">
        <f t="shared" si="78"/>
        <v>#DIV/0!</v>
      </c>
      <c r="N101" s="14" t="e">
        <f t="shared" si="78"/>
        <v>#DIV/0!</v>
      </c>
      <c r="O101" s="14" t="e">
        <f t="shared" si="78"/>
        <v>#DIV/0!</v>
      </c>
      <c r="P101" s="14" t="e">
        <f t="shared" si="78"/>
        <v>#DIV/0!</v>
      </c>
      <c r="Q101" s="14" t="e">
        <f t="shared" si="78"/>
        <v>#DIV/0!</v>
      </c>
      <c r="R101" s="14" t="e">
        <f t="shared" si="78"/>
        <v>#DIV/0!</v>
      </c>
      <c r="S101" s="14" t="e">
        <f t="shared" si="78"/>
        <v>#DIV/0!</v>
      </c>
      <c r="T101" s="14" t="e">
        <f t="shared" si="78"/>
        <v>#DIV/0!</v>
      </c>
      <c r="U101" s="14" t="e">
        <f t="shared" si="78"/>
        <v>#DIV/0!</v>
      </c>
      <c r="V101" s="14" t="e">
        <f t="shared" si="78"/>
        <v>#DIV/0!</v>
      </c>
      <c r="W101" s="14" t="e">
        <f t="shared" si="78"/>
        <v>#DIV/0!</v>
      </c>
      <c r="X101" s="14" t="e">
        <f t="shared" si="78"/>
        <v>#DIV/0!</v>
      </c>
      <c r="Y101" s="14" t="e">
        <f t="shared" si="78"/>
        <v>#DIV/0!</v>
      </c>
      <c r="Z101" s="14" t="e">
        <f t="shared" si="78"/>
        <v>#DIV/0!</v>
      </c>
      <c r="AA101" s="14" t="e">
        <f t="shared" si="78"/>
        <v>#DIV/0!</v>
      </c>
      <c r="AB101" s="14" t="e">
        <f t="shared" si="78"/>
        <v>#DIV/0!</v>
      </c>
      <c r="AC101" s="14" t="e">
        <f t="shared" si="78"/>
        <v>#DIV/0!</v>
      </c>
      <c r="AD101" s="14" t="e">
        <f t="shared" si="78"/>
        <v>#DIV/0!</v>
      </c>
      <c r="AE101" s="14" t="e">
        <f t="shared" si="78"/>
        <v>#DIV/0!</v>
      </c>
      <c r="AF101" s="14" t="e">
        <f t="shared" si="78"/>
        <v>#DIV/0!</v>
      </c>
      <c r="AG101" s="14" t="e">
        <f t="shared" si="78"/>
        <v>#DIV/0!</v>
      </c>
      <c r="AH101" s="14" t="e">
        <f t="shared" si="78"/>
        <v>#DIV/0!</v>
      </c>
      <c r="AI101" s="14" t="e">
        <f t="shared" si="78"/>
        <v>#DIV/0!</v>
      </c>
      <c r="AJ101" s="14" t="e">
        <f t="shared" si="78"/>
        <v>#DIV/0!</v>
      </c>
      <c r="AK101" s="14" t="e">
        <f t="shared" si="78"/>
        <v>#DIV/0!</v>
      </c>
      <c r="AL101" s="14" t="e">
        <f t="shared" si="78"/>
        <v>#DIV/0!</v>
      </c>
      <c r="AM101" s="14" t="e">
        <f t="shared" si="78"/>
        <v>#DIV/0!</v>
      </c>
      <c r="AN101" s="14" t="e">
        <f t="shared" si="78"/>
        <v>#DIV/0!</v>
      </c>
      <c r="AO101" s="14" t="e">
        <f t="shared" si="78"/>
        <v>#DIV/0!</v>
      </c>
      <c r="AP101" s="14" t="e">
        <f t="shared" si="78"/>
        <v>#DIV/0!</v>
      </c>
      <c r="AQ101" s="14" t="e">
        <f t="shared" si="78"/>
        <v>#DIV/0!</v>
      </c>
      <c r="AR101" s="14" t="e">
        <f t="shared" si="78"/>
        <v>#DIV/0!</v>
      </c>
      <c r="AS101" s="14" t="e">
        <f t="shared" si="78"/>
        <v>#DIV/0!</v>
      </c>
      <c r="AT101" s="14" t="e">
        <f t="shared" si="78"/>
        <v>#DIV/0!</v>
      </c>
      <c r="AU101" s="14" t="e">
        <f t="shared" si="78"/>
        <v>#DIV/0!</v>
      </c>
      <c r="AV101" s="14" t="e">
        <f t="shared" si="78"/>
        <v>#DIV/0!</v>
      </c>
      <c r="AW101" s="14" t="e">
        <f t="shared" si="78"/>
        <v>#DIV/0!</v>
      </c>
      <c r="AX101" s="14" t="e">
        <f t="shared" si="78"/>
        <v>#DIV/0!</v>
      </c>
      <c r="AY101" s="14" t="e">
        <f t="shared" si="78"/>
        <v>#DIV/0!</v>
      </c>
      <c r="AZ101" s="14" t="e">
        <f t="shared" si="78"/>
        <v>#DIV/0!</v>
      </c>
      <c r="BA101" s="14" t="e">
        <f t="shared" si="78"/>
        <v>#DIV/0!</v>
      </c>
      <c r="BB101" s="14" t="e">
        <f t="shared" si="78"/>
        <v>#DIV/0!</v>
      </c>
      <c r="BC101" s="14" t="e">
        <f t="shared" si="78"/>
        <v>#DIV/0!</v>
      </c>
      <c r="BD101" s="14" t="e">
        <f t="shared" si="78"/>
        <v>#DIV/0!</v>
      </c>
      <c r="BE101" s="14" t="e">
        <f t="shared" si="78"/>
        <v>#DIV/0!</v>
      </c>
      <c r="BF101" s="14" t="e">
        <f t="shared" si="78"/>
        <v>#DIV/0!</v>
      </c>
      <c r="BG101" s="14" t="e">
        <f t="shared" si="78"/>
        <v>#DIV/0!</v>
      </c>
      <c r="BH101" s="14" t="e">
        <f t="shared" si="78"/>
        <v>#DIV/0!</v>
      </c>
      <c r="BI101" s="14" t="e">
        <f t="shared" si="78"/>
        <v>#DIV/0!</v>
      </c>
      <c r="BJ101" s="14" t="e">
        <f t="shared" si="78"/>
        <v>#DIV/0!</v>
      </c>
      <c r="BK101" s="14" t="e">
        <f t="shared" si="78"/>
        <v>#DIV/0!</v>
      </c>
      <c r="BL101" s="14" t="e">
        <f t="shared" si="78"/>
        <v>#DIV/0!</v>
      </c>
      <c r="BM101" s="14" t="e">
        <f t="shared" si="78"/>
        <v>#DIV/0!</v>
      </c>
      <c r="BN101" s="14" t="e">
        <f t="shared" si="78"/>
        <v>#DIV/0!</v>
      </c>
      <c r="BO101" s="14" t="e">
        <f t="shared" si="78"/>
        <v>#DIV/0!</v>
      </c>
      <c r="BP101" s="14" t="e">
        <f t="shared" si="78"/>
        <v>#DIV/0!</v>
      </c>
      <c r="BQ101" s="14" t="e">
        <f t="shared" si="78"/>
        <v>#DIV/0!</v>
      </c>
      <c r="BR101" s="14" t="e">
        <f t="shared" si="78"/>
        <v>#DIV/0!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 t="e">
        <f t="shared" ref="F102" si="79">F26*$C$78</f>
        <v>#DIV/0!</v>
      </c>
      <c r="G102" s="14" t="e">
        <f t="shared" ref="G102:BR102" si="80">G26*$C$78</f>
        <v>#DIV/0!</v>
      </c>
      <c r="H102" s="14" t="e">
        <f t="shared" si="80"/>
        <v>#DIV/0!</v>
      </c>
      <c r="I102" s="14" t="e">
        <f t="shared" si="80"/>
        <v>#DIV/0!</v>
      </c>
      <c r="J102" s="14" t="e">
        <f t="shared" si="80"/>
        <v>#DIV/0!</v>
      </c>
      <c r="K102" s="14" t="e">
        <f t="shared" si="80"/>
        <v>#DIV/0!</v>
      </c>
      <c r="L102" s="14" t="e">
        <f t="shared" si="80"/>
        <v>#DIV/0!</v>
      </c>
      <c r="M102" s="14" t="e">
        <f t="shared" si="80"/>
        <v>#DIV/0!</v>
      </c>
      <c r="N102" s="14" t="e">
        <f t="shared" si="80"/>
        <v>#DIV/0!</v>
      </c>
      <c r="O102" s="14" t="e">
        <f t="shared" si="80"/>
        <v>#DIV/0!</v>
      </c>
      <c r="P102" s="14" t="e">
        <f t="shared" si="80"/>
        <v>#DIV/0!</v>
      </c>
      <c r="Q102" s="14" t="e">
        <f t="shared" si="80"/>
        <v>#DIV/0!</v>
      </c>
      <c r="R102" s="14" t="e">
        <f t="shared" si="80"/>
        <v>#DIV/0!</v>
      </c>
      <c r="S102" s="14" t="e">
        <f t="shared" si="80"/>
        <v>#DIV/0!</v>
      </c>
      <c r="T102" s="14" t="e">
        <f t="shared" si="80"/>
        <v>#DIV/0!</v>
      </c>
      <c r="U102" s="14" t="e">
        <f t="shared" si="80"/>
        <v>#DIV/0!</v>
      </c>
      <c r="V102" s="14" t="e">
        <f t="shared" si="80"/>
        <v>#DIV/0!</v>
      </c>
      <c r="W102" s="14" t="e">
        <f t="shared" si="80"/>
        <v>#DIV/0!</v>
      </c>
      <c r="X102" s="14" t="e">
        <f t="shared" si="80"/>
        <v>#DIV/0!</v>
      </c>
      <c r="Y102" s="14" t="e">
        <f t="shared" si="80"/>
        <v>#DIV/0!</v>
      </c>
      <c r="Z102" s="14" t="e">
        <f t="shared" si="80"/>
        <v>#DIV/0!</v>
      </c>
      <c r="AA102" s="14" t="e">
        <f t="shared" si="80"/>
        <v>#DIV/0!</v>
      </c>
      <c r="AB102" s="14" t="e">
        <f t="shared" si="80"/>
        <v>#DIV/0!</v>
      </c>
      <c r="AC102" s="14" t="e">
        <f t="shared" si="80"/>
        <v>#DIV/0!</v>
      </c>
      <c r="AD102" s="14" t="e">
        <f t="shared" si="80"/>
        <v>#DIV/0!</v>
      </c>
      <c r="AE102" s="14" t="e">
        <f t="shared" si="80"/>
        <v>#DIV/0!</v>
      </c>
      <c r="AF102" s="14" t="e">
        <f t="shared" si="80"/>
        <v>#DIV/0!</v>
      </c>
      <c r="AG102" s="14" t="e">
        <f t="shared" si="80"/>
        <v>#DIV/0!</v>
      </c>
      <c r="AH102" s="14" t="e">
        <f t="shared" si="80"/>
        <v>#DIV/0!</v>
      </c>
      <c r="AI102" s="14" t="e">
        <f t="shared" si="80"/>
        <v>#DIV/0!</v>
      </c>
      <c r="AJ102" s="14" t="e">
        <f t="shared" si="80"/>
        <v>#DIV/0!</v>
      </c>
      <c r="AK102" s="14" t="e">
        <f t="shared" si="80"/>
        <v>#DIV/0!</v>
      </c>
      <c r="AL102" s="14" t="e">
        <f t="shared" si="80"/>
        <v>#DIV/0!</v>
      </c>
      <c r="AM102" s="14" t="e">
        <f t="shared" si="80"/>
        <v>#DIV/0!</v>
      </c>
      <c r="AN102" s="14" t="e">
        <f t="shared" si="80"/>
        <v>#DIV/0!</v>
      </c>
      <c r="AO102" s="14" t="e">
        <f t="shared" si="80"/>
        <v>#DIV/0!</v>
      </c>
      <c r="AP102" s="14" t="e">
        <f t="shared" si="80"/>
        <v>#DIV/0!</v>
      </c>
      <c r="AQ102" s="14" t="e">
        <f t="shared" si="80"/>
        <v>#DIV/0!</v>
      </c>
      <c r="AR102" s="14" t="e">
        <f t="shared" si="80"/>
        <v>#DIV/0!</v>
      </c>
      <c r="AS102" s="14" t="e">
        <f t="shared" si="80"/>
        <v>#DIV/0!</v>
      </c>
      <c r="AT102" s="14" t="e">
        <f t="shared" si="80"/>
        <v>#DIV/0!</v>
      </c>
      <c r="AU102" s="14" t="e">
        <f t="shared" si="80"/>
        <v>#DIV/0!</v>
      </c>
      <c r="AV102" s="14" t="e">
        <f t="shared" si="80"/>
        <v>#DIV/0!</v>
      </c>
      <c r="AW102" s="14" t="e">
        <f t="shared" si="80"/>
        <v>#DIV/0!</v>
      </c>
      <c r="AX102" s="14" t="e">
        <f t="shared" si="80"/>
        <v>#DIV/0!</v>
      </c>
      <c r="AY102" s="14" t="e">
        <f t="shared" si="80"/>
        <v>#DIV/0!</v>
      </c>
      <c r="AZ102" s="14" t="e">
        <f t="shared" si="80"/>
        <v>#DIV/0!</v>
      </c>
      <c r="BA102" s="14" t="e">
        <f t="shared" si="80"/>
        <v>#DIV/0!</v>
      </c>
      <c r="BB102" s="14" t="e">
        <f t="shared" si="80"/>
        <v>#DIV/0!</v>
      </c>
      <c r="BC102" s="14" t="e">
        <f t="shared" si="80"/>
        <v>#DIV/0!</v>
      </c>
      <c r="BD102" s="14" t="e">
        <f t="shared" si="80"/>
        <v>#DIV/0!</v>
      </c>
      <c r="BE102" s="14" t="e">
        <f t="shared" si="80"/>
        <v>#DIV/0!</v>
      </c>
      <c r="BF102" s="14" t="e">
        <f t="shared" si="80"/>
        <v>#DIV/0!</v>
      </c>
      <c r="BG102" s="14" t="e">
        <f t="shared" si="80"/>
        <v>#DIV/0!</v>
      </c>
      <c r="BH102" s="14" t="e">
        <f t="shared" si="80"/>
        <v>#DIV/0!</v>
      </c>
      <c r="BI102" s="14" t="e">
        <f t="shared" si="80"/>
        <v>#DIV/0!</v>
      </c>
      <c r="BJ102" s="14" t="e">
        <f t="shared" si="80"/>
        <v>#DIV/0!</v>
      </c>
      <c r="BK102" s="14" t="e">
        <f t="shared" si="80"/>
        <v>#DIV/0!</v>
      </c>
      <c r="BL102" s="14" t="e">
        <f t="shared" si="80"/>
        <v>#DIV/0!</v>
      </c>
      <c r="BM102" s="14" t="e">
        <f t="shared" si="80"/>
        <v>#DIV/0!</v>
      </c>
      <c r="BN102" s="14" t="e">
        <f t="shared" si="80"/>
        <v>#DIV/0!</v>
      </c>
      <c r="BO102" s="14" t="e">
        <f t="shared" si="80"/>
        <v>#DIV/0!</v>
      </c>
      <c r="BP102" s="14" t="e">
        <f t="shared" si="80"/>
        <v>#DIV/0!</v>
      </c>
      <c r="BQ102" s="14" t="e">
        <f t="shared" si="80"/>
        <v>#DIV/0!</v>
      </c>
      <c r="BR102" s="14" t="e">
        <f t="shared" si="80"/>
        <v>#DIV/0!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 t="e">
        <f t="shared" ref="F103" si="81">F27*$C$78</f>
        <v>#DIV/0!</v>
      </c>
      <c r="G103" s="14" t="e">
        <f t="shared" ref="G103:BR103" si="82">G27*$C$78</f>
        <v>#DIV/0!</v>
      </c>
      <c r="H103" s="14" t="e">
        <f t="shared" si="82"/>
        <v>#DIV/0!</v>
      </c>
      <c r="I103" s="14" t="e">
        <f t="shared" si="82"/>
        <v>#DIV/0!</v>
      </c>
      <c r="J103" s="14" t="e">
        <f t="shared" si="82"/>
        <v>#DIV/0!</v>
      </c>
      <c r="K103" s="14" t="e">
        <f t="shared" si="82"/>
        <v>#DIV/0!</v>
      </c>
      <c r="L103" s="14" t="e">
        <f t="shared" si="82"/>
        <v>#DIV/0!</v>
      </c>
      <c r="M103" s="14" t="e">
        <f t="shared" si="82"/>
        <v>#DIV/0!</v>
      </c>
      <c r="N103" s="14" t="e">
        <f t="shared" si="82"/>
        <v>#DIV/0!</v>
      </c>
      <c r="O103" s="14" t="e">
        <f t="shared" si="82"/>
        <v>#DIV/0!</v>
      </c>
      <c r="P103" s="14" t="e">
        <f t="shared" si="82"/>
        <v>#DIV/0!</v>
      </c>
      <c r="Q103" s="14" t="e">
        <f t="shared" si="82"/>
        <v>#DIV/0!</v>
      </c>
      <c r="R103" s="14" t="e">
        <f t="shared" si="82"/>
        <v>#DIV/0!</v>
      </c>
      <c r="S103" s="14" t="e">
        <f t="shared" si="82"/>
        <v>#DIV/0!</v>
      </c>
      <c r="T103" s="14" t="e">
        <f t="shared" si="82"/>
        <v>#DIV/0!</v>
      </c>
      <c r="U103" s="14" t="e">
        <f t="shared" si="82"/>
        <v>#DIV/0!</v>
      </c>
      <c r="V103" s="14" t="e">
        <f t="shared" si="82"/>
        <v>#DIV/0!</v>
      </c>
      <c r="W103" s="14" t="e">
        <f t="shared" si="82"/>
        <v>#DIV/0!</v>
      </c>
      <c r="X103" s="14" t="e">
        <f t="shared" si="82"/>
        <v>#DIV/0!</v>
      </c>
      <c r="Y103" s="14" t="e">
        <f t="shared" si="82"/>
        <v>#DIV/0!</v>
      </c>
      <c r="Z103" s="14" t="e">
        <f t="shared" si="82"/>
        <v>#DIV/0!</v>
      </c>
      <c r="AA103" s="14" t="e">
        <f t="shared" si="82"/>
        <v>#DIV/0!</v>
      </c>
      <c r="AB103" s="14" t="e">
        <f t="shared" si="82"/>
        <v>#DIV/0!</v>
      </c>
      <c r="AC103" s="14" t="e">
        <f t="shared" si="82"/>
        <v>#DIV/0!</v>
      </c>
      <c r="AD103" s="14" t="e">
        <f t="shared" si="82"/>
        <v>#DIV/0!</v>
      </c>
      <c r="AE103" s="14" t="e">
        <f t="shared" si="82"/>
        <v>#DIV/0!</v>
      </c>
      <c r="AF103" s="14" t="e">
        <f t="shared" si="82"/>
        <v>#DIV/0!</v>
      </c>
      <c r="AG103" s="14" t="e">
        <f t="shared" si="82"/>
        <v>#DIV/0!</v>
      </c>
      <c r="AH103" s="14" t="e">
        <f t="shared" si="82"/>
        <v>#DIV/0!</v>
      </c>
      <c r="AI103" s="14" t="e">
        <f t="shared" si="82"/>
        <v>#DIV/0!</v>
      </c>
      <c r="AJ103" s="14" t="e">
        <f t="shared" si="82"/>
        <v>#DIV/0!</v>
      </c>
      <c r="AK103" s="14" t="e">
        <f t="shared" si="82"/>
        <v>#DIV/0!</v>
      </c>
      <c r="AL103" s="14" t="e">
        <f t="shared" si="82"/>
        <v>#DIV/0!</v>
      </c>
      <c r="AM103" s="14" t="e">
        <f t="shared" si="82"/>
        <v>#DIV/0!</v>
      </c>
      <c r="AN103" s="14" t="e">
        <f t="shared" si="82"/>
        <v>#DIV/0!</v>
      </c>
      <c r="AO103" s="14" t="e">
        <f t="shared" si="82"/>
        <v>#DIV/0!</v>
      </c>
      <c r="AP103" s="14" t="e">
        <f t="shared" si="82"/>
        <v>#DIV/0!</v>
      </c>
      <c r="AQ103" s="14" t="e">
        <f t="shared" si="82"/>
        <v>#DIV/0!</v>
      </c>
      <c r="AR103" s="14" t="e">
        <f t="shared" si="82"/>
        <v>#DIV/0!</v>
      </c>
      <c r="AS103" s="14" t="e">
        <f t="shared" si="82"/>
        <v>#DIV/0!</v>
      </c>
      <c r="AT103" s="14" t="e">
        <f t="shared" si="82"/>
        <v>#DIV/0!</v>
      </c>
      <c r="AU103" s="14" t="e">
        <f t="shared" si="82"/>
        <v>#DIV/0!</v>
      </c>
      <c r="AV103" s="14" t="e">
        <f t="shared" si="82"/>
        <v>#DIV/0!</v>
      </c>
      <c r="AW103" s="14" t="e">
        <f t="shared" si="82"/>
        <v>#DIV/0!</v>
      </c>
      <c r="AX103" s="14" t="e">
        <f t="shared" si="82"/>
        <v>#DIV/0!</v>
      </c>
      <c r="AY103" s="14" t="e">
        <f t="shared" si="82"/>
        <v>#DIV/0!</v>
      </c>
      <c r="AZ103" s="14" t="e">
        <f t="shared" si="82"/>
        <v>#DIV/0!</v>
      </c>
      <c r="BA103" s="14" t="e">
        <f t="shared" si="82"/>
        <v>#DIV/0!</v>
      </c>
      <c r="BB103" s="14" t="e">
        <f t="shared" si="82"/>
        <v>#DIV/0!</v>
      </c>
      <c r="BC103" s="14" t="e">
        <f t="shared" si="82"/>
        <v>#DIV/0!</v>
      </c>
      <c r="BD103" s="14" t="e">
        <f t="shared" si="82"/>
        <v>#DIV/0!</v>
      </c>
      <c r="BE103" s="14" t="e">
        <f t="shared" si="82"/>
        <v>#DIV/0!</v>
      </c>
      <c r="BF103" s="14" t="e">
        <f t="shared" si="82"/>
        <v>#DIV/0!</v>
      </c>
      <c r="BG103" s="14" t="e">
        <f t="shared" si="82"/>
        <v>#DIV/0!</v>
      </c>
      <c r="BH103" s="14" t="e">
        <f t="shared" si="82"/>
        <v>#DIV/0!</v>
      </c>
      <c r="BI103" s="14" t="e">
        <f t="shared" si="82"/>
        <v>#DIV/0!</v>
      </c>
      <c r="BJ103" s="14" t="e">
        <f t="shared" si="82"/>
        <v>#DIV/0!</v>
      </c>
      <c r="BK103" s="14" t="e">
        <f t="shared" si="82"/>
        <v>#DIV/0!</v>
      </c>
      <c r="BL103" s="14" t="e">
        <f t="shared" si="82"/>
        <v>#DIV/0!</v>
      </c>
      <c r="BM103" s="14" t="e">
        <f t="shared" si="82"/>
        <v>#DIV/0!</v>
      </c>
      <c r="BN103" s="14" t="e">
        <f t="shared" si="82"/>
        <v>#DIV/0!</v>
      </c>
      <c r="BO103" s="14" t="e">
        <f t="shared" si="82"/>
        <v>#DIV/0!</v>
      </c>
      <c r="BP103" s="14" t="e">
        <f t="shared" si="82"/>
        <v>#DIV/0!</v>
      </c>
      <c r="BQ103" s="14" t="e">
        <f t="shared" si="82"/>
        <v>#DIV/0!</v>
      </c>
      <c r="BR103" s="14" t="e">
        <f t="shared" si="82"/>
        <v>#DIV/0!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 t="e">
        <f t="shared" ref="F104" si="83">F28*$C$78</f>
        <v>#DIV/0!</v>
      </c>
      <c r="G104" s="14" t="e">
        <f t="shared" ref="G104:BR104" si="84">G28*$C$78</f>
        <v>#DIV/0!</v>
      </c>
      <c r="H104" s="14" t="e">
        <f t="shared" si="84"/>
        <v>#DIV/0!</v>
      </c>
      <c r="I104" s="14" t="e">
        <f t="shared" si="84"/>
        <v>#DIV/0!</v>
      </c>
      <c r="J104" s="14" t="e">
        <f t="shared" si="84"/>
        <v>#DIV/0!</v>
      </c>
      <c r="K104" s="14" t="e">
        <f t="shared" si="84"/>
        <v>#DIV/0!</v>
      </c>
      <c r="L104" s="14" t="e">
        <f t="shared" si="84"/>
        <v>#DIV/0!</v>
      </c>
      <c r="M104" s="14" t="e">
        <f t="shared" si="84"/>
        <v>#DIV/0!</v>
      </c>
      <c r="N104" s="14" t="e">
        <f t="shared" si="84"/>
        <v>#DIV/0!</v>
      </c>
      <c r="O104" s="14" t="e">
        <f t="shared" si="84"/>
        <v>#DIV/0!</v>
      </c>
      <c r="P104" s="14" t="e">
        <f t="shared" si="84"/>
        <v>#DIV/0!</v>
      </c>
      <c r="Q104" s="14" t="e">
        <f t="shared" si="84"/>
        <v>#DIV/0!</v>
      </c>
      <c r="R104" s="14" t="e">
        <f t="shared" si="84"/>
        <v>#DIV/0!</v>
      </c>
      <c r="S104" s="14" t="e">
        <f t="shared" si="84"/>
        <v>#DIV/0!</v>
      </c>
      <c r="T104" s="14" t="e">
        <f t="shared" si="84"/>
        <v>#DIV/0!</v>
      </c>
      <c r="U104" s="14" t="e">
        <f t="shared" si="84"/>
        <v>#DIV/0!</v>
      </c>
      <c r="V104" s="14" t="e">
        <f t="shared" si="84"/>
        <v>#DIV/0!</v>
      </c>
      <c r="W104" s="14" t="e">
        <f t="shared" si="84"/>
        <v>#DIV/0!</v>
      </c>
      <c r="X104" s="14" t="e">
        <f t="shared" si="84"/>
        <v>#DIV/0!</v>
      </c>
      <c r="Y104" s="14" t="e">
        <f t="shared" si="84"/>
        <v>#DIV/0!</v>
      </c>
      <c r="Z104" s="14" t="e">
        <f t="shared" si="84"/>
        <v>#DIV/0!</v>
      </c>
      <c r="AA104" s="14" t="e">
        <f t="shared" si="84"/>
        <v>#DIV/0!</v>
      </c>
      <c r="AB104" s="14" t="e">
        <f t="shared" si="84"/>
        <v>#DIV/0!</v>
      </c>
      <c r="AC104" s="14" t="e">
        <f t="shared" si="84"/>
        <v>#DIV/0!</v>
      </c>
      <c r="AD104" s="14" t="e">
        <f t="shared" si="84"/>
        <v>#DIV/0!</v>
      </c>
      <c r="AE104" s="14" t="e">
        <f t="shared" si="84"/>
        <v>#DIV/0!</v>
      </c>
      <c r="AF104" s="14" t="e">
        <f t="shared" si="84"/>
        <v>#DIV/0!</v>
      </c>
      <c r="AG104" s="14" t="e">
        <f t="shared" si="84"/>
        <v>#DIV/0!</v>
      </c>
      <c r="AH104" s="14" t="e">
        <f t="shared" si="84"/>
        <v>#DIV/0!</v>
      </c>
      <c r="AI104" s="14" t="e">
        <f t="shared" si="84"/>
        <v>#DIV/0!</v>
      </c>
      <c r="AJ104" s="14" t="e">
        <f t="shared" si="84"/>
        <v>#DIV/0!</v>
      </c>
      <c r="AK104" s="14" t="e">
        <f t="shared" si="84"/>
        <v>#DIV/0!</v>
      </c>
      <c r="AL104" s="14" t="e">
        <f t="shared" si="84"/>
        <v>#DIV/0!</v>
      </c>
      <c r="AM104" s="14" t="e">
        <f t="shared" si="84"/>
        <v>#DIV/0!</v>
      </c>
      <c r="AN104" s="14" t="e">
        <f t="shared" si="84"/>
        <v>#DIV/0!</v>
      </c>
      <c r="AO104" s="14" t="e">
        <f t="shared" si="84"/>
        <v>#DIV/0!</v>
      </c>
      <c r="AP104" s="14" t="e">
        <f t="shared" si="84"/>
        <v>#DIV/0!</v>
      </c>
      <c r="AQ104" s="14" t="e">
        <f t="shared" si="84"/>
        <v>#DIV/0!</v>
      </c>
      <c r="AR104" s="14" t="e">
        <f t="shared" si="84"/>
        <v>#DIV/0!</v>
      </c>
      <c r="AS104" s="14" t="e">
        <f t="shared" si="84"/>
        <v>#DIV/0!</v>
      </c>
      <c r="AT104" s="14" t="e">
        <f t="shared" si="84"/>
        <v>#DIV/0!</v>
      </c>
      <c r="AU104" s="14" t="e">
        <f t="shared" si="84"/>
        <v>#DIV/0!</v>
      </c>
      <c r="AV104" s="14" t="e">
        <f t="shared" si="84"/>
        <v>#DIV/0!</v>
      </c>
      <c r="AW104" s="14" t="e">
        <f t="shared" si="84"/>
        <v>#DIV/0!</v>
      </c>
      <c r="AX104" s="14" t="e">
        <f t="shared" si="84"/>
        <v>#DIV/0!</v>
      </c>
      <c r="AY104" s="14" t="e">
        <f t="shared" si="84"/>
        <v>#DIV/0!</v>
      </c>
      <c r="AZ104" s="14" t="e">
        <f t="shared" si="84"/>
        <v>#DIV/0!</v>
      </c>
      <c r="BA104" s="14" t="e">
        <f t="shared" si="84"/>
        <v>#DIV/0!</v>
      </c>
      <c r="BB104" s="14" t="e">
        <f t="shared" si="84"/>
        <v>#DIV/0!</v>
      </c>
      <c r="BC104" s="14" t="e">
        <f t="shared" si="84"/>
        <v>#DIV/0!</v>
      </c>
      <c r="BD104" s="14" t="e">
        <f t="shared" si="84"/>
        <v>#DIV/0!</v>
      </c>
      <c r="BE104" s="14" t="e">
        <f t="shared" si="84"/>
        <v>#DIV/0!</v>
      </c>
      <c r="BF104" s="14" t="e">
        <f t="shared" si="84"/>
        <v>#DIV/0!</v>
      </c>
      <c r="BG104" s="14" t="e">
        <f t="shared" si="84"/>
        <v>#DIV/0!</v>
      </c>
      <c r="BH104" s="14" t="e">
        <f t="shared" si="84"/>
        <v>#DIV/0!</v>
      </c>
      <c r="BI104" s="14" t="e">
        <f t="shared" si="84"/>
        <v>#DIV/0!</v>
      </c>
      <c r="BJ104" s="14" t="e">
        <f t="shared" si="84"/>
        <v>#DIV/0!</v>
      </c>
      <c r="BK104" s="14" t="e">
        <f t="shared" si="84"/>
        <v>#DIV/0!</v>
      </c>
      <c r="BL104" s="14" t="e">
        <f t="shared" si="84"/>
        <v>#DIV/0!</v>
      </c>
      <c r="BM104" s="14" t="e">
        <f t="shared" si="84"/>
        <v>#DIV/0!</v>
      </c>
      <c r="BN104" s="14" t="e">
        <f t="shared" si="84"/>
        <v>#DIV/0!</v>
      </c>
      <c r="BO104" s="14" t="e">
        <f t="shared" si="84"/>
        <v>#DIV/0!</v>
      </c>
      <c r="BP104" s="14" t="e">
        <f t="shared" si="84"/>
        <v>#DIV/0!</v>
      </c>
      <c r="BQ104" s="14" t="e">
        <f t="shared" si="84"/>
        <v>#DIV/0!</v>
      </c>
      <c r="BR104" s="14" t="e">
        <f t="shared" si="84"/>
        <v>#DIV/0!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 t="e">
        <f t="shared" ref="F105" si="85">F29*$C$78</f>
        <v>#DIV/0!</v>
      </c>
      <c r="G105" s="14" t="e">
        <f t="shared" ref="G105:BR105" si="86">G29*$C$78</f>
        <v>#DIV/0!</v>
      </c>
      <c r="H105" s="14" t="e">
        <f t="shared" si="86"/>
        <v>#DIV/0!</v>
      </c>
      <c r="I105" s="14" t="e">
        <f t="shared" si="86"/>
        <v>#DIV/0!</v>
      </c>
      <c r="J105" s="14" t="e">
        <f t="shared" si="86"/>
        <v>#DIV/0!</v>
      </c>
      <c r="K105" s="14" t="e">
        <f t="shared" si="86"/>
        <v>#DIV/0!</v>
      </c>
      <c r="L105" s="14" t="e">
        <f t="shared" si="86"/>
        <v>#DIV/0!</v>
      </c>
      <c r="M105" s="14" t="e">
        <f t="shared" si="86"/>
        <v>#DIV/0!</v>
      </c>
      <c r="N105" s="14" t="e">
        <f t="shared" si="86"/>
        <v>#DIV/0!</v>
      </c>
      <c r="O105" s="14" t="e">
        <f t="shared" si="86"/>
        <v>#DIV/0!</v>
      </c>
      <c r="P105" s="14" t="e">
        <f t="shared" si="86"/>
        <v>#DIV/0!</v>
      </c>
      <c r="Q105" s="14" t="e">
        <f t="shared" si="86"/>
        <v>#DIV/0!</v>
      </c>
      <c r="R105" s="14" t="e">
        <f t="shared" si="86"/>
        <v>#DIV/0!</v>
      </c>
      <c r="S105" s="14" t="e">
        <f t="shared" si="86"/>
        <v>#DIV/0!</v>
      </c>
      <c r="T105" s="14" t="e">
        <f t="shared" si="86"/>
        <v>#DIV/0!</v>
      </c>
      <c r="U105" s="14" t="e">
        <f t="shared" si="86"/>
        <v>#DIV/0!</v>
      </c>
      <c r="V105" s="14" t="e">
        <f t="shared" si="86"/>
        <v>#DIV/0!</v>
      </c>
      <c r="W105" s="14" t="e">
        <f t="shared" si="86"/>
        <v>#DIV/0!</v>
      </c>
      <c r="X105" s="14" t="e">
        <f t="shared" si="86"/>
        <v>#DIV/0!</v>
      </c>
      <c r="Y105" s="14" t="e">
        <f t="shared" si="86"/>
        <v>#DIV/0!</v>
      </c>
      <c r="Z105" s="14" t="e">
        <f t="shared" si="86"/>
        <v>#DIV/0!</v>
      </c>
      <c r="AA105" s="14" t="e">
        <f t="shared" si="86"/>
        <v>#DIV/0!</v>
      </c>
      <c r="AB105" s="14" t="e">
        <f t="shared" si="86"/>
        <v>#DIV/0!</v>
      </c>
      <c r="AC105" s="14" t="e">
        <f t="shared" si="86"/>
        <v>#DIV/0!</v>
      </c>
      <c r="AD105" s="14" t="e">
        <f t="shared" si="86"/>
        <v>#DIV/0!</v>
      </c>
      <c r="AE105" s="14" t="e">
        <f t="shared" si="86"/>
        <v>#DIV/0!</v>
      </c>
      <c r="AF105" s="14" t="e">
        <f t="shared" si="86"/>
        <v>#DIV/0!</v>
      </c>
      <c r="AG105" s="14" t="e">
        <f t="shared" si="86"/>
        <v>#DIV/0!</v>
      </c>
      <c r="AH105" s="14" t="e">
        <f t="shared" si="86"/>
        <v>#DIV/0!</v>
      </c>
      <c r="AI105" s="14" t="e">
        <f t="shared" si="86"/>
        <v>#DIV/0!</v>
      </c>
      <c r="AJ105" s="14" t="e">
        <f t="shared" si="86"/>
        <v>#DIV/0!</v>
      </c>
      <c r="AK105" s="14" t="e">
        <f t="shared" si="86"/>
        <v>#DIV/0!</v>
      </c>
      <c r="AL105" s="14" t="e">
        <f t="shared" si="86"/>
        <v>#DIV/0!</v>
      </c>
      <c r="AM105" s="14" t="e">
        <f t="shared" si="86"/>
        <v>#DIV/0!</v>
      </c>
      <c r="AN105" s="14" t="e">
        <f t="shared" si="86"/>
        <v>#DIV/0!</v>
      </c>
      <c r="AO105" s="14" t="e">
        <f t="shared" si="86"/>
        <v>#DIV/0!</v>
      </c>
      <c r="AP105" s="14" t="e">
        <f t="shared" si="86"/>
        <v>#DIV/0!</v>
      </c>
      <c r="AQ105" s="14" t="e">
        <f t="shared" si="86"/>
        <v>#DIV/0!</v>
      </c>
      <c r="AR105" s="14" t="e">
        <f t="shared" si="86"/>
        <v>#DIV/0!</v>
      </c>
      <c r="AS105" s="14" t="e">
        <f t="shared" si="86"/>
        <v>#DIV/0!</v>
      </c>
      <c r="AT105" s="14" t="e">
        <f t="shared" si="86"/>
        <v>#DIV/0!</v>
      </c>
      <c r="AU105" s="14" t="e">
        <f t="shared" si="86"/>
        <v>#DIV/0!</v>
      </c>
      <c r="AV105" s="14" t="e">
        <f t="shared" si="86"/>
        <v>#DIV/0!</v>
      </c>
      <c r="AW105" s="14" t="e">
        <f t="shared" si="86"/>
        <v>#DIV/0!</v>
      </c>
      <c r="AX105" s="14" t="e">
        <f t="shared" si="86"/>
        <v>#DIV/0!</v>
      </c>
      <c r="AY105" s="14" t="e">
        <f t="shared" si="86"/>
        <v>#DIV/0!</v>
      </c>
      <c r="AZ105" s="14" t="e">
        <f t="shared" si="86"/>
        <v>#DIV/0!</v>
      </c>
      <c r="BA105" s="14" t="e">
        <f t="shared" si="86"/>
        <v>#DIV/0!</v>
      </c>
      <c r="BB105" s="14" t="e">
        <f t="shared" si="86"/>
        <v>#DIV/0!</v>
      </c>
      <c r="BC105" s="14" t="e">
        <f t="shared" si="86"/>
        <v>#DIV/0!</v>
      </c>
      <c r="BD105" s="14" t="e">
        <f t="shared" si="86"/>
        <v>#DIV/0!</v>
      </c>
      <c r="BE105" s="14" t="e">
        <f t="shared" si="86"/>
        <v>#DIV/0!</v>
      </c>
      <c r="BF105" s="14" t="e">
        <f t="shared" si="86"/>
        <v>#DIV/0!</v>
      </c>
      <c r="BG105" s="14" t="e">
        <f t="shared" si="86"/>
        <v>#DIV/0!</v>
      </c>
      <c r="BH105" s="14" t="e">
        <f t="shared" si="86"/>
        <v>#DIV/0!</v>
      </c>
      <c r="BI105" s="14" t="e">
        <f t="shared" si="86"/>
        <v>#DIV/0!</v>
      </c>
      <c r="BJ105" s="14" t="e">
        <f t="shared" si="86"/>
        <v>#DIV/0!</v>
      </c>
      <c r="BK105" s="14" t="e">
        <f t="shared" si="86"/>
        <v>#DIV/0!</v>
      </c>
      <c r="BL105" s="14" t="e">
        <f t="shared" si="86"/>
        <v>#DIV/0!</v>
      </c>
      <c r="BM105" s="14" t="e">
        <f t="shared" si="86"/>
        <v>#DIV/0!</v>
      </c>
      <c r="BN105" s="14" t="e">
        <f t="shared" si="86"/>
        <v>#DIV/0!</v>
      </c>
      <c r="BO105" s="14" t="e">
        <f t="shared" si="86"/>
        <v>#DIV/0!</v>
      </c>
      <c r="BP105" s="14" t="e">
        <f t="shared" si="86"/>
        <v>#DIV/0!</v>
      </c>
      <c r="BQ105" s="14" t="e">
        <f t="shared" si="86"/>
        <v>#DIV/0!</v>
      </c>
      <c r="BR105" s="14" t="e">
        <f t="shared" si="86"/>
        <v>#DIV/0!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 t="e">
        <f t="shared" ref="F106" si="87">F30*$C$78</f>
        <v>#DIV/0!</v>
      </c>
      <c r="G106" s="14" t="e">
        <f t="shared" ref="G106:BR106" si="88">G30*$C$78</f>
        <v>#DIV/0!</v>
      </c>
      <c r="H106" s="14" t="e">
        <f t="shared" si="88"/>
        <v>#DIV/0!</v>
      </c>
      <c r="I106" s="14" t="e">
        <f t="shared" si="88"/>
        <v>#DIV/0!</v>
      </c>
      <c r="J106" s="14" t="e">
        <f t="shared" si="88"/>
        <v>#DIV/0!</v>
      </c>
      <c r="K106" s="14" t="e">
        <f t="shared" si="88"/>
        <v>#DIV/0!</v>
      </c>
      <c r="L106" s="14" t="e">
        <f t="shared" si="88"/>
        <v>#DIV/0!</v>
      </c>
      <c r="M106" s="14" t="e">
        <f t="shared" si="88"/>
        <v>#DIV/0!</v>
      </c>
      <c r="N106" s="14" t="e">
        <f t="shared" si="88"/>
        <v>#DIV/0!</v>
      </c>
      <c r="O106" s="14" t="e">
        <f t="shared" si="88"/>
        <v>#DIV/0!</v>
      </c>
      <c r="P106" s="14" t="e">
        <f t="shared" si="88"/>
        <v>#DIV/0!</v>
      </c>
      <c r="Q106" s="14" t="e">
        <f t="shared" si="88"/>
        <v>#DIV/0!</v>
      </c>
      <c r="R106" s="14" t="e">
        <f t="shared" si="88"/>
        <v>#DIV/0!</v>
      </c>
      <c r="S106" s="14" t="e">
        <f t="shared" si="88"/>
        <v>#DIV/0!</v>
      </c>
      <c r="T106" s="14" t="e">
        <f t="shared" si="88"/>
        <v>#DIV/0!</v>
      </c>
      <c r="U106" s="14" t="e">
        <f t="shared" si="88"/>
        <v>#DIV/0!</v>
      </c>
      <c r="V106" s="14" t="e">
        <f t="shared" si="88"/>
        <v>#DIV/0!</v>
      </c>
      <c r="W106" s="14" t="e">
        <f t="shared" si="88"/>
        <v>#DIV/0!</v>
      </c>
      <c r="X106" s="14" t="e">
        <f t="shared" si="88"/>
        <v>#DIV/0!</v>
      </c>
      <c r="Y106" s="14" t="e">
        <f t="shared" si="88"/>
        <v>#DIV/0!</v>
      </c>
      <c r="Z106" s="14" t="e">
        <f t="shared" si="88"/>
        <v>#DIV/0!</v>
      </c>
      <c r="AA106" s="14" t="e">
        <f t="shared" si="88"/>
        <v>#DIV/0!</v>
      </c>
      <c r="AB106" s="14" t="e">
        <f t="shared" si="88"/>
        <v>#DIV/0!</v>
      </c>
      <c r="AC106" s="14" t="e">
        <f t="shared" si="88"/>
        <v>#DIV/0!</v>
      </c>
      <c r="AD106" s="14" t="e">
        <f t="shared" si="88"/>
        <v>#DIV/0!</v>
      </c>
      <c r="AE106" s="14" t="e">
        <f t="shared" si="88"/>
        <v>#DIV/0!</v>
      </c>
      <c r="AF106" s="14" t="e">
        <f t="shared" si="88"/>
        <v>#DIV/0!</v>
      </c>
      <c r="AG106" s="14" t="e">
        <f t="shared" si="88"/>
        <v>#DIV/0!</v>
      </c>
      <c r="AH106" s="14" t="e">
        <f t="shared" si="88"/>
        <v>#DIV/0!</v>
      </c>
      <c r="AI106" s="14" t="e">
        <f t="shared" si="88"/>
        <v>#DIV/0!</v>
      </c>
      <c r="AJ106" s="14" t="e">
        <f t="shared" si="88"/>
        <v>#DIV/0!</v>
      </c>
      <c r="AK106" s="14" t="e">
        <f t="shared" si="88"/>
        <v>#DIV/0!</v>
      </c>
      <c r="AL106" s="14" t="e">
        <f t="shared" si="88"/>
        <v>#DIV/0!</v>
      </c>
      <c r="AM106" s="14" t="e">
        <f t="shared" si="88"/>
        <v>#DIV/0!</v>
      </c>
      <c r="AN106" s="14" t="e">
        <f t="shared" si="88"/>
        <v>#DIV/0!</v>
      </c>
      <c r="AO106" s="14" t="e">
        <f t="shared" si="88"/>
        <v>#DIV/0!</v>
      </c>
      <c r="AP106" s="14" t="e">
        <f t="shared" si="88"/>
        <v>#DIV/0!</v>
      </c>
      <c r="AQ106" s="14" t="e">
        <f t="shared" si="88"/>
        <v>#DIV/0!</v>
      </c>
      <c r="AR106" s="14" t="e">
        <f t="shared" si="88"/>
        <v>#DIV/0!</v>
      </c>
      <c r="AS106" s="14" t="e">
        <f t="shared" si="88"/>
        <v>#DIV/0!</v>
      </c>
      <c r="AT106" s="14" t="e">
        <f t="shared" si="88"/>
        <v>#DIV/0!</v>
      </c>
      <c r="AU106" s="14" t="e">
        <f t="shared" si="88"/>
        <v>#DIV/0!</v>
      </c>
      <c r="AV106" s="14" t="e">
        <f t="shared" si="88"/>
        <v>#DIV/0!</v>
      </c>
      <c r="AW106" s="14" t="e">
        <f t="shared" si="88"/>
        <v>#DIV/0!</v>
      </c>
      <c r="AX106" s="14" t="e">
        <f t="shared" si="88"/>
        <v>#DIV/0!</v>
      </c>
      <c r="AY106" s="14" t="e">
        <f t="shared" si="88"/>
        <v>#DIV/0!</v>
      </c>
      <c r="AZ106" s="14" t="e">
        <f t="shared" si="88"/>
        <v>#DIV/0!</v>
      </c>
      <c r="BA106" s="14" t="e">
        <f t="shared" si="88"/>
        <v>#DIV/0!</v>
      </c>
      <c r="BB106" s="14" t="e">
        <f t="shared" si="88"/>
        <v>#DIV/0!</v>
      </c>
      <c r="BC106" s="14" t="e">
        <f t="shared" si="88"/>
        <v>#DIV/0!</v>
      </c>
      <c r="BD106" s="14" t="e">
        <f t="shared" si="88"/>
        <v>#DIV/0!</v>
      </c>
      <c r="BE106" s="14" t="e">
        <f t="shared" si="88"/>
        <v>#DIV/0!</v>
      </c>
      <c r="BF106" s="14" t="e">
        <f t="shared" si="88"/>
        <v>#DIV/0!</v>
      </c>
      <c r="BG106" s="14" t="e">
        <f t="shared" si="88"/>
        <v>#DIV/0!</v>
      </c>
      <c r="BH106" s="14" t="e">
        <f t="shared" si="88"/>
        <v>#DIV/0!</v>
      </c>
      <c r="BI106" s="14" t="e">
        <f t="shared" si="88"/>
        <v>#DIV/0!</v>
      </c>
      <c r="BJ106" s="14" t="e">
        <f t="shared" si="88"/>
        <v>#DIV/0!</v>
      </c>
      <c r="BK106" s="14" t="e">
        <f t="shared" si="88"/>
        <v>#DIV/0!</v>
      </c>
      <c r="BL106" s="14" t="e">
        <f t="shared" si="88"/>
        <v>#DIV/0!</v>
      </c>
      <c r="BM106" s="14" t="e">
        <f t="shared" si="88"/>
        <v>#DIV/0!</v>
      </c>
      <c r="BN106" s="14" t="e">
        <f t="shared" si="88"/>
        <v>#DIV/0!</v>
      </c>
      <c r="BO106" s="14" t="e">
        <f t="shared" si="88"/>
        <v>#DIV/0!</v>
      </c>
      <c r="BP106" s="14" t="e">
        <f t="shared" si="88"/>
        <v>#DIV/0!</v>
      </c>
      <c r="BQ106" s="14" t="e">
        <f t="shared" si="88"/>
        <v>#DIV/0!</v>
      </c>
      <c r="BR106" s="14" t="e">
        <f t="shared" si="88"/>
        <v>#DIV/0!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 t="e">
        <f t="shared" ref="F107" si="89">F31*$C$78</f>
        <v>#DIV/0!</v>
      </c>
      <c r="G107" s="14" t="e">
        <f t="shared" ref="G107:BR107" si="90">G31*$C$78</f>
        <v>#DIV/0!</v>
      </c>
      <c r="H107" s="14" t="e">
        <f t="shared" si="90"/>
        <v>#DIV/0!</v>
      </c>
      <c r="I107" s="14" t="e">
        <f t="shared" si="90"/>
        <v>#DIV/0!</v>
      </c>
      <c r="J107" s="14" t="e">
        <f t="shared" si="90"/>
        <v>#DIV/0!</v>
      </c>
      <c r="K107" s="14" t="e">
        <f t="shared" si="90"/>
        <v>#DIV/0!</v>
      </c>
      <c r="L107" s="14" t="e">
        <f t="shared" si="90"/>
        <v>#DIV/0!</v>
      </c>
      <c r="M107" s="14" t="e">
        <f t="shared" si="90"/>
        <v>#DIV/0!</v>
      </c>
      <c r="N107" s="14" t="e">
        <f t="shared" si="90"/>
        <v>#DIV/0!</v>
      </c>
      <c r="O107" s="14" t="e">
        <f t="shared" si="90"/>
        <v>#DIV/0!</v>
      </c>
      <c r="P107" s="14" t="e">
        <f t="shared" si="90"/>
        <v>#DIV/0!</v>
      </c>
      <c r="Q107" s="14" t="e">
        <f t="shared" si="90"/>
        <v>#DIV/0!</v>
      </c>
      <c r="R107" s="14" t="e">
        <f t="shared" si="90"/>
        <v>#DIV/0!</v>
      </c>
      <c r="S107" s="14" t="e">
        <f t="shared" si="90"/>
        <v>#DIV/0!</v>
      </c>
      <c r="T107" s="14" t="e">
        <f t="shared" si="90"/>
        <v>#DIV/0!</v>
      </c>
      <c r="U107" s="14" t="e">
        <f t="shared" si="90"/>
        <v>#DIV/0!</v>
      </c>
      <c r="V107" s="14" t="e">
        <f t="shared" si="90"/>
        <v>#DIV/0!</v>
      </c>
      <c r="W107" s="14" t="e">
        <f t="shared" si="90"/>
        <v>#DIV/0!</v>
      </c>
      <c r="X107" s="14" t="e">
        <f t="shared" si="90"/>
        <v>#DIV/0!</v>
      </c>
      <c r="Y107" s="14" t="e">
        <f t="shared" si="90"/>
        <v>#DIV/0!</v>
      </c>
      <c r="Z107" s="14" t="e">
        <f t="shared" si="90"/>
        <v>#DIV/0!</v>
      </c>
      <c r="AA107" s="14" t="e">
        <f t="shared" si="90"/>
        <v>#DIV/0!</v>
      </c>
      <c r="AB107" s="14" t="e">
        <f t="shared" si="90"/>
        <v>#DIV/0!</v>
      </c>
      <c r="AC107" s="14" t="e">
        <f t="shared" si="90"/>
        <v>#DIV/0!</v>
      </c>
      <c r="AD107" s="14" t="e">
        <f t="shared" si="90"/>
        <v>#DIV/0!</v>
      </c>
      <c r="AE107" s="14" t="e">
        <f t="shared" si="90"/>
        <v>#DIV/0!</v>
      </c>
      <c r="AF107" s="14" t="e">
        <f t="shared" si="90"/>
        <v>#DIV/0!</v>
      </c>
      <c r="AG107" s="14" t="e">
        <f t="shared" si="90"/>
        <v>#DIV/0!</v>
      </c>
      <c r="AH107" s="14" t="e">
        <f t="shared" si="90"/>
        <v>#DIV/0!</v>
      </c>
      <c r="AI107" s="14" t="e">
        <f t="shared" si="90"/>
        <v>#DIV/0!</v>
      </c>
      <c r="AJ107" s="14" t="e">
        <f t="shared" si="90"/>
        <v>#DIV/0!</v>
      </c>
      <c r="AK107" s="14" t="e">
        <f t="shared" si="90"/>
        <v>#DIV/0!</v>
      </c>
      <c r="AL107" s="14" t="e">
        <f t="shared" si="90"/>
        <v>#DIV/0!</v>
      </c>
      <c r="AM107" s="14" t="e">
        <f t="shared" si="90"/>
        <v>#DIV/0!</v>
      </c>
      <c r="AN107" s="14" t="e">
        <f t="shared" si="90"/>
        <v>#DIV/0!</v>
      </c>
      <c r="AO107" s="14" t="e">
        <f t="shared" si="90"/>
        <v>#DIV/0!</v>
      </c>
      <c r="AP107" s="14" t="e">
        <f t="shared" si="90"/>
        <v>#DIV/0!</v>
      </c>
      <c r="AQ107" s="14" t="e">
        <f t="shared" si="90"/>
        <v>#DIV/0!</v>
      </c>
      <c r="AR107" s="14" t="e">
        <f t="shared" si="90"/>
        <v>#DIV/0!</v>
      </c>
      <c r="AS107" s="14" t="e">
        <f t="shared" si="90"/>
        <v>#DIV/0!</v>
      </c>
      <c r="AT107" s="14" t="e">
        <f t="shared" si="90"/>
        <v>#DIV/0!</v>
      </c>
      <c r="AU107" s="14" t="e">
        <f t="shared" si="90"/>
        <v>#DIV/0!</v>
      </c>
      <c r="AV107" s="14" t="e">
        <f t="shared" si="90"/>
        <v>#DIV/0!</v>
      </c>
      <c r="AW107" s="14" t="e">
        <f t="shared" si="90"/>
        <v>#DIV/0!</v>
      </c>
      <c r="AX107" s="14" t="e">
        <f t="shared" si="90"/>
        <v>#DIV/0!</v>
      </c>
      <c r="AY107" s="14" t="e">
        <f t="shared" si="90"/>
        <v>#DIV/0!</v>
      </c>
      <c r="AZ107" s="14" t="e">
        <f t="shared" si="90"/>
        <v>#DIV/0!</v>
      </c>
      <c r="BA107" s="14" t="e">
        <f t="shared" si="90"/>
        <v>#DIV/0!</v>
      </c>
      <c r="BB107" s="14" t="e">
        <f t="shared" si="90"/>
        <v>#DIV/0!</v>
      </c>
      <c r="BC107" s="14" t="e">
        <f t="shared" si="90"/>
        <v>#DIV/0!</v>
      </c>
      <c r="BD107" s="14" t="e">
        <f t="shared" si="90"/>
        <v>#DIV/0!</v>
      </c>
      <c r="BE107" s="14" t="e">
        <f t="shared" si="90"/>
        <v>#DIV/0!</v>
      </c>
      <c r="BF107" s="14" t="e">
        <f t="shared" si="90"/>
        <v>#DIV/0!</v>
      </c>
      <c r="BG107" s="14" t="e">
        <f t="shared" si="90"/>
        <v>#DIV/0!</v>
      </c>
      <c r="BH107" s="14" t="e">
        <f t="shared" si="90"/>
        <v>#DIV/0!</v>
      </c>
      <c r="BI107" s="14" t="e">
        <f t="shared" si="90"/>
        <v>#DIV/0!</v>
      </c>
      <c r="BJ107" s="14" t="e">
        <f t="shared" si="90"/>
        <v>#DIV/0!</v>
      </c>
      <c r="BK107" s="14" t="e">
        <f t="shared" si="90"/>
        <v>#DIV/0!</v>
      </c>
      <c r="BL107" s="14" t="e">
        <f t="shared" si="90"/>
        <v>#DIV/0!</v>
      </c>
      <c r="BM107" s="14" t="e">
        <f t="shared" si="90"/>
        <v>#DIV/0!</v>
      </c>
      <c r="BN107" s="14" t="e">
        <f t="shared" si="90"/>
        <v>#DIV/0!</v>
      </c>
      <c r="BO107" s="14" t="e">
        <f t="shared" si="90"/>
        <v>#DIV/0!</v>
      </c>
      <c r="BP107" s="14" t="e">
        <f t="shared" si="90"/>
        <v>#DIV/0!</v>
      </c>
      <c r="BQ107" s="14" t="e">
        <f t="shared" si="90"/>
        <v>#DIV/0!</v>
      </c>
      <c r="BR107" s="14" t="e">
        <f t="shared" si="90"/>
        <v>#DIV/0!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 t="e">
        <f t="shared" ref="F108" si="91">F32*$C$78</f>
        <v>#DIV/0!</v>
      </c>
      <c r="G108" s="14" t="e">
        <f t="shared" ref="G108:BR108" si="92">G32*$C$78</f>
        <v>#DIV/0!</v>
      </c>
      <c r="H108" s="14" t="e">
        <f t="shared" si="92"/>
        <v>#DIV/0!</v>
      </c>
      <c r="I108" s="14" t="e">
        <f t="shared" si="92"/>
        <v>#DIV/0!</v>
      </c>
      <c r="J108" s="14" t="e">
        <f t="shared" si="92"/>
        <v>#DIV/0!</v>
      </c>
      <c r="K108" s="14" t="e">
        <f t="shared" si="92"/>
        <v>#DIV/0!</v>
      </c>
      <c r="L108" s="14" t="e">
        <f t="shared" si="92"/>
        <v>#DIV/0!</v>
      </c>
      <c r="M108" s="14" t="e">
        <f t="shared" si="92"/>
        <v>#DIV/0!</v>
      </c>
      <c r="N108" s="14" t="e">
        <f t="shared" si="92"/>
        <v>#DIV/0!</v>
      </c>
      <c r="O108" s="14" t="e">
        <f t="shared" si="92"/>
        <v>#DIV/0!</v>
      </c>
      <c r="P108" s="14" t="e">
        <f t="shared" si="92"/>
        <v>#DIV/0!</v>
      </c>
      <c r="Q108" s="14" t="e">
        <f t="shared" si="92"/>
        <v>#DIV/0!</v>
      </c>
      <c r="R108" s="14" t="e">
        <f t="shared" si="92"/>
        <v>#DIV/0!</v>
      </c>
      <c r="S108" s="14" t="e">
        <f t="shared" si="92"/>
        <v>#DIV/0!</v>
      </c>
      <c r="T108" s="14" t="e">
        <f t="shared" si="92"/>
        <v>#DIV/0!</v>
      </c>
      <c r="U108" s="14" t="e">
        <f t="shared" si="92"/>
        <v>#DIV/0!</v>
      </c>
      <c r="V108" s="14" t="e">
        <f t="shared" si="92"/>
        <v>#DIV/0!</v>
      </c>
      <c r="W108" s="14" t="e">
        <f t="shared" si="92"/>
        <v>#DIV/0!</v>
      </c>
      <c r="X108" s="14" t="e">
        <f t="shared" si="92"/>
        <v>#DIV/0!</v>
      </c>
      <c r="Y108" s="14" t="e">
        <f t="shared" si="92"/>
        <v>#DIV/0!</v>
      </c>
      <c r="Z108" s="14" t="e">
        <f t="shared" si="92"/>
        <v>#DIV/0!</v>
      </c>
      <c r="AA108" s="14" t="e">
        <f t="shared" si="92"/>
        <v>#DIV/0!</v>
      </c>
      <c r="AB108" s="14" t="e">
        <f t="shared" si="92"/>
        <v>#DIV/0!</v>
      </c>
      <c r="AC108" s="14" t="e">
        <f t="shared" si="92"/>
        <v>#DIV/0!</v>
      </c>
      <c r="AD108" s="14" t="e">
        <f t="shared" si="92"/>
        <v>#DIV/0!</v>
      </c>
      <c r="AE108" s="14" t="e">
        <f t="shared" si="92"/>
        <v>#DIV/0!</v>
      </c>
      <c r="AF108" s="14" t="e">
        <f t="shared" si="92"/>
        <v>#DIV/0!</v>
      </c>
      <c r="AG108" s="14" t="e">
        <f t="shared" si="92"/>
        <v>#DIV/0!</v>
      </c>
      <c r="AH108" s="14" t="e">
        <f t="shared" si="92"/>
        <v>#DIV/0!</v>
      </c>
      <c r="AI108" s="14" t="e">
        <f t="shared" si="92"/>
        <v>#DIV/0!</v>
      </c>
      <c r="AJ108" s="14" t="e">
        <f t="shared" si="92"/>
        <v>#DIV/0!</v>
      </c>
      <c r="AK108" s="14" t="e">
        <f t="shared" si="92"/>
        <v>#DIV/0!</v>
      </c>
      <c r="AL108" s="14" t="e">
        <f t="shared" si="92"/>
        <v>#DIV/0!</v>
      </c>
      <c r="AM108" s="14" t="e">
        <f t="shared" si="92"/>
        <v>#DIV/0!</v>
      </c>
      <c r="AN108" s="14" t="e">
        <f t="shared" si="92"/>
        <v>#DIV/0!</v>
      </c>
      <c r="AO108" s="14" t="e">
        <f t="shared" si="92"/>
        <v>#DIV/0!</v>
      </c>
      <c r="AP108" s="14" t="e">
        <f t="shared" si="92"/>
        <v>#DIV/0!</v>
      </c>
      <c r="AQ108" s="14" t="e">
        <f t="shared" si="92"/>
        <v>#DIV/0!</v>
      </c>
      <c r="AR108" s="14" t="e">
        <f t="shared" si="92"/>
        <v>#DIV/0!</v>
      </c>
      <c r="AS108" s="14" t="e">
        <f t="shared" si="92"/>
        <v>#DIV/0!</v>
      </c>
      <c r="AT108" s="14" t="e">
        <f t="shared" si="92"/>
        <v>#DIV/0!</v>
      </c>
      <c r="AU108" s="14" t="e">
        <f t="shared" si="92"/>
        <v>#DIV/0!</v>
      </c>
      <c r="AV108" s="14" t="e">
        <f t="shared" si="92"/>
        <v>#DIV/0!</v>
      </c>
      <c r="AW108" s="14" t="e">
        <f t="shared" si="92"/>
        <v>#DIV/0!</v>
      </c>
      <c r="AX108" s="14" t="e">
        <f t="shared" si="92"/>
        <v>#DIV/0!</v>
      </c>
      <c r="AY108" s="14" t="e">
        <f t="shared" si="92"/>
        <v>#DIV/0!</v>
      </c>
      <c r="AZ108" s="14" t="e">
        <f t="shared" si="92"/>
        <v>#DIV/0!</v>
      </c>
      <c r="BA108" s="14" t="e">
        <f t="shared" si="92"/>
        <v>#DIV/0!</v>
      </c>
      <c r="BB108" s="14" t="e">
        <f t="shared" si="92"/>
        <v>#DIV/0!</v>
      </c>
      <c r="BC108" s="14" t="e">
        <f t="shared" si="92"/>
        <v>#DIV/0!</v>
      </c>
      <c r="BD108" s="14" t="e">
        <f t="shared" si="92"/>
        <v>#DIV/0!</v>
      </c>
      <c r="BE108" s="14" t="e">
        <f t="shared" si="92"/>
        <v>#DIV/0!</v>
      </c>
      <c r="BF108" s="14" t="e">
        <f t="shared" si="92"/>
        <v>#DIV/0!</v>
      </c>
      <c r="BG108" s="14" t="e">
        <f t="shared" si="92"/>
        <v>#DIV/0!</v>
      </c>
      <c r="BH108" s="14" t="e">
        <f t="shared" si="92"/>
        <v>#DIV/0!</v>
      </c>
      <c r="BI108" s="14" t="e">
        <f t="shared" si="92"/>
        <v>#DIV/0!</v>
      </c>
      <c r="BJ108" s="14" t="e">
        <f t="shared" si="92"/>
        <v>#DIV/0!</v>
      </c>
      <c r="BK108" s="14" t="e">
        <f t="shared" si="92"/>
        <v>#DIV/0!</v>
      </c>
      <c r="BL108" s="14" t="e">
        <f t="shared" si="92"/>
        <v>#DIV/0!</v>
      </c>
      <c r="BM108" s="14" t="e">
        <f t="shared" si="92"/>
        <v>#DIV/0!</v>
      </c>
      <c r="BN108" s="14" t="e">
        <f t="shared" si="92"/>
        <v>#DIV/0!</v>
      </c>
      <c r="BO108" s="14" t="e">
        <f t="shared" si="92"/>
        <v>#DIV/0!</v>
      </c>
      <c r="BP108" s="14" t="e">
        <f t="shared" si="92"/>
        <v>#DIV/0!</v>
      </c>
      <c r="BQ108" s="14" t="e">
        <f t="shared" si="92"/>
        <v>#DIV/0!</v>
      </c>
      <c r="BR108" s="14" t="e">
        <f t="shared" si="92"/>
        <v>#DIV/0!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3">F3</f>
        <v>0</v>
      </c>
      <c r="G113" s="4">
        <f t="shared" si="93"/>
        <v>0</v>
      </c>
      <c r="H113" s="4">
        <f t="shared" si="93"/>
        <v>0</v>
      </c>
      <c r="I113" s="4">
        <f t="shared" si="93"/>
        <v>0</v>
      </c>
      <c r="J113" s="4">
        <f t="shared" si="93"/>
        <v>0</v>
      </c>
      <c r="K113" s="4">
        <f t="shared" si="93"/>
        <v>0</v>
      </c>
      <c r="L113" s="4">
        <f t="shared" si="93"/>
        <v>0</v>
      </c>
      <c r="M113" s="4">
        <f t="shared" si="93"/>
        <v>0</v>
      </c>
      <c r="N113" s="4">
        <f t="shared" si="93"/>
        <v>0</v>
      </c>
      <c r="O113" s="4">
        <f t="shared" si="93"/>
        <v>0</v>
      </c>
      <c r="P113" s="4">
        <f t="shared" si="93"/>
        <v>0</v>
      </c>
      <c r="Q113" s="4">
        <f t="shared" si="93"/>
        <v>0</v>
      </c>
      <c r="R113" s="4">
        <f t="shared" si="93"/>
        <v>0</v>
      </c>
      <c r="S113" s="4">
        <f t="shared" si="93"/>
        <v>0</v>
      </c>
      <c r="T113" s="4">
        <f t="shared" si="93"/>
        <v>0</v>
      </c>
      <c r="U113" s="4">
        <f t="shared" si="93"/>
        <v>0</v>
      </c>
      <c r="V113" s="4">
        <f t="shared" si="93"/>
        <v>0</v>
      </c>
      <c r="W113" s="4">
        <f t="shared" si="93"/>
        <v>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si="95">F$113*$B$2*SUMPRODUCT(F$85:F$94,F$51:F$60)/1000</f>
        <v>#DIV/0!</v>
      </c>
      <c r="G114" s="46" t="e">
        <f t="shared" si="95"/>
        <v>#DIV/0!</v>
      </c>
      <c r="H114" s="46" t="e">
        <f t="shared" si="95"/>
        <v>#DIV/0!</v>
      </c>
      <c r="I114" s="46" t="e">
        <f t="shared" si="95"/>
        <v>#DIV/0!</v>
      </c>
      <c r="J114" s="46" t="e">
        <f t="shared" si="95"/>
        <v>#DIV/0!</v>
      </c>
      <c r="K114" s="46" t="e">
        <f t="shared" si="95"/>
        <v>#DIV/0!</v>
      </c>
      <c r="L114" s="46" t="e">
        <f t="shared" si="95"/>
        <v>#DIV/0!</v>
      </c>
      <c r="M114" s="46" t="e">
        <f t="shared" si="95"/>
        <v>#DIV/0!</v>
      </c>
      <c r="N114" s="46" t="e">
        <f t="shared" si="95"/>
        <v>#DIV/0!</v>
      </c>
      <c r="O114" s="46" t="e">
        <f t="shared" si="95"/>
        <v>#DIV/0!</v>
      </c>
      <c r="P114" s="46" t="e">
        <f t="shared" si="95"/>
        <v>#DIV/0!</v>
      </c>
      <c r="Q114" s="46" t="e">
        <f t="shared" si="95"/>
        <v>#DIV/0!</v>
      </c>
      <c r="R114" s="46" t="e">
        <f t="shared" si="95"/>
        <v>#DIV/0!</v>
      </c>
      <c r="S114" s="46" t="e">
        <f t="shared" si="95"/>
        <v>#DIV/0!</v>
      </c>
      <c r="T114" s="46" t="e">
        <f t="shared" si="95"/>
        <v>#DIV/0!</v>
      </c>
      <c r="U114" s="46" t="e">
        <f t="shared" si="95"/>
        <v>#DIV/0!</v>
      </c>
      <c r="V114" s="46" t="e">
        <f t="shared" si="95"/>
        <v>#DIV/0!</v>
      </c>
      <c r="W114" s="46" t="e">
        <f t="shared" si="95"/>
        <v>#DIV/0!</v>
      </c>
      <c r="X114" s="46" t="e">
        <f t="shared" si="95"/>
        <v>#DIV/0!</v>
      </c>
      <c r="Y114" s="46" t="e">
        <f t="shared" si="95"/>
        <v>#DIV/0!</v>
      </c>
      <c r="Z114" s="46" t="e">
        <f t="shared" si="95"/>
        <v>#DIV/0!</v>
      </c>
      <c r="AA114" s="46" t="e">
        <f t="shared" si="95"/>
        <v>#DIV/0!</v>
      </c>
      <c r="AB114" s="46" t="e">
        <f t="shared" si="95"/>
        <v>#DIV/0!</v>
      </c>
      <c r="AC114" s="46" t="e">
        <f t="shared" si="95"/>
        <v>#DIV/0!</v>
      </c>
      <c r="AD114" s="46" t="e">
        <f t="shared" si="95"/>
        <v>#DIV/0!</v>
      </c>
      <c r="AE114" s="46" t="e">
        <f t="shared" si="95"/>
        <v>#DIV/0!</v>
      </c>
      <c r="AF114" s="46" t="e">
        <f t="shared" si="95"/>
        <v>#DIV/0!</v>
      </c>
      <c r="AG114" s="46" t="e">
        <f t="shared" si="95"/>
        <v>#DIV/0!</v>
      </c>
      <c r="AH114" s="46" t="e">
        <f t="shared" si="95"/>
        <v>#DIV/0!</v>
      </c>
      <c r="AI114" s="46" t="e">
        <f t="shared" si="95"/>
        <v>#DIV/0!</v>
      </c>
      <c r="AJ114" s="46" t="e">
        <f t="shared" si="95"/>
        <v>#DIV/0!</v>
      </c>
      <c r="AK114" s="46" t="e">
        <f t="shared" si="95"/>
        <v>#DIV/0!</v>
      </c>
      <c r="AL114" s="46" t="e">
        <f t="shared" si="95"/>
        <v>#DIV/0!</v>
      </c>
      <c r="AM114" s="46" t="e">
        <f t="shared" si="95"/>
        <v>#DIV/0!</v>
      </c>
      <c r="AN114" s="46" t="e">
        <f t="shared" si="95"/>
        <v>#DIV/0!</v>
      </c>
      <c r="AO114" s="46" t="e">
        <f t="shared" si="95"/>
        <v>#DIV/0!</v>
      </c>
      <c r="AP114" s="46" t="e">
        <f t="shared" si="95"/>
        <v>#DIV/0!</v>
      </c>
      <c r="AQ114" s="46" t="e">
        <f t="shared" si="95"/>
        <v>#DIV/0!</v>
      </c>
      <c r="AR114" s="46" t="e">
        <f t="shared" si="95"/>
        <v>#DIV/0!</v>
      </c>
      <c r="AS114" s="46" t="e">
        <f t="shared" si="95"/>
        <v>#DIV/0!</v>
      </c>
      <c r="AT114" s="46" t="e">
        <f t="shared" si="95"/>
        <v>#DIV/0!</v>
      </c>
      <c r="AU114" s="46" t="e">
        <f t="shared" si="95"/>
        <v>#DIV/0!</v>
      </c>
      <c r="AV114" s="46" t="e">
        <f t="shared" si="95"/>
        <v>#DIV/0!</v>
      </c>
      <c r="AW114" s="46" t="e">
        <f t="shared" si="95"/>
        <v>#DIV/0!</v>
      </c>
      <c r="AX114" s="46" t="e">
        <f t="shared" si="95"/>
        <v>#DIV/0!</v>
      </c>
      <c r="AY114" s="46" t="e">
        <f t="shared" si="95"/>
        <v>#DIV/0!</v>
      </c>
      <c r="AZ114" s="46" t="e">
        <f t="shared" si="95"/>
        <v>#DIV/0!</v>
      </c>
      <c r="BA114" s="46" t="e">
        <f t="shared" si="95"/>
        <v>#DIV/0!</v>
      </c>
      <c r="BB114" s="46" t="e">
        <f t="shared" si="95"/>
        <v>#DIV/0!</v>
      </c>
      <c r="BC114" s="46" t="e">
        <f t="shared" si="95"/>
        <v>#DIV/0!</v>
      </c>
      <c r="BD114" s="46" t="e">
        <f t="shared" si="95"/>
        <v>#DIV/0!</v>
      </c>
      <c r="BE114" s="46" t="e">
        <f t="shared" si="95"/>
        <v>#DIV/0!</v>
      </c>
      <c r="BF114" s="46" t="e">
        <f t="shared" si="95"/>
        <v>#DIV/0!</v>
      </c>
      <c r="BG114" s="46" t="e">
        <f t="shared" si="95"/>
        <v>#DIV/0!</v>
      </c>
      <c r="BH114" s="46" t="e">
        <f t="shared" si="95"/>
        <v>#DIV/0!</v>
      </c>
      <c r="BI114" s="46" t="e">
        <f t="shared" si="95"/>
        <v>#DIV/0!</v>
      </c>
      <c r="BJ114" s="46" t="e">
        <f t="shared" si="95"/>
        <v>#DIV/0!</v>
      </c>
      <c r="BK114" s="46" t="e">
        <f t="shared" si="95"/>
        <v>#DIV/0!</v>
      </c>
      <c r="BL114" s="46" t="e">
        <f t="shared" si="95"/>
        <v>#DIV/0!</v>
      </c>
      <c r="BM114" s="46" t="e">
        <f t="shared" si="95"/>
        <v>#DIV/0!</v>
      </c>
      <c r="BN114" s="46" t="e">
        <f t="shared" si="95"/>
        <v>#DIV/0!</v>
      </c>
      <c r="BO114" s="46" t="e">
        <f t="shared" si="95"/>
        <v>#DIV/0!</v>
      </c>
      <c r="BP114" s="46" t="e">
        <f t="shared" si="95"/>
        <v>#DIV/0!</v>
      </c>
      <c r="BQ114" s="46" t="e">
        <f t="shared" si="95"/>
        <v>#DIV/0!</v>
      </c>
      <c r="BR114" s="46" t="e">
        <f t="shared" ref="BR114" si="96">BR$113*$B$2*SUMPRODUCT(BR$85:BR$94,BR$51:BR$60)/1000</f>
        <v>#DIV/0!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0</v>
      </c>
      <c r="E115" s="17" t="s">
        <v>35</v>
      </c>
      <c r="F115" s="14" t="e">
        <f t="shared" ref="F115:BQ115" si="97">F$113*$B$2*SUMPRODUCT(F$100:F$101,F$65:F$66)/1000</f>
        <v>#DIV/0!</v>
      </c>
      <c r="G115" s="14" t="e">
        <f t="shared" si="97"/>
        <v>#DIV/0!</v>
      </c>
      <c r="H115" s="14" t="e">
        <f t="shared" si="97"/>
        <v>#DIV/0!</v>
      </c>
      <c r="I115" s="14" t="e">
        <f t="shared" si="97"/>
        <v>#DIV/0!</v>
      </c>
      <c r="J115" s="14" t="e">
        <f t="shared" si="97"/>
        <v>#DIV/0!</v>
      </c>
      <c r="K115" s="14" t="e">
        <f t="shared" si="97"/>
        <v>#DIV/0!</v>
      </c>
      <c r="L115" s="14" t="e">
        <f t="shared" si="97"/>
        <v>#DIV/0!</v>
      </c>
      <c r="M115" s="14" t="e">
        <f t="shared" si="97"/>
        <v>#DIV/0!</v>
      </c>
      <c r="N115" s="14" t="e">
        <f t="shared" si="97"/>
        <v>#DIV/0!</v>
      </c>
      <c r="O115" s="14" t="e">
        <f t="shared" si="97"/>
        <v>#DIV/0!</v>
      </c>
      <c r="P115" s="14" t="e">
        <f t="shared" si="97"/>
        <v>#DIV/0!</v>
      </c>
      <c r="Q115" s="14" t="e">
        <f t="shared" si="97"/>
        <v>#DIV/0!</v>
      </c>
      <c r="R115" s="14" t="e">
        <f t="shared" si="97"/>
        <v>#DIV/0!</v>
      </c>
      <c r="S115" s="14" t="e">
        <f t="shared" si="97"/>
        <v>#DIV/0!</v>
      </c>
      <c r="T115" s="14" t="e">
        <f t="shared" si="97"/>
        <v>#DIV/0!</v>
      </c>
      <c r="U115" s="14" t="e">
        <f t="shared" si="97"/>
        <v>#DIV/0!</v>
      </c>
      <c r="V115" s="14" t="e">
        <f t="shared" si="97"/>
        <v>#DIV/0!</v>
      </c>
      <c r="W115" s="14" t="e">
        <f t="shared" si="97"/>
        <v>#DIV/0!</v>
      </c>
      <c r="X115" s="14" t="e">
        <f t="shared" si="97"/>
        <v>#DIV/0!</v>
      </c>
      <c r="Y115" s="14" t="e">
        <f t="shared" si="97"/>
        <v>#DIV/0!</v>
      </c>
      <c r="Z115" s="14" t="e">
        <f t="shared" si="97"/>
        <v>#DIV/0!</v>
      </c>
      <c r="AA115" s="14" t="e">
        <f t="shared" si="97"/>
        <v>#DIV/0!</v>
      </c>
      <c r="AB115" s="14" t="e">
        <f t="shared" si="97"/>
        <v>#DIV/0!</v>
      </c>
      <c r="AC115" s="14" t="e">
        <f t="shared" si="97"/>
        <v>#DIV/0!</v>
      </c>
      <c r="AD115" s="14" t="e">
        <f t="shared" si="97"/>
        <v>#DIV/0!</v>
      </c>
      <c r="AE115" s="14" t="e">
        <f t="shared" si="97"/>
        <v>#DIV/0!</v>
      </c>
      <c r="AF115" s="14" t="e">
        <f t="shared" si="97"/>
        <v>#DIV/0!</v>
      </c>
      <c r="AG115" s="14" t="e">
        <f t="shared" si="97"/>
        <v>#DIV/0!</v>
      </c>
      <c r="AH115" s="14" t="e">
        <f t="shared" si="97"/>
        <v>#DIV/0!</v>
      </c>
      <c r="AI115" s="14" t="e">
        <f t="shared" si="97"/>
        <v>#DIV/0!</v>
      </c>
      <c r="AJ115" s="14" t="e">
        <f t="shared" si="97"/>
        <v>#DIV/0!</v>
      </c>
      <c r="AK115" s="14" t="e">
        <f t="shared" si="97"/>
        <v>#DIV/0!</v>
      </c>
      <c r="AL115" s="14" t="e">
        <f t="shared" si="97"/>
        <v>#DIV/0!</v>
      </c>
      <c r="AM115" s="14" t="e">
        <f t="shared" si="97"/>
        <v>#DIV/0!</v>
      </c>
      <c r="AN115" s="14" t="e">
        <f t="shared" si="97"/>
        <v>#DIV/0!</v>
      </c>
      <c r="AO115" s="14" t="e">
        <f t="shared" si="97"/>
        <v>#DIV/0!</v>
      </c>
      <c r="AP115" s="14" t="e">
        <f t="shared" si="97"/>
        <v>#DIV/0!</v>
      </c>
      <c r="AQ115" s="14" t="e">
        <f t="shared" si="97"/>
        <v>#DIV/0!</v>
      </c>
      <c r="AR115" s="14" t="e">
        <f t="shared" si="97"/>
        <v>#DIV/0!</v>
      </c>
      <c r="AS115" s="14" t="e">
        <f t="shared" si="97"/>
        <v>#DIV/0!</v>
      </c>
      <c r="AT115" s="14" t="e">
        <f t="shared" si="97"/>
        <v>#DIV/0!</v>
      </c>
      <c r="AU115" s="14" t="e">
        <f t="shared" si="97"/>
        <v>#DIV/0!</v>
      </c>
      <c r="AV115" s="14" t="e">
        <f t="shared" si="97"/>
        <v>#DIV/0!</v>
      </c>
      <c r="AW115" s="14" t="e">
        <f t="shared" si="97"/>
        <v>#DIV/0!</v>
      </c>
      <c r="AX115" s="14" t="e">
        <f t="shared" si="97"/>
        <v>#DIV/0!</v>
      </c>
      <c r="AY115" s="14" t="e">
        <f t="shared" si="97"/>
        <v>#DIV/0!</v>
      </c>
      <c r="AZ115" s="14" t="e">
        <f t="shared" si="97"/>
        <v>#DIV/0!</v>
      </c>
      <c r="BA115" s="14" t="e">
        <f t="shared" si="97"/>
        <v>#DIV/0!</v>
      </c>
      <c r="BB115" s="14" t="e">
        <f t="shared" si="97"/>
        <v>#DIV/0!</v>
      </c>
      <c r="BC115" s="14" t="e">
        <f t="shared" si="97"/>
        <v>#DIV/0!</v>
      </c>
      <c r="BD115" s="14" t="e">
        <f t="shared" si="97"/>
        <v>#DIV/0!</v>
      </c>
      <c r="BE115" s="14" t="e">
        <f t="shared" si="97"/>
        <v>#DIV/0!</v>
      </c>
      <c r="BF115" s="14" t="e">
        <f t="shared" si="97"/>
        <v>#DIV/0!</v>
      </c>
      <c r="BG115" s="14" t="e">
        <f t="shared" si="97"/>
        <v>#DIV/0!</v>
      </c>
      <c r="BH115" s="14" t="e">
        <f t="shared" si="97"/>
        <v>#DIV/0!</v>
      </c>
      <c r="BI115" s="14" t="e">
        <f t="shared" si="97"/>
        <v>#DIV/0!</v>
      </c>
      <c r="BJ115" s="14" t="e">
        <f t="shared" si="97"/>
        <v>#DIV/0!</v>
      </c>
      <c r="BK115" s="14" t="e">
        <f t="shared" si="97"/>
        <v>#DIV/0!</v>
      </c>
      <c r="BL115" s="14" t="e">
        <f t="shared" si="97"/>
        <v>#DIV/0!</v>
      </c>
      <c r="BM115" s="14" t="e">
        <f t="shared" si="97"/>
        <v>#DIV/0!</v>
      </c>
      <c r="BN115" s="14" t="e">
        <f t="shared" si="97"/>
        <v>#DIV/0!</v>
      </c>
      <c r="BO115" s="14" t="e">
        <f t="shared" si="97"/>
        <v>#DIV/0!</v>
      </c>
      <c r="BP115" s="14" t="e">
        <f t="shared" si="97"/>
        <v>#DIV/0!</v>
      </c>
      <c r="BQ115" s="14" t="e">
        <f t="shared" si="97"/>
        <v>#DIV/0!</v>
      </c>
      <c r="BR115" s="14" t="e">
        <f t="shared" ref="BR115" si="98">BR$113*$B$2*SUMPRODUCT(BR$100:BR$101,BR$65:BR$66)/1000</f>
        <v>#DIV/0!</v>
      </c>
      <c r="BS115" s="98"/>
    </row>
    <row r="116" spans="1:71" ht="21" hidden="1" customHeight="1" outlineLevel="1" thickBot="1" x14ac:dyDescent="0.4">
      <c r="E116" s="17" t="s">
        <v>13</v>
      </c>
      <c r="F116" s="14" t="e">
        <f t="shared" ref="F116:BQ116" si="99">F$113*$B$2*SUMPRODUCT(F$82:F$83,F$48:F$49)/1000</f>
        <v>#DIV/0!</v>
      </c>
      <c r="G116" s="14" t="e">
        <f t="shared" si="99"/>
        <v>#DIV/0!</v>
      </c>
      <c r="H116" s="14" t="e">
        <f t="shared" si="99"/>
        <v>#DIV/0!</v>
      </c>
      <c r="I116" s="14" t="e">
        <f t="shared" si="99"/>
        <v>#DIV/0!</v>
      </c>
      <c r="J116" s="14" t="e">
        <f t="shared" si="99"/>
        <v>#DIV/0!</v>
      </c>
      <c r="K116" s="14" t="e">
        <f t="shared" si="99"/>
        <v>#DIV/0!</v>
      </c>
      <c r="L116" s="14" t="e">
        <f t="shared" si="99"/>
        <v>#DIV/0!</v>
      </c>
      <c r="M116" s="14" t="e">
        <f t="shared" si="99"/>
        <v>#DIV/0!</v>
      </c>
      <c r="N116" s="14" t="e">
        <f t="shared" si="99"/>
        <v>#DIV/0!</v>
      </c>
      <c r="O116" s="14" t="e">
        <f t="shared" si="99"/>
        <v>#DIV/0!</v>
      </c>
      <c r="P116" s="14" t="e">
        <f t="shared" si="99"/>
        <v>#DIV/0!</v>
      </c>
      <c r="Q116" s="14" t="e">
        <f t="shared" si="99"/>
        <v>#DIV/0!</v>
      </c>
      <c r="R116" s="14" t="e">
        <f t="shared" si="99"/>
        <v>#DIV/0!</v>
      </c>
      <c r="S116" s="14" t="e">
        <f t="shared" si="99"/>
        <v>#DIV/0!</v>
      </c>
      <c r="T116" s="14" t="e">
        <f t="shared" si="99"/>
        <v>#DIV/0!</v>
      </c>
      <c r="U116" s="14" t="e">
        <f t="shared" si="99"/>
        <v>#DIV/0!</v>
      </c>
      <c r="V116" s="14" t="e">
        <f t="shared" si="99"/>
        <v>#DIV/0!</v>
      </c>
      <c r="W116" s="14" t="e">
        <f t="shared" si="99"/>
        <v>#DIV/0!</v>
      </c>
      <c r="X116" s="14" t="e">
        <f t="shared" si="99"/>
        <v>#DIV/0!</v>
      </c>
      <c r="Y116" s="14" t="e">
        <f t="shared" si="99"/>
        <v>#DIV/0!</v>
      </c>
      <c r="Z116" s="14" t="e">
        <f t="shared" si="99"/>
        <v>#DIV/0!</v>
      </c>
      <c r="AA116" s="14" t="e">
        <f t="shared" si="99"/>
        <v>#DIV/0!</v>
      </c>
      <c r="AB116" s="14" t="e">
        <f t="shared" si="99"/>
        <v>#DIV/0!</v>
      </c>
      <c r="AC116" s="14" t="e">
        <f t="shared" si="99"/>
        <v>#DIV/0!</v>
      </c>
      <c r="AD116" s="14" t="e">
        <f t="shared" si="99"/>
        <v>#DIV/0!</v>
      </c>
      <c r="AE116" s="14" t="e">
        <f t="shared" si="99"/>
        <v>#DIV/0!</v>
      </c>
      <c r="AF116" s="14" t="e">
        <f t="shared" si="99"/>
        <v>#DIV/0!</v>
      </c>
      <c r="AG116" s="14" t="e">
        <f t="shared" si="99"/>
        <v>#DIV/0!</v>
      </c>
      <c r="AH116" s="14" t="e">
        <f t="shared" si="99"/>
        <v>#DIV/0!</v>
      </c>
      <c r="AI116" s="14" t="e">
        <f t="shared" si="99"/>
        <v>#DIV/0!</v>
      </c>
      <c r="AJ116" s="14" t="e">
        <f t="shared" si="99"/>
        <v>#DIV/0!</v>
      </c>
      <c r="AK116" s="14" t="e">
        <f t="shared" si="99"/>
        <v>#DIV/0!</v>
      </c>
      <c r="AL116" s="14" t="e">
        <f t="shared" si="99"/>
        <v>#DIV/0!</v>
      </c>
      <c r="AM116" s="14" t="e">
        <f t="shared" si="99"/>
        <v>#DIV/0!</v>
      </c>
      <c r="AN116" s="14" t="e">
        <f t="shared" si="99"/>
        <v>#DIV/0!</v>
      </c>
      <c r="AO116" s="14" t="e">
        <f t="shared" si="99"/>
        <v>#DIV/0!</v>
      </c>
      <c r="AP116" s="14" t="e">
        <f t="shared" si="99"/>
        <v>#DIV/0!</v>
      </c>
      <c r="AQ116" s="14" t="e">
        <f t="shared" si="99"/>
        <v>#DIV/0!</v>
      </c>
      <c r="AR116" s="14" t="e">
        <f t="shared" si="99"/>
        <v>#DIV/0!</v>
      </c>
      <c r="AS116" s="14" t="e">
        <f t="shared" si="99"/>
        <v>#DIV/0!</v>
      </c>
      <c r="AT116" s="14" t="e">
        <f t="shared" si="99"/>
        <v>#DIV/0!</v>
      </c>
      <c r="AU116" s="14" t="e">
        <f t="shared" si="99"/>
        <v>#DIV/0!</v>
      </c>
      <c r="AV116" s="14" t="e">
        <f t="shared" si="99"/>
        <v>#DIV/0!</v>
      </c>
      <c r="AW116" s="14" t="e">
        <f t="shared" si="99"/>
        <v>#DIV/0!</v>
      </c>
      <c r="AX116" s="14" t="e">
        <f t="shared" si="99"/>
        <v>#DIV/0!</v>
      </c>
      <c r="AY116" s="14" t="e">
        <f t="shared" si="99"/>
        <v>#DIV/0!</v>
      </c>
      <c r="AZ116" s="14" t="e">
        <f t="shared" si="99"/>
        <v>#DIV/0!</v>
      </c>
      <c r="BA116" s="14" t="e">
        <f t="shared" si="99"/>
        <v>#DIV/0!</v>
      </c>
      <c r="BB116" s="14" t="e">
        <f t="shared" si="99"/>
        <v>#DIV/0!</v>
      </c>
      <c r="BC116" s="14" t="e">
        <f t="shared" si="99"/>
        <v>#DIV/0!</v>
      </c>
      <c r="BD116" s="14" t="e">
        <f t="shared" si="99"/>
        <v>#DIV/0!</v>
      </c>
      <c r="BE116" s="14" t="e">
        <f t="shared" si="99"/>
        <v>#DIV/0!</v>
      </c>
      <c r="BF116" s="14" t="e">
        <f t="shared" si="99"/>
        <v>#DIV/0!</v>
      </c>
      <c r="BG116" s="14" t="e">
        <f t="shared" si="99"/>
        <v>#DIV/0!</v>
      </c>
      <c r="BH116" s="14" t="e">
        <f t="shared" si="99"/>
        <v>#DIV/0!</v>
      </c>
      <c r="BI116" s="14" t="e">
        <f t="shared" si="99"/>
        <v>#DIV/0!</v>
      </c>
      <c r="BJ116" s="14" t="e">
        <f t="shared" si="99"/>
        <v>#DIV/0!</v>
      </c>
      <c r="BK116" s="14" t="e">
        <f t="shared" si="99"/>
        <v>#DIV/0!</v>
      </c>
      <c r="BL116" s="14" t="e">
        <f t="shared" si="99"/>
        <v>#DIV/0!</v>
      </c>
      <c r="BM116" s="14" t="e">
        <f t="shared" si="99"/>
        <v>#DIV/0!</v>
      </c>
      <c r="BN116" s="14" t="e">
        <f t="shared" si="99"/>
        <v>#DIV/0!</v>
      </c>
      <c r="BO116" s="14" t="e">
        <f t="shared" si="99"/>
        <v>#DIV/0!</v>
      </c>
      <c r="BP116" s="14" t="e">
        <f t="shared" si="99"/>
        <v>#DIV/0!</v>
      </c>
      <c r="BQ116" s="14" t="e">
        <f t="shared" si="99"/>
        <v>#DIV/0!</v>
      </c>
      <c r="BR116" s="14" t="e">
        <f t="shared" ref="BR116" si="100">BR$113*$B$2*SUMPRODUCT(BR$82:BR$83,BR$48:BR$49)/1000</f>
        <v>#DIV/0!</v>
      </c>
      <c r="BS116" s="98"/>
    </row>
    <row r="117" spans="1:71" ht="21" hidden="1" customHeight="1" outlineLevel="1" thickBot="1" x14ac:dyDescent="0.4">
      <c r="E117" s="17" t="s">
        <v>34</v>
      </c>
      <c r="F117" s="14" t="e">
        <f>F116+F114</f>
        <v>#DIV/0!</v>
      </c>
      <c r="G117" s="14" t="e">
        <f t="shared" ref="G117:AL117" si="101">G116+G114</f>
        <v>#DIV/0!</v>
      </c>
      <c r="H117" s="14" t="e">
        <f t="shared" si="101"/>
        <v>#DIV/0!</v>
      </c>
      <c r="I117" s="14" t="e">
        <f t="shared" si="101"/>
        <v>#DIV/0!</v>
      </c>
      <c r="J117" s="14" t="e">
        <f t="shared" si="101"/>
        <v>#DIV/0!</v>
      </c>
      <c r="K117" s="14" t="e">
        <f t="shared" si="101"/>
        <v>#DIV/0!</v>
      </c>
      <c r="L117" s="14" t="e">
        <f t="shared" si="101"/>
        <v>#DIV/0!</v>
      </c>
      <c r="M117" s="14" t="e">
        <f t="shared" si="101"/>
        <v>#DIV/0!</v>
      </c>
      <c r="N117" s="14" t="e">
        <f t="shared" si="101"/>
        <v>#DIV/0!</v>
      </c>
      <c r="O117" s="14" t="e">
        <f t="shared" si="101"/>
        <v>#DIV/0!</v>
      </c>
      <c r="P117" s="14" t="e">
        <f t="shared" si="101"/>
        <v>#DIV/0!</v>
      </c>
      <c r="Q117" s="14" t="e">
        <f t="shared" si="101"/>
        <v>#DIV/0!</v>
      </c>
      <c r="R117" s="14" t="e">
        <f t="shared" si="101"/>
        <v>#DIV/0!</v>
      </c>
      <c r="S117" s="14" t="e">
        <f t="shared" si="101"/>
        <v>#DIV/0!</v>
      </c>
      <c r="T117" s="14" t="e">
        <f t="shared" si="101"/>
        <v>#DIV/0!</v>
      </c>
      <c r="U117" s="14" t="e">
        <f t="shared" si="101"/>
        <v>#DIV/0!</v>
      </c>
      <c r="V117" s="14" t="e">
        <f t="shared" si="101"/>
        <v>#DIV/0!</v>
      </c>
      <c r="W117" s="14" t="e">
        <f t="shared" si="101"/>
        <v>#DIV/0!</v>
      </c>
      <c r="X117" s="14" t="e">
        <f t="shared" si="101"/>
        <v>#DIV/0!</v>
      </c>
      <c r="Y117" s="14" t="e">
        <f t="shared" si="101"/>
        <v>#DIV/0!</v>
      </c>
      <c r="Z117" s="14" t="e">
        <f t="shared" si="101"/>
        <v>#DIV/0!</v>
      </c>
      <c r="AA117" s="14" t="e">
        <f t="shared" si="101"/>
        <v>#DIV/0!</v>
      </c>
      <c r="AB117" s="14" t="e">
        <f t="shared" si="101"/>
        <v>#DIV/0!</v>
      </c>
      <c r="AC117" s="14" t="e">
        <f t="shared" si="101"/>
        <v>#DIV/0!</v>
      </c>
      <c r="AD117" s="14" t="e">
        <f t="shared" si="101"/>
        <v>#DIV/0!</v>
      </c>
      <c r="AE117" s="14" t="e">
        <f t="shared" si="101"/>
        <v>#DIV/0!</v>
      </c>
      <c r="AF117" s="14" t="e">
        <f t="shared" si="101"/>
        <v>#DIV/0!</v>
      </c>
      <c r="AG117" s="14" t="e">
        <f t="shared" si="101"/>
        <v>#DIV/0!</v>
      </c>
      <c r="AH117" s="14" t="e">
        <f t="shared" si="101"/>
        <v>#DIV/0!</v>
      </c>
      <c r="AI117" s="14" t="e">
        <f t="shared" si="101"/>
        <v>#DIV/0!</v>
      </c>
      <c r="AJ117" s="14" t="e">
        <f t="shared" si="101"/>
        <v>#DIV/0!</v>
      </c>
      <c r="AK117" s="14" t="e">
        <f t="shared" si="101"/>
        <v>#DIV/0!</v>
      </c>
      <c r="AL117" s="14" t="e">
        <f t="shared" si="101"/>
        <v>#DIV/0!</v>
      </c>
      <c r="AM117" s="14" t="e">
        <f t="shared" ref="AM117:BR117" si="102">AM116+AM114</f>
        <v>#DIV/0!</v>
      </c>
      <c r="AN117" s="14" t="e">
        <f t="shared" si="102"/>
        <v>#DIV/0!</v>
      </c>
      <c r="AO117" s="14" t="e">
        <f t="shared" si="102"/>
        <v>#DIV/0!</v>
      </c>
      <c r="AP117" s="14" t="e">
        <f t="shared" si="102"/>
        <v>#DIV/0!</v>
      </c>
      <c r="AQ117" s="14" t="e">
        <f t="shared" si="102"/>
        <v>#DIV/0!</v>
      </c>
      <c r="AR117" s="14" t="e">
        <f t="shared" si="102"/>
        <v>#DIV/0!</v>
      </c>
      <c r="AS117" s="14" t="e">
        <f t="shared" si="102"/>
        <v>#DIV/0!</v>
      </c>
      <c r="AT117" s="14" t="e">
        <f t="shared" si="102"/>
        <v>#DIV/0!</v>
      </c>
      <c r="AU117" s="14" t="e">
        <f t="shared" si="102"/>
        <v>#DIV/0!</v>
      </c>
      <c r="AV117" s="14" t="e">
        <f t="shared" si="102"/>
        <v>#DIV/0!</v>
      </c>
      <c r="AW117" s="14" t="e">
        <f t="shared" si="102"/>
        <v>#DIV/0!</v>
      </c>
      <c r="AX117" s="14" t="e">
        <f t="shared" si="102"/>
        <v>#DIV/0!</v>
      </c>
      <c r="AY117" s="14" t="e">
        <f t="shared" si="102"/>
        <v>#DIV/0!</v>
      </c>
      <c r="AZ117" s="14" t="e">
        <f t="shared" si="102"/>
        <v>#DIV/0!</v>
      </c>
      <c r="BA117" s="14" t="e">
        <f t="shared" si="102"/>
        <v>#DIV/0!</v>
      </c>
      <c r="BB117" s="14" t="e">
        <f t="shared" si="102"/>
        <v>#DIV/0!</v>
      </c>
      <c r="BC117" s="14" t="e">
        <f t="shared" si="102"/>
        <v>#DIV/0!</v>
      </c>
      <c r="BD117" s="14" t="e">
        <f t="shared" si="102"/>
        <v>#DIV/0!</v>
      </c>
      <c r="BE117" s="14" t="e">
        <f t="shared" si="102"/>
        <v>#DIV/0!</v>
      </c>
      <c r="BF117" s="14" t="e">
        <f t="shared" si="102"/>
        <v>#DIV/0!</v>
      </c>
      <c r="BG117" s="14" t="e">
        <f t="shared" si="102"/>
        <v>#DIV/0!</v>
      </c>
      <c r="BH117" s="14" t="e">
        <f t="shared" si="102"/>
        <v>#DIV/0!</v>
      </c>
      <c r="BI117" s="14" t="e">
        <f t="shared" si="102"/>
        <v>#DIV/0!</v>
      </c>
      <c r="BJ117" s="14" t="e">
        <f t="shared" si="102"/>
        <v>#DIV/0!</v>
      </c>
      <c r="BK117" s="14" t="e">
        <f t="shared" si="102"/>
        <v>#DIV/0!</v>
      </c>
      <c r="BL117" s="14" t="e">
        <f t="shared" si="102"/>
        <v>#DIV/0!</v>
      </c>
      <c r="BM117" s="14" t="e">
        <f t="shared" si="102"/>
        <v>#DIV/0!</v>
      </c>
      <c r="BN117" s="14" t="e">
        <f t="shared" si="102"/>
        <v>#DIV/0!</v>
      </c>
      <c r="BO117" s="14" t="e">
        <f t="shared" si="102"/>
        <v>#DIV/0!</v>
      </c>
      <c r="BP117" s="14" t="e">
        <f t="shared" si="102"/>
        <v>#DIV/0!</v>
      </c>
      <c r="BQ117" s="14" t="e">
        <f t="shared" si="102"/>
        <v>#DIV/0!</v>
      </c>
      <c r="BR117" s="14" t="e">
        <f t="shared" si="102"/>
        <v>#DIV/0!</v>
      </c>
      <c r="BS117" s="98"/>
    </row>
    <row r="118" spans="1:71" ht="21" hidden="1" customHeight="1" outlineLevel="1" thickBot="1" x14ac:dyDescent="0.4">
      <c r="E118" s="17" t="s">
        <v>36</v>
      </c>
      <c r="F118" s="14" t="e">
        <f>F116+F115</f>
        <v>#DIV/0!</v>
      </c>
      <c r="G118" s="14" t="e">
        <f t="shared" ref="G118:AL118" si="103">G116+G115</f>
        <v>#DIV/0!</v>
      </c>
      <c r="H118" s="14" t="e">
        <f t="shared" si="103"/>
        <v>#DIV/0!</v>
      </c>
      <c r="I118" s="14" t="e">
        <f t="shared" si="103"/>
        <v>#DIV/0!</v>
      </c>
      <c r="J118" s="14" t="e">
        <f t="shared" si="103"/>
        <v>#DIV/0!</v>
      </c>
      <c r="K118" s="14" t="e">
        <f t="shared" si="103"/>
        <v>#DIV/0!</v>
      </c>
      <c r="L118" s="14" t="e">
        <f t="shared" si="103"/>
        <v>#DIV/0!</v>
      </c>
      <c r="M118" s="14" t="e">
        <f t="shared" si="103"/>
        <v>#DIV/0!</v>
      </c>
      <c r="N118" s="14" t="e">
        <f t="shared" si="103"/>
        <v>#DIV/0!</v>
      </c>
      <c r="O118" s="14" t="e">
        <f t="shared" si="103"/>
        <v>#DIV/0!</v>
      </c>
      <c r="P118" s="14" t="e">
        <f t="shared" si="103"/>
        <v>#DIV/0!</v>
      </c>
      <c r="Q118" s="14" t="e">
        <f t="shared" si="103"/>
        <v>#DIV/0!</v>
      </c>
      <c r="R118" s="14" t="e">
        <f t="shared" si="103"/>
        <v>#DIV/0!</v>
      </c>
      <c r="S118" s="14" t="e">
        <f t="shared" si="103"/>
        <v>#DIV/0!</v>
      </c>
      <c r="T118" s="14" t="e">
        <f t="shared" si="103"/>
        <v>#DIV/0!</v>
      </c>
      <c r="U118" s="14" t="e">
        <f t="shared" si="103"/>
        <v>#DIV/0!</v>
      </c>
      <c r="V118" s="14" t="e">
        <f t="shared" si="103"/>
        <v>#DIV/0!</v>
      </c>
      <c r="W118" s="14" t="e">
        <f t="shared" si="103"/>
        <v>#DIV/0!</v>
      </c>
      <c r="X118" s="14" t="e">
        <f t="shared" si="103"/>
        <v>#DIV/0!</v>
      </c>
      <c r="Y118" s="14" t="e">
        <f t="shared" si="103"/>
        <v>#DIV/0!</v>
      </c>
      <c r="Z118" s="14" t="e">
        <f t="shared" si="103"/>
        <v>#DIV/0!</v>
      </c>
      <c r="AA118" s="14" t="e">
        <f t="shared" si="103"/>
        <v>#DIV/0!</v>
      </c>
      <c r="AB118" s="14" t="e">
        <f t="shared" si="103"/>
        <v>#DIV/0!</v>
      </c>
      <c r="AC118" s="14" t="e">
        <f t="shared" si="103"/>
        <v>#DIV/0!</v>
      </c>
      <c r="AD118" s="14" t="e">
        <f t="shared" si="103"/>
        <v>#DIV/0!</v>
      </c>
      <c r="AE118" s="14" t="e">
        <f t="shared" si="103"/>
        <v>#DIV/0!</v>
      </c>
      <c r="AF118" s="14" t="e">
        <f t="shared" si="103"/>
        <v>#DIV/0!</v>
      </c>
      <c r="AG118" s="14" t="e">
        <f t="shared" si="103"/>
        <v>#DIV/0!</v>
      </c>
      <c r="AH118" s="14" t="e">
        <f t="shared" si="103"/>
        <v>#DIV/0!</v>
      </c>
      <c r="AI118" s="14" t="e">
        <f t="shared" si="103"/>
        <v>#DIV/0!</v>
      </c>
      <c r="AJ118" s="14" t="e">
        <f t="shared" si="103"/>
        <v>#DIV/0!</v>
      </c>
      <c r="AK118" s="14" t="e">
        <f t="shared" si="103"/>
        <v>#DIV/0!</v>
      </c>
      <c r="AL118" s="14" t="e">
        <f t="shared" si="103"/>
        <v>#DIV/0!</v>
      </c>
      <c r="AM118" s="14" t="e">
        <f t="shared" ref="AM118:BR118" si="104">AM116+AM115</f>
        <v>#DIV/0!</v>
      </c>
      <c r="AN118" s="14" t="e">
        <f t="shared" si="104"/>
        <v>#DIV/0!</v>
      </c>
      <c r="AO118" s="14" t="e">
        <f t="shared" si="104"/>
        <v>#DIV/0!</v>
      </c>
      <c r="AP118" s="14" t="e">
        <f t="shared" si="104"/>
        <v>#DIV/0!</v>
      </c>
      <c r="AQ118" s="14" t="e">
        <f t="shared" si="104"/>
        <v>#DIV/0!</v>
      </c>
      <c r="AR118" s="14" t="e">
        <f t="shared" si="104"/>
        <v>#DIV/0!</v>
      </c>
      <c r="AS118" s="14" t="e">
        <f t="shared" si="104"/>
        <v>#DIV/0!</v>
      </c>
      <c r="AT118" s="14" t="e">
        <f t="shared" si="104"/>
        <v>#DIV/0!</v>
      </c>
      <c r="AU118" s="14" t="e">
        <f t="shared" si="104"/>
        <v>#DIV/0!</v>
      </c>
      <c r="AV118" s="14" t="e">
        <f t="shared" si="104"/>
        <v>#DIV/0!</v>
      </c>
      <c r="AW118" s="14" t="e">
        <f t="shared" si="104"/>
        <v>#DIV/0!</v>
      </c>
      <c r="AX118" s="14" t="e">
        <f t="shared" si="104"/>
        <v>#DIV/0!</v>
      </c>
      <c r="AY118" s="14" t="e">
        <f t="shared" si="104"/>
        <v>#DIV/0!</v>
      </c>
      <c r="AZ118" s="14" t="e">
        <f t="shared" si="104"/>
        <v>#DIV/0!</v>
      </c>
      <c r="BA118" s="14" t="e">
        <f t="shared" si="104"/>
        <v>#DIV/0!</v>
      </c>
      <c r="BB118" s="14" t="e">
        <f t="shared" si="104"/>
        <v>#DIV/0!</v>
      </c>
      <c r="BC118" s="14" t="e">
        <f t="shared" si="104"/>
        <v>#DIV/0!</v>
      </c>
      <c r="BD118" s="14" t="e">
        <f t="shared" si="104"/>
        <v>#DIV/0!</v>
      </c>
      <c r="BE118" s="14" t="e">
        <f t="shared" si="104"/>
        <v>#DIV/0!</v>
      </c>
      <c r="BF118" s="14" t="e">
        <f t="shared" si="104"/>
        <v>#DIV/0!</v>
      </c>
      <c r="BG118" s="14" t="e">
        <f t="shared" si="104"/>
        <v>#DIV/0!</v>
      </c>
      <c r="BH118" s="14" t="e">
        <f t="shared" si="104"/>
        <v>#DIV/0!</v>
      </c>
      <c r="BI118" s="14" t="e">
        <f t="shared" si="104"/>
        <v>#DIV/0!</v>
      </c>
      <c r="BJ118" s="14" t="e">
        <f t="shared" si="104"/>
        <v>#DIV/0!</v>
      </c>
      <c r="BK118" s="14" t="e">
        <f t="shared" si="104"/>
        <v>#DIV/0!</v>
      </c>
      <c r="BL118" s="14" t="e">
        <f t="shared" si="104"/>
        <v>#DIV/0!</v>
      </c>
      <c r="BM118" s="14" t="e">
        <f t="shared" si="104"/>
        <v>#DIV/0!</v>
      </c>
      <c r="BN118" s="14" t="e">
        <f t="shared" si="104"/>
        <v>#DIV/0!</v>
      </c>
      <c r="BO118" s="14" t="e">
        <f t="shared" si="104"/>
        <v>#DIV/0!</v>
      </c>
      <c r="BP118" s="14" t="e">
        <f t="shared" si="104"/>
        <v>#DIV/0!</v>
      </c>
      <c r="BQ118" s="14" t="e">
        <f t="shared" si="104"/>
        <v>#DIV/0!</v>
      </c>
      <c r="BR118" s="14" t="e">
        <f t="shared" si="104"/>
        <v>#DIV/0!</v>
      </c>
      <c r="BS118" s="98"/>
    </row>
    <row r="119" spans="1:71" ht="21" hidden="1" customHeight="1" outlineLevel="1" x14ac:dyDescent="0.35">
      <c r="E119" s="80" t="s">
        <v>38</v>
      </c>
      <c r="F119" s="81" t="e">
        <f>SUM(F114:F116)</f>
        <v>#DIV/0!</v>
      </c>
      <c r="G119" s="81" t="e">
        <f t="shared" ref="G119:AL119" si="105">SUM(G114:G116)</f>
        <v>#DIV/0!</v>
      </c>
      <c r="H119" s="81" t="e">
        <f t="shared" si="105"/>
        <v>#DIV/0!</v>
      </c>
      <c r="I119" s="81" t="e">
        <f t="shared" si="105"/>
        <v>#DIV/0!</v>
      </c>
      <c r="J119" s="81" t="e">
        <f t="shared" si="105"/>
        <v>#DIV/0!</v>
      </c>
      <c r="K119" s="81" t="e">
        <f t="shared" si="105"/>
        <v>#DIV/0!</v>
      </c>
      <c r="L119" s="81" t="e">
        <f t="shared" si="105"/>
        <v>#DIV/0!</v>
      </c>
      <c r="M119" s="81" t="e">
        <f t="shared" si="105"/>
        <v>#DIV/0!</v>
      </c>
      <c r="N119" s="81" t="e">
        <f t="shared" si="105"/>
        <v>#DIV/0!</v>
      </c>
      <c r="O119" s="81" t="e">
        <f t="shared" si="105"/>
        <v>#DIV/0!</v>
      </c>
      <c r="P119" s="81" t="e">
        <f t="shared" si="105"/>
        <v>#DIV/0!</v>
      </c>
      <c r="Q119" s="81" t="e">
        <f t="shared" si="105"/>
        <v>#DIV/0!</v>
      </c>
      <c r="R119" s="81" t="e">
        <f t="shared" si="105"/>
        <v>#DIV/0!</v>
      </c>
      <c r="S119" s="81" t="e">
        <f t="shared" si="105"/>
        <v>#DIV/0!</v>
      </c>
      <c r="T119" s="81" t="e">
        <f t="shared" si="105"/>
        <v>#DIV/0!</v>
      </c>
      <c r="U119" s="81" t="e">
        <f t="shared" si="105"/>
        <v>#DIV/0!</v>
      </c>
      <c r="V119" s="81" t="e">
        <f t="shared" si="105"/>
        <v>#DIV/0!</v>
      </c>
      <c r="W119" s="81" t="e">
        <f t="shared" si="105"/>
        <v>#DIV/0!</v>
      </c>
      <c r="X119" s="81" t="e">
        <f t="shared" si="105"/>
        <v>#DIV/0!</v>
      </c>
      <c r="Y119" s="81" t="e">
        <f t="shared" si="105"/>
        <v>#DIV/0!</v>
      </c>
      <c r="Z119" s="81" t="e">
        <f t="shared" si="105"/>
        <v>#DIV/0!</v>
      </c>
      <c r="AA119" s="81" t="e">
        <f t="shared" si="105"/>
        <v>#DIV/0!</v>
      </c>
      <c r="AB119" s="81" t="e">
        <f t="shared" si="105"/>
        <v>#DIV/0!</v>
      </c>
      <c r="AC119" s="81" t="e">
        <f t="shared" si="105"/>
        <v>#DIV/0!</v>
      </c>
      <c r="AD119" s="81" t="e">
        <f t="shared" si="105"/>
        <v>#DIV/0!</v>
      </c>
      <c r="AE119" s="81" t="e">
        <f t="shared" si="105"/>
        <v>#DIV/0!</v>
      </c>
      <c r="AF119" s="81" t="e">
        <f t="shared" si="105"/>
        <v>#DIV/0!</v>
      </c>
      <c r="AG119" s="81" t="e">
        <f t="shared" si="105"/>
        <v>#DIV/0!</v>
      </c>
      <c r="AH119" s="81" t="e">
        <f t="shared" si="105"/>
        <v>#DIV/0!</v>
      </c>
      <c r="AI119" s="81" t="e">
        <f t="shared" si="105"/>
        <v>#DIV/0!</v>
      </c>
      <c r="AJ119" s="81" t="e">
        <f t="shared" si="105"/>
        <v>#DIV/0!</v>
      </c>
      <c r="AK119" s="81" t="e">
        <f t="shared" si="105"/>
        <v>#DIV/0!</v>
      </c>
      <c r="AL119" s="81" t="e">
        <f t="shared" si="105"/>
        <v>#DIV/0!</v>
      </c>
      <c r="AM119" s="81" t="e">
        <f t="shared" ref="AM119:BR119" si="106">SUM(AM114:AM116)</f>
        <v>#DIV/0!</v>
      </c>
      <c r="AN119" s="81" t="e">
        <f t="shared" si="106"/>
        <v>#DIV/0!</v>
      </c>
      <c r="AO119" s="81" t="e">
        <f t="shared" si="106"/>
        <v>#DIV/0!</v>
      </c>
      <c r="AP119" s="81" t="e">
        <f t="shared" si="106"/>
        <v>#DIV/0!</v>
      </c>
      <c r="AQ119" s="81" t="e">
        <f t="shared" si="106"/>
        <v>#DIV/0!</v>
      </c>
      <c r="AR119" s="81" t="e">
        <f t="shared" si="106"/>
        <v>#DIV/0!</v>
      </c>
      <c r="AS119" s="81" t="e">
        <f t="shared" si="106"/>
        <v>#DIV/0!</v>
      </c>
      <c r="AT119" s="81" t="e">
        <f t="shared" si="106"/>
        <v>#DIV/0!</v>
      </c>
      <c r="AU119" s="81" t="e">
        <f t="shared" si="106"/>
        <v>#DIV/0!</v>
      </c>
      <c r="AV119" s="81" t="e">
        <f t="shared" si="106"/>
        <v>#DIV/0!</v>
      </c>
      <c r="AW119" s="81" t="e">
        <f t="shared" si="106"/>
        <v>#DIV/0!</v>
      </c>
      <c r="AX119" s="81" t="e">
        <f t="shared" si="106"/>
        <v>#DIV/0!</v>
      </c>
      <c r="AY119" s="81" t="e">
        <f t="shared" si="106"/>
        <v>#DIV/0!</v>
      </c>
      <c r="AZ119" s="81" t="e">
        <f t="shared" si="106"/>
        <v>#DIV/0!</v>
      </c>
      <c r="BA119" s="81" t="e">
        <f t="shared" si="106"/>
        <v>#DIV/0!</v>
      </c>
      <c r="BB119" s="81" t="e">
        <f t="shared" si="106"/>
        <v>#DIV/0!</v>
      </c>
      <c r="BC119" s="81" t="e">
        <f t="shared" si="106"/>
        <v>#DIV/0!</v>
      </c>
      <c r="BD119" s="81" t="e">
        <f t="shared" si="106"/>
        <v>#DIV/0!</v>
      </c>
      <c r="BE119" s="81" t="e">
        <f t="shared" si="106"/>
        <v>#DIV/0!</v>
      </c>
      <c r="BF119" s="81" t="e">
        <f t="shared" si="106"/>
        <v>#DIV/0!</v>
      </c>
      <c r="BG119" s="81" t="e">
        <f t="shared" si="106"/>
        <v>#DIV/0!</v>
      </c>
      <c r="BH119" s="81" t="e">
        <f t="shared" si="106"/>
        <v>#DIV/0!</v>
      </c>
      <c r="BI119" s="81" t="e">
        <f t="shared" si="106"/>
        <v>#DIV/0!</v>
      </c>
      <c r="BJ119" s="81" t="e">
        <f t="shared" si="106"/>
        <v>#DIV/0!</v>
      </c>
      <c r="BK119" s="81" t="e">
        <f t="shared" si="106"/>
        <v>#DIV/0!</v>
      </c>
      <c r="BL119" s="81" t="e">
        <f t="shared" si="106"/>
        <v>#DIV/0!</v>
      </c>
      <c r="BM119" s="81" t="e">
        <f t="shared" si="106"/>
        <v>#DIV/0!</v>
      </c>
      <c r="BN119" s="81" t="e">
        <f t="shared" si="106"/>
        <v>#DIV/0!</v>
      </c>
      <c r="BO119" s="81" t="e">
        <f t="shared" si="106"/>
        <v>#DIV/0!</v>
      </c>
      <c r="BP119" s="81" t="e">
        <f t="shared" si="106"/>
        <v>#DIV/0!</v>
      </c>
      <c r="BQ119" s="81" t="e">
        <f t="shared" si="106"/>
        <v>#DIV/0!</v>
      </c>
      <c r="BR119" s="81" t="e">
        <f t="shared" si="106"/>
        <v>#DIV/0!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str">
        <f ca="1"/>
        <v xml:space="preserve">Раствор 1(тв): </v>
      </c>
      <c r="G123" s="47" t="str">
        <f ca="1"/>
        <v xml:space="preserve">Раствор 1(тв): </v>
      </c>
      <c r="H123" s="47" t="str">
        <f ca="1"/>
        <v xml:space="preserve">Раствор 1(тв): </v>
      </c>
      <c r="I123" s="47" t="str">
        <f ca="1"/>
        <v xml:space="preserve">Раствор 1(тв): </v>
      </c>
      <c r="J123" s="47" t="str">
        <f ca="1"/>
        <v xml:space="preserve">Раствор 1(тв): </v>
      </c>
      <c r="K123" s="47" t="str">
        <f ca="1"/>
        <v xml:space="preserve">Раствор 1(тв): </v>
      </c>
      <c r="L123" s="47" t="str">
        <f ca="1"/>
        <v xml:space="preserve">Раствор 1(тв): </v>
      </c>
      <c r="M123" s="47" t="str">
        <f ca="1"/>
        <v xml:space="preserve">Раствор 1(тв): </v>
      </c>
      <c r="N123" s="47" t="str">
        <f ca="1"/>
        <v xml:space="preserve">Раствор 1(тв): </v>
      </c>
      <c r="O123" s="47" t="str">
        <f ca="1"/>
        <v xml:space="preserve">Раствор 1(тв): </v>
      </c>
      <c r="P123" s="47" t="str">
        <f ca="1"/>
        <v xml:space="preserve">Раствор 1(тв): </v>
      </c>
      <c r="Q123" s="47" t="str">
        <f ca="1"/>
        <v xml:space="preserve">Раствор 1(тв): </v>
      </c>
      <c r="R123" s="47" t="str">
        <f ca="1"/>
        <v xml:space="preserve">Раствор 1(тв): </v>
      </c>
      <c r="S123" s="47" t="str">
        <f ca="1"/>
        <v xml:space="preserve">Раствор 1(тв): </v>
      </c>
      <c r="T123" s="47" t="str">
        <f ca="1"/>
        <v xml:space="preserve">Раствор 1(тв): </v>
      </c>
      <c r="U123" s="47" t="str">
        <f ca="1"/>
        <v xml:space="preserve">Раствор 1(тв): </v>
      </c>
      <c r="V123" s="47" t="str">
        <f ca="1"/>
        <v xml:space="preserve">Раствор 1(тв): </v>
      </c>
      <c r="W123" s="47" t="str">
        <f ca="1"/>
        <v xml:space="preserve">Раствор 1(тв): </v>
      </c>
      <c r="X123" s="47" t="str">
        <f ca="1"/>
        <v xml:space="preserve">Раствор 1(тв): </v>
      </c>
      <c r="Y123" s="47" t="str">
        <f ca="1"/>
        <v xml:space="preserve">Раствор 1(тв): </v>
      </c>
      <c r="Z123" s="47" t="str">
        <f ca="1"/>
        <v xml:space="preserve">Раствор 1(тв): </v>
      </c>
      <c r="AA123" s="47" t="str">
        <f ca="1"/>
        <v xml:space="preserve">Раствор 1(тв): </v>
      </c>
      <c r="AB123" s="47" t="str">
        <f ca="1"/>
        <v xml:space="preserve">Раствор 1(тв): </v>
      </c>
      <c r="AC123" s="47" t="str">
        <f ca="1"/>
        <v xml:space="preserve">Раствор 1(тв): </v>
      </c>
      <c r="AD123" s="47" t="str">
        <f ca="1"/>
        <v xml:space="preserve">Раствор 1(тв): </v>
      </c>
      <c r="AE123" s="47" t="str">
        <f ca="1"/>
        <v xml:space="preserve">Раствор 1(тв): </v>
      </c>
      <c r="AF123" s="47" t="str">
        <f ca="1"/>
        <v xml:space="preserve">Раствор 1(тв): </v>
      </c>
      <c r="AG123" s="47" t="str">
        <f ca="1"/>
        <v xml:space="preserve">Раствор 1(тв): </v>
      </c>
      <c r="AH123" s="47" t="str">
        <f ca="1"/>
        <v xml:space="preserve">Раствор 1(тв): </v>
      </c>
      <c r="AI123" s="47" t="str">
        <f ca="1"/>
        <v xml:space="preserve">Раствор 1(тв): </v>
      </c>
      <c r="AJ123" s="47" t="str">
        <f ca="1"/>
        <v xml:space="preserve">Раствор 1(тв): </v>
      </c>
      <c r="AK123" s="47" t="str">
        <f ca="1"/>
        <v xml:space="preserve">Раствор 1(тв): </v>
      </c>
      <c r="AL123" s="47" t="str">
        <f ca="1"/>
        <v xml:space="preserve">Раствор 1(тв): </v>
      </c>
      <c r="AM123" s="47" t="str">
        <f ca="1"/>
        <v xml:space="preserve">Раствор 1(тв): </v>
      </c>
      <c r="AN123" s="47" t="str">
        <f ca="1"/>
        <v xml:space="preserve">Раствор 1(тв): </v>
      </c>
      <c r="AO123" s="47" t="str">
        <f ca="1"/>
        <v xml:space="preserve">Раствор 1(тв): </v>
      </c>
      <c r="AP123" s="47" t="str">
        <f ca="1"/>
        <v xml:space="preserve">Раствор 1(тв): </v>
      </c>
      <c r="AQ123" s="47" t="str">
        <f ca="1"/>
        <v xml:space="preserve">Раствор 1(тв): </v>
      </c>
      <c r="AR123" s="47" t="str">
        <f ca="1"/>
        <v xml:space="preserve">Раствор 1(тв): </v>
      </c>
      <c r="AS123" s="47" t="str">
        <f ca="1"/>
        <v xml:space="preserve">Раствор 1(тв): </v>
      </c>
      <c r="AT123" s="47" t="str">
        <f ca="1"/>
        <v xml:space="preserve">Раствор 1(тв): </v>
      </c>
      <c r="AU123" s="47" t="str">
        <f ca="1"/>
        <v xml:space="preserve">Раствор 1(тв): </v>
      </c>
      <c r="AV123" s="47" t="str">
        <f ca="1"/>
        <v xml:space="preserve">Раствор 1(тв): </v>
      </c>
      <c r="AW123" s="47" t="str">
        <f ca="1"/>
        <v xml:space="preserve">Раствор 1(тв): </v>
      </c>
      <c r="AX123" s="47" t="str">
        <f ca="1"/>
        <v xml:space="preserve">Раствор 1(тв): </v>
      </c>
      <c r="AY123" s="47" t="str">
        <f ca="1"/>
        <v xml:space="preserve">Раствор 1(тв): </v>
      </c>
      <c r="AZ123" s="47" t="str">
        <f ca="1"/>
        <v xml:space="preserve">Раствор 1(тв): </v>
      </c>
      <c r="BA123" s="47" t="str">
        <f ca="1"/>
        <v xml:space="preserve">Раствор 1(тв): </v>
      </c>
      <c r="BB123" s="47" t="str">
        <f ca="1"/>
        <v xml:space="preserve">Раствор 1(тв): </v>
      </c>
      <c r="BC123" s="47" t="str">
        <f ca="1"/>
        <v xml:space="preserve">Раствор 1(тв): </v>
      </c>
      <c r="BD123" s="47" t="str">
        <f ca="1"/>
        <v xml:space="preserve">Раствор 1(тв): </v>
      </c>
      <c r="BE123" s="47" t="str">
        <f ca="1"/>
        <v xml:space="preserve">Раствор 1(тв): </v>
      </c>
      <c r="BF123" s="47" t="str">
        <f ca="1"/>
        <v xml:space="preserve">Раствор 1(тв): </v>
      </c>
      <c r="BG123" s="47" t="str">
        <f ca="1"/>
        <v xml:space="preserve">Раствор 1(тв): </v>
      </c>
      <c r="BH123" s="47" t="str">
        <f ca="1"/>
        <v xml:space="preserve">Раствор 1(тв): </v>
      </c>
      <c r="BI123" s="47" t="str">
        <f ca="1"/>
        <v xml:space="preserve">Раствор 1(тв): </v>
      </c>
      <c r="BJ123" s="47" t="str">
        <f ca="1"/>
        <v xml:space="preserve">Раствор 1(тв): </v>
      </c>
      <c r="BK123" s="47" t="str">
        <f ca="1"/>
        <v xml:space="preserve">Раствор 1(тв): </v>
      </c>
      <c r="BL123" s="47" t="str">
        <f ca="1"/>
        <v xml:space="preserve">Раствор 1(тв): </v>
      </c>
      <c r="BM123" s="47" t="str">
        <f ca="1"/>
        <v xml:space="preserve">Раствор 1(тв): </v>
      </c>
      <c r="BN123" s="47" t="str">
        <f ca="1"/>
        <v xml:space="preserve">Раствор 1(тв): </v>
      </c>
      <c r="BO123" s="47" t="str">
        <f ca="1"/>
        <v xml:space="preserve">Раствор 1(тв): </v>
      </c>
      <c r="BP123" s="47" t="str">
        <f ca="1"/>
        <v xml:space="preserve">Раствор 1(тв): </v>
      </c>
      <c r="BQ123" s="47" t="str">
        <f ca="1"/>
        <v xml:space="preserve">Раствор 1(тв): </v>
      </c>
      <c r="BR123" s="47" t="str">
        <f ca="1"/>
        <v xml:space="preserve">Раствор 1(тв): 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str">
        <f ca="1"/>
        <v xml:space="preserve">Раствор 3 (жид): </v>
      </c>
      <c r="G124" s="47" t="str">
        <f ca="1"/>
        <v xml:space="preserve">Раствор 3 (жид): </v>
      </c>
      <c r="H124" s="47" t="str">
        <f ca="1"/>
        <v xml:space="preserve">Раствор 3 (жид): </v>
      </c>
      <c r="I124" s="47" t="str">
        <f ca="1"/>
        <v xml:space="preserve">Раствор 3 (жид): </v>
      </c>
      <c r="J124" s="47" t="str">
        <f ca="1"/>
        <v xml:space="preserve">Раствор 3 (жид): </v>
      </c>
      <c r="K124" s="47" t="str">
        <f ca="1"/>
        <v xml:space="preserve">Раствор 3 (жид): </v>
      </c>
      <c r="L124" s="47" t="str">
        <f ca="1"/>
        <v xml:space="preserve">Раствор 3 (жид): </v>
      </c>
      <c r="M124" s="47" t="str">
        <f ca="1"/>
        <v xml:space="preserve">Раствор 3 (жид): </v>
      </c>
      <c r="N124" s="47" t="str">
        <f ca="1"/>
        <v xml:space="preserve">Раствор 3 (жид): </v>
      </c>
      <c r="O124" s="47" t="str">
        <f ca="1"/>
        <v xml:space="preserve">Раствор 3 (жид): </v>
      </c>
      <c r="P124" s="47" t="str">
        <f ca="1"/>
        <v xml:space="preserve">Раствор 3 (жид): </v>
      </c>
      <c r="Q124" s="47" t="str">
        <f ca="1"/>
        <v xml:space="preserve">Раствор 3 (жид): </v>
      </c>
      <c r="R124" s="47" t="str">
        <f ca="1"/>
        <v xml:space="preserve">Раствор 3 (жид): </v>
      </c>
      <c r="S124" s="47" t="str">
        <f ca="1"/>
        <v xml:space="preserve">Раствор 3 (жид): </v>
      </c>
      <c r="T124" s="47" t="str">
        <f ca="1"/>
        <v xml:space="preserve">Раствор 3 (жид): </v>
      </c>
      <c r="U124" s="47" t="str">
        <f ca="1"/>
        <v xml:space="preserve">Раствор 3 (жид): </v>
      </c>
      <c r="V124" s="47" t="str">
        <f ca="1"/>
        <v xml:space="preserve">Раствор 3 (жид): </v>
      </c>
      <c r="W124" s="47" t="str">
        <f ca="1"/>
        <v xml:space="preserve">Раствор 3 (жид): </v>
      </c>
      <c r="X124" s="47" t="str">
        <f ca="1"/>
        <v xml:space="preserve">Раствор 3 (жид): </v>
      </c>
      <c r="Y124" s="47" t="str">
        <f ca="1"/>
        <v xml:space="preserve">Раствор 3 (жид): </v>
      </c>
      <c r="Z124" s="47" t="str">
        <f ca="1"/>
        <v xml:space="preserve">Раствор 3 (жид): </v>
      </c>
      <c r="AA124" s="47" t="str">
        <f ca="1"/>
        <v xml:space="preserve">Раствор 3 (жид): </v>
      </c>
      <c r="AB124" s="47" t="str">
        <f ca="1"/>
        <v xml:space="preserve">Раствор 3 (жид): </v>
      </c>
      <c r="AC124" s="47" t="str">
        <f ca="1"/>
        <v xml:space="preserve">Раствор 3 (жид): </v>
      </c>
      <c r="AD124" s="47" t="str">
        <f ca="1"/>
        <v xml:space="preserve">Раствор 3 (жид): </v>
      </c>
      <c r="AE124" s="47" t="str">
        <f ca="1"/>
        <v xml:space="preserve">Раствор 3 (жид): </v>
      </c>
      <c r="AF124" s="47" t="str">
        <f ca="1"/>
        <v xml:space="preserve">Раствор 3 (жид): </v>
      </c>
      <c r="AG124" s="47" t="str">
        <f ca="1"/>
        <v xml:space="preserve">Раствор 3 (жид): </v>
      </c>
      <c r="AH124" s="47" t="str">
        <f ca="1"/>
        <v xml:space="preserve">Раствор 3 (жид): </v>
      </c>
      <c r="AI124" s="47" t="str">
        <f ca="1"/>
        <v xml:space="preserve">Раствор 3 (жид): </v>
      </c>
      <c r="AJ124" s="47" t="str">
        <f ca="1"/>
        <v xml:space="preserve">Раствор 3 (жид): </v>
      </c>
      <c r="AK124" s="47" t="str">
        <f ca="1"/>
        <v xml:space="preserve">Раствор 3 (жид): </v>
      </c>
      <c r="AL124" s="47" t="str">
        <f ca="1"/>
        <v xml:space="preserve">Раствор 3 (жид): </v>
      </c>
      <c r="AM124" s="47" t="str">
        <f ca="1"/>
        <v xml:space="preserve">Раствор 3 (жид): </v>
      </c>
      <c r="AN124" s="47" t="str">
        <f ca="1"/>
        <v xml:space="preserve">Раствор 3 (жид): </v>
      </c>
      <c r="AO124" s="47" t="str">
        <f ca="1"/>
        <v xml:space="preserve">Раствор 3 (жид): </v>
      </c>
      <c r="AP124" s="47" t="str">
        <f ca="1"/>
        <v xml:space="preserve">Раствор 3 (жид): </v>
      </c>
      <c r="AQ124" s="47" t="str">
        <f ca="1"/>
        <v xml:space="preserve">Раствор 3 (жид): </v>
      </c>
      <c r="AR124" s="47" t="str">
        <f ca="1"/>
        <v xml:space="preserve">Раствор 3 (жид): </v>
      </c>
      <c r="AS124" s="47" t="str">
        <f ca="1"/>
        <v xml:space="preserve">Раствор 3 (жид): </v>
      </c>
      <c r="AT124" s="47" t="str">
        <f ca="1"/>
        <v xml:space="preserve">Раствор 3 (жид): </v>
      </c>
      <c r="AU124" s="47" t="str">
        <f ca="1"/>
        <v xml:space="preserve">Раствор 3 (жид): </v>
      </c>
      <c r="AV124" s="47" t="str">
        <f ca="1"/>
        <v xml:space="preserve">Раствор 3 (жид): </v>
      </c>
      <c r="AW124" s="47" t="str">
        <f ca="1"/>
        <v xml:space="preserve">Раствор 3 (жид): </v>
      </c>
      <c r="AX124" s="47" t="str">
        <f ca="1"/>
        <v xml:space="preserve">Раствор 3 (жид): </v>
      </c>
      <c r="AY124" s="47" t="str">
        <f ca="1"/>
        <v xml:space="preserve">Раствор 3 (жид): </v>
      </c>
      <c r="AZ124" s="47" t="str">
        <f ca="1"/>
        <v xml:space="preserve">Раствор 3 (жид): </v>
      </c>
      <c r="BA124" s="47" t="str">
        <f ca="1"/>
        <v xml:space="preserve">Раствор 3 (жид): </v>
      </c>
      <c r="BB124" s="47" t="str">
        <f ca="1"/>
        <v xml:space="preserve">Раствор 3 (жид): </v>
      </c>
      <c r="BC124" s="47" t="str">
        <f ca="1"/>
        <v xml:space="preserve">Раствор 3 (жид): </v>
      </c>
      <c r="BD124" s="47" t="str">
        <f ca="1"/>
        <v xml:space="preserve">Раствор 3 (жид): </v>
      </c>
      <c r="BE124" s="47" t="str">
        <f ca="1"/>
        <v xml:space="preserve">Раствор 3 (жид): </v>
      </c>
      <c r="BF124" s="47" t="str">
        <f ca="1"/>
        <v xml:space="preserve">Раствор 3 (жид): </v>
      </c>
      <c r="BG124" s="47" t="str">
        <f ca="1"/>
        <v xml:space="preserve">Раствор 3 (жид): </v>
      </c>
      <c r="BH124" s="47" t="str">
        <f ca="1"/>
        <v xml:space="preserve">Раствор 3 (жид): </v>
      </c>
      <c r="BI124" s="47" t="str">
        <f ca="1"/>
        <v xml:space="preserve">Раствор 3 (жид): </v>
      </c>
      <c r="BJ124" s="47" t="str">
        <f ca="1"/>
        <v xml:space="preserve">Раствор 3 (жид): </v>
      </c>
      <c r="BK124" s="47" t="str">
        <f ca="1"/>
        <v xml:space="preserve">Раствор 3 (жид): </v>
      </c>
      <c r="BL124" s="47" t="str">
        <f ca="1"/>
        <v xml:space="preserve">Раствор 3 (жид): </v>
      </c>
      <c r="BM124" s="47" t="str">
        <f ca="1"/>
        <v xml:space="preserve">Раствор 3 (жид): </v>
      </c>
      <c r="BN124" s="47" t="str">
        <f ca="1"/>
        <v xml:space="preserve">Раствор 3 (жид): </v>
      </c>
      <c r="BO124" s="47" t="str">
        <f ca="1"/>
        <v xml:space="preserve">Раствор 3 (жид): </v>
      </c>
      <c r="BP124" s="47" t="str">
        <f ca="1"/>
        <v xml:space="preserve">Раствор 3 (жид): </v>
      </c>
      <c r="BQ124" s="47" t="str">
        <f ca="1"/>
        <v xml:space="preserve">Раствор 3 (жид): </v>
      </c>
      <c r="BR124" s="47" t="str">
        <f ca="1"/>
        <v xml:space="preserve">Раствор 3 (жид): 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str">
        <f ca="1"/>
        <v xml:space="preserve">Газовая без Ar: </v>
      </c>
      <c r="G125" s="47" t="str">
        <f ca="1"/>
        <v xml:space="preserve">Газовая без Ar: </v>
      </c>
      <c r="H125" s="47" t="str">
        <f ca="1"/>
        <v xml:space="preserve">Газовая без Ar: </v>
      </c>
      <c r="I125" s="47" t="str">
        <f ca="1"/>
        <v xml:space="preserve">Газовая без Ar: </v>
      </c>
      <c r="J125" s="47" t="str">
        <f ca="1"/>
        <v xml:space="preserve">Газовая без Ar: </v>
      </c>
      <c r="K125" s="47" t="str">
        <f ca="1"/>
        <v xml:space="preserve">Газовая без Ar: </v>
      </c>
      <c r="L125" s="47" t="str">
        <f ca="1"/>
        <v xml:space="preserve">Газовая без Ar: </v>
      </c>
      <c r="M125" s="47" t="str">
        <f ca="1"/>
        <v xml:space="preserve">Газовая без Ar: </v>
      </c>
      <c r="N125" s="47" t="str">
        <f ca="1"/>
        <v xml:space="preserve">Газовая без Ar: </v>
      </c>
      <c r="O125" s="47" t="str">
        <f ca="1"/>
        <v xml:space="preserve">Газовая без Ar: </v>
      </c>
      <c r="P125" s="47" t="str">
        <f ca="1"/>
        <v xml:space="preserve">Газовая без Ar: </v>
      </c>
      <c r="Q125" s="47" t="str">
        <f ca="1"/>
        <v xml:space="preserve">Газовая без Ar: </v>
      </c>
      <c r="R125" s="47" t="str">
        <f ca="1"/>
        <v xml:space="preserve">Газовая без Ar: </v>
      </c>
      <c r="S125" s="47" t="str">
        <f ca="1"/>
        <v xml:space="preserve">Газовая без Ar: </v>
      </c>
      <c r="T125" s="47" t="str">
        <f ca="1"/>
        <v xml:space="preserve">Газовая без Ar: </v>
      </c>
      <c r="U125" s="47" t="str">
        <f ca="1"/>
        <v xml:space="preserve">Газовая без Ar: </v>
      </c>
      <c r="V125" s="47" t="str">
        <f ca="1"/>
        <v xml:space="preserve">Газовая без Ar: </v>
      </c>
      <c r="W125" s="47" t="str">
        <f ca="1"/>
        <v xml:space="preserve">Газовая без Ar: </v>
      </c>
      <c r="X125" s="47" t="str">
        <f ca="1"/>
        <v xml:space="preserve">Газовая без Ar: </v>
      </c>
      <c r="Y125" s="47" t="str">
        <f ca="1"/>
        <v xml:space="preserve">Газовая без Ar: </v>
      </c>
      <c r="Z125" s="47" t="str">
        <f ca="1"/>
        <v xml:space="preserve">Газовая без Ar: </v>
      </c>
      <c r="AA125" s="47" t="str">
        <f ca="1"/>
        <v xml:space="preserve">Газовая без Ar: </v>
      </c>
      <c r="AB125" s="47" t="str">
        <f ca="1"/>
        <v xml:space="preserve">Газовая без Ar: </v>
      </c>
      <c r="AC125" s="47" t="str">
        <f ca="1"/>
        <v xml:space="preserve">Газовая без Ar: </v>
      </c>
      <c r="AD125" s="47" t="str">
        <f ca="1"/>
        <v xml:space="preserve">Газовая без Ar: </v>
      </c>
      <c r="AE125" s="47" t="str">
        <f ca="1"/>
        <v xml:space="preserve">Газовая без Ar: </v>
      </c>
      <c r="AF125" s="47" t="str">
        <f ca="1"/>
        <v xml:space="preserve">Газовая без Ar: </v>
      </c>
      <c r="AG125" s="47" t="str">
        <f ca="1"/>
        <v xml:space="preserve">Газовая без Ar: </v>
      </c>
      <c r="AH125" s="47" t="str">
        <f ca="1"/>
        <v xml:space="preserve">Газовая без Ar: </v>
      </c>
      <c r="AI125" s="47" t="str">
        <f ca="1"/>
        <v xml:space="preserve">Газовая без Ar: </v>
      </c>
      <c r="AJ125" s="47" t="str">
        <f ca="1"/>
        <v xml:space="preserve">Газовая без Ar: </v>
      </c>
      <c r="AK125" s="47" t="str">
        <f ca="1"/>
        <v xml:space="preserve">Газовая без Ar: </v>
      </c>
      <c r="AL125" s="47" t="str">
        <f ca="1"/>
        <v xml:space="preserve">Газовая без Ar: </v>
      </c>
      <c r="AM125" s="47" t="str">
        <f ca="1"/>
        <v xml:space="preserve">Газовая без Ar: </v>
      </c>
      <c r="AN125" s="47" t="str">
        <f ca="1"/>
        <v xml:space="preserve">Газовая без Ar: </v>
      </c>
      <c r="AO125" s="47" t="str">
        <f ca="1"/>
        <v xml:space="preserve">Газовая без Ar: </v>
      </c>
      <c r="AP125" s="47" t="str">
        <f ca="1"/>
        <v xml:space="preserve">Газовая без Ar: </v>
      </c>
      <c r="AQ125" s="47" t="str">
        <f ca="1"/>
        <v xml:space="preserve">Газовая без Ar: </v>
      </c>
      <c r="AR125" s="47" t="str">
        <f ca="1"/>
        <v xml:space="preserve">Газовая без Ar: </v>
      </c>
      <c r="AS125" s="47" t="str">
        <f ca="1"/>
        <v xml:space="preserve">Газовая без Ar: </v>
      </c>
      <c r="AT125" s="47" t="str">
        <f ca="1"/>
        <v xml:space="preserve">Газовая без Ar: </v>
      </c>
      <c r="AU125" s="47" t="str">
        <f ca="1"/>
        <v xml:space="preserve">Газовая без Ar: </v>
      </c>
      <c r="AV125" s="47" t="str">
        <f ca="1"/>
        <v xml:space="preserve">Газовая без Ar: </v>
      </c>
      <c r="AW125" s="47" t="str">
        <f ca="1"/>
        <v xml:space="preserve">Газовая без Ar: </v>
      </c>
      <c r="AX125" s="47" t="str">
        <f ca="1"/>
        <v xml:space="preserve">Газовая без Ar: </v>
      </c>
      <c r="AY125" s="47" t="str">
        <f ca="1"/>
        <v xml:space="preserve">Газовая без Ar: </v>
      </c>
      <c r="AZ125" s="47" t="str">
        <f ca="1"/>
        <v xml:space="preserve">Газовая без Ar: </v>
      </c>
      <c r="BA125" s="47" t="str">
        <f ca="1"/>
        <v xml:space="preserve">Газовая без Ar: </v>
      </c>
      <c r="BB125" s="47" t="str">
        <f ca="1"/>
        <v xml:space="preserve">Газовая без Ar: </v>
      </c>
      <c r="BC125" s="47" t="str">
        <f ca="1"/>
        <v xml:space="preserve">Газовая без Ar: </v>
      </c>
      <c r="BD125" s="47" t="str">
        <f ca="1"/>
        <v xml:space="preserve">Газовая без Ar: </v>
      </c>
      <c r="BE125" s="47" t="str">
        <f ca="1"/>
        <v xml:space="preserve">Газовая без Ar: </v>
      </c>
      <c r="BF125" s="47" t="str">
        <f ca="1"/>
        <v xml:space="preserve">Газовая без Ar: </v>
      </c>
      <c r="BG125" s="47" t="str">
        <f ca="1"/>
        <v xml:space="preserve">Газовая без Ar: </v>
      </c>
      <c r="BH125" s="47" t="str">
        <f ca="1"/>
        <v xml:space="preserve">Газовая без Ar: </v>
      </c>
      <c r="BI125" s="47" t="str">
        <f ca="1"/>
        <v xml:space="preserve">Газовая без Ar: </v>
      </c>
      <c r="BJ125" s="47" t="str">
        <f ca="1"/>
        <v xml:space="preserve">Газовая без Ar: </v>
      </c>
      <c r="BK125" s="47" t="str">
        <f ca="1"/>
        <v xml:space="preserve">Газовая без Ar: </v>
      </c>
      <c r="BL125" s="47" t="str">
        <f ca="1"/>
        <v xml:space="preserve">Газовая без Ar: </v>
      </c>
      <c r="BM125" s="47" t="str">
        <f ca="1"/>
        <v xml:space="preserve">Газовая без Ar: </v>
      </c>
      <c r="BN125" s="47" t="str">
        <f ca="1"/>
        <v xml:space="preserve">Газовая без Ar: </v>
      </c>
      <c r="BO125" s="47" t="str">
        <f ca="1"/>
        <v xml:space="preserve">Газовая без Ar: </v>
      </c>
      <c r="BP125" s="47" t="str">
        <f ca="1"/>
        <v xml:space="preserve">Газовая без Ar: </v>
      </c>
      <c r="BQ125" s="47" t="str">
        <f ca="1"/>
        <v xml:space="preserve">Газовая без Ar: </v>
      </c>
      <c r="BR125" s="47" t="str">
        <f ca="1"/>
        <v xml:space="preserve">Газовая без Ar: 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str">
        <f ca="1"/>
        <v xml:space="preserve">Раствор 1 + газовая без Ar: </v>
      </c>
      <c r="G126" s="47" t="str">
        <f ca="1"/>
        <v xml:space="preserve">Раствор 1 + газовая без Ar: </v>
      </c>
      <c r="H126" s="47" t="str">
        <f ca="1"/>
        <v xml:space="preserve">Раствор 1 + газовая без Ar: </v>
      </c>
      <c r="I126" s="47" t="str">
        <f ca="1"/>
        <v xml:space="preserve">Раствор 1 + газовая без Ar: </v>
      </c>
      <c r="J126" s="47" t="str">
        <f ca="1"/>
        <v xml:space="preserve">Раствор 1 + газовая без Ar: </v>
      </c>
      <c r="K126" s="47" t="str">
        <f ca="1"/>
        <v xml:space="preserve">Раствор 1 + газовая без Ar: </v>
      </c>
      <c r="L126" s="47" t="str">
        <f ca="1"/>
        <v xml:space="preserve">Раствор 1 + газовая без Ar: </v>
      </c>
      <c r="M126" s="47" t="str">
        <f ca="1"/>
        <v xml:space="preserve">Раствор 1 + газовая без Ar: </v>
      </c>
      <c r="N126" s="47" t="str">
        <f ca="1"/>
        <v xml:space="preserve">Раствор 1 + газовая без Ar: </v>
      </c>
      <c r="O126" s="47" t="str">
        <f ca="1"/>
        <v xml:space="preserve">Раствор 1 + газовая без Ar: </v>
      </c>
      <c r="P126" s="47" t="str">
        <f ca="1"/>
        <v xml:space="preserve">Раствор 1 + газовая без Ar: </v>
      </c>
      <c r="Q126" s="47" t="str">
        <f ca="1"/>
        <v xml:space="preserve">Раствор 1 + газовая без Ar: </v>
      </c>
      <c r="R126" s="47" t="str">
        <f ca="1"/>
        <v xml:space="preserve">Раствор 1 + газовая без Ar: </v>
      </c>
      <c r="S126" s="47" t="str">
        <f ca="1"/>
        <v xml:space="preserve">Раствор 1 + газовая без Ar: </v>
      </c>
      <c r="T126" s="47" t="str">
        <f ca="1"/>
        <v xml:space="preserve">Раствор 1 + газовая без Ar: </v>
      </c>
      <c r="U126" s="47" t="str">
        <f ca="1"/>
        <v xml:space="preserve">Раствор 1 + газовая без Ar: </v>
      </c>
      <c r="V126" s="47" t="str">
        <f ca="1"/>
        <v xml:space="preserve">Раствор 1 + газовая без Ar: </v>
      </c>
      <c r="W126" s="47" t="str">
        <f ca="1"/>
        <v xml:space="preserve">Раствор 1 + газовая без Ar: </v>
      </c>
      <c r="X126" s="47" t="str">
        <f ca="1"/>
        <v xml:space="preserve">Раствор 1 + газовая без Ar: </v>
      </c>
      <c r="Y126" s="47" t="str">
        <f ca="1"/>
        <v xml:space="preserve">Раствор 1 + газовая без Ar: </v>
      </c>
      <c r="Z126" s="47" t="str">
        <f ca="1"/>
        <v xml:space="preserve">Раствор 1 + газовая без Ar: </v>
      </c>
      <c r="AA126" s="47" t="str">
        <f ca="1"/>
        <v xml:space="preserve">Раствор 1 + газовая без Ar: </v>
      </c>
      <c r="AB126" s="47" t="str">
        <f ca="1"/>
        <v xml:space="preserve">Раствор 1 + газовая без Ar: </v>
      </c>
      <c r="AC126" s="47" t="str">
        <f ca="1"/>
        <v xml:space="preserve">Раствор 1 + газовая без Ar: </v>
      </c>
      <c r="AD126" s="47" t="str">
        <f ca="1"/>
        <v xml:space="preserve">Раствор 1 + газовая без Ar: </v>
      </c>
      <c r="AE126" s="47" t="str">
        <f ca="1"/>
        <v xml:space="preserve">Раствор 1 + газовая без Ar: </v>
      </c>
      <c r="AF126" s="47" t="str">
        <f ca="1"/>
        <v xml:space="preserve">Раствор 1 + газовая без Ar: </v>
      </c>
      <c r="AG126" s="47" t="str">
        <f ca="1"/>
        <v xml:space="preserve">Раствор 1 + газовая без Ar: </v>
      </c>
      <c r="AH126" s="47" t="str">
        <f ca="1"/>
        <v xml:space="preserve">Раствор 1 + газовая без Ar: </v>
      </c>
      <c r="AI126" s="47" t="str">
        <f ca="1"/>
        <v xml:space="preserve">Раствор 1 + газовая без Ar: </v>
      </c>
      <c r="AJ126" s="47" t="str">
        <f ca="1"/>
        <v xml:space="preserve">Раствор 1 + газовая без Ar: </v>
      </c>
      <c r="AK126" s="47" t="str">
        <f ca="1"/>
        <v xml:space="preserve">Раствор 1 + газовая без Ar: </v>
      </c>
      <c r="AL126" s="47" t="str">
        <f ca="1"/>
        <v xml:space="preserve">Раствор 1 + газовая без Ar: </v>
      </c>
      <c r="AM126" s="47" t="str">
        <f ca="1"/>
        <v xml:space="preserve">Раствор 1 + газовая без Ar: </v>
      </c>
      <c r="AN126" s="47" t="str">
        <f ca="1"/>
        <v xml:space="preserve">Раствор 1 + газовая без Ar: </v>
      </c>
      <c r="AO126" s="47" t="str">
        <f ca="1"/>
        <v xml:space="preserve">Раствор 1 + газовая без Ar: </v>
      </c>
      <c r="AP126" s="47" t="str">
        <f ca="1"/>
        <v xml:space="preserve">Раствор 1 + газовая без Ar: </v>
      </c>
      <c r="AQ126" s="47" t="str">
        <f ca="1"/>
        <v xml:space="preserve">Раствор 1 + газовая без Ar: </v>
      </c>
      <c r="AR126" s="47" t="str">
        <f ca="1"/>
        <v xml:space="preserve">Раствор 1 + газовая без Ar: </v>
      </c>
      <c r="AS126" s="47" t="str">
        <f ca="1"/>
        <v xml:space="preserve">Раствор 1 + газовая без Ar: </v>
      </c>
      <c r="AT126" s="47" t="str">
        <f ca="1"/>
        <v xml:space="preserve">Раствор 1 + газовая без Ar: </v>
      </c>
      <c r="AU126" s="47" t="str">
        <f ca="1"/>
        <v xml:space="preserve">Раствор 1 + газовая без Ar: </v>
      </c>
      <c r="AV126" s="47" t="str">
        <f ca="1"/>
        <v xml:space="preserve">Раствор 1 + газовая без Ar: </v>
      </c>
      <c r="AW126" s="47" t="str">
        <f ca="1"/>
        <v xml:space="preserve">Раствор 1 + газовая без Ar: </v>
      </c>
      <c r="AX126" s="47" t="str">
        <f ca="1"/>
        <v xml:space="preserve">Раствор 1 + газовая без Ar: </v>
      </c>
      <c r="AY126" s="47" t="str">
        <f ca="1"/>
        <v xml:space="preserve">Раствор 1 + газовая без Ar: </v>
      </c>
      <c r="AZ126" s="47" t="str">
        <f ca="1"/>
        <v xml:space="preserve">Раствор 1 + газовая без Ar: </v>
      </c>
      <c r="BA126" s="47" t="str">
        <f ca="1"/>
        <v xml:space="preserve">Раствор 1 + газовая без Ar: </v>
      </c>
      <c r="BB126" s="47" t="str">
        <f ca="1"/>
        <v xml:space="preserve">Раствор 1 + газовая без Ar: </v>
      </c>
      <c r="BC126" s="47" t="str">
        <f ca="1"/>
        <v xml:space="preserve">Раствор 1 + газовая без Ar: </v>
      </c>
      <c r="BD126" s="47" t="str">
        <f ca="1"/>
        <v xml:space="preserve">Раствор 1 + газовая без Ar: </v>
      </c>
      <c r="BE126" s="47" t="str">
        <f ca="1"/>
        <v xml:space="preserve">Раствор 1 + газовая без Ar: </v>
      </c>
      <c r="BF126" s="47" t="str">
        <f ca="1"/>
        <v xml:space="preserve">Раствор 1 + газовая без Ar: </v>
      </c>
      <c r="BG126" s="47" t="str">
        <f ca="1"/>
        <v xml:space="preserve">Раствор 1 + газовая без Ar: </v>
      </c>
      <c r="BH126" s="47" t="str">
        <f ca="1"/>
        <v xml:space="preserve">Раствор 1 + газовая без Ar: </v>
      </c>
      <c r="BI126" s="47" t="str">
        <f ca="1"/>
        <v xml:space="preserve">Раствор 1 + газовая без Ar: </v>
      </c>
      <c r="BJ126" s="47" t="str">
        <f ca="1"/>
        <v xml:space="preserve">Раствор 1 + газовая без Ar: </v>
      </c>
      <c r="BK126" s="47" t="str">
        <f ca="1"/>
        <v xml:space="preserve">Раствор 1 + газовая без Ar: </v>
      </c>
      <c r="BL126" s="47" t="str">
        <f ca="1"/>
        <v xml:space="preserve">Раствор 1 + газовая без Ar: </v>
      </c>
      <c r="BM126" s="47" t="str">
        <f ca="1"/>
        <v xml:space="preserve">Раствор 1 + газовая без Ar: </v>
      </c>
      <c r="BN126" s="47" t="str">
        <f ca="1"/>
        <v xml:space="preserve">Раствор 1 + газовая без Ar: </v>
      </c>
      <c r="BO126" s="47" t="str">
        <f ca="1"/>
        <v xml:space="preserve">Раствор 1 + газовая без Ar: </v>
      </c>
      <c r="BP126" s="47" t="str">
        <f ca="1"/>
        <v xml:space="preserve">Раствор 1 + газовая без Ar: </v>
      </c>
      <c r="BQ126" s="47" t="str">
        <f ca="1"/>
        <v xml:space="preserve">Раствор 1 + газовая без Ar: </v>
      </c>
      <c r="BR126" s="47" t="str">
        <f ca="1"/>
        <v xml:space="preserve">Раствор 1 + газовая без Ar: 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str">
        <f ca="1"/>
        <v xml:space="preserve">Раствор 3 + газовая без Ar: </v>
      </c>
      <c r="G127" s="47" t="str">
        <f ca="1"/>
        <v xml:space="preserve">Раствор 3 + газовая без Ar: </v>
      </c>
      <c r="H127" s="47" t="str">
        <f ca="1"/>
        <v xml:space="preserve">Раствор 3 + газовая без Ar: </v>
      </c>
      <c r="I127" s="47" t="str">
        <f ca="1"/>
        <v xml:space="preserve">Раствор 3 + газовая без Ar: </v>
      </c>
      <c r="J127" s="47" t="str">
        <f ca="1"/>
        <v xml:space="preserve">Раствор 3 + газовая без Ar: </v>
      </c>
      <c r="K127" s="47" t="str">
        <f ca="1"/>
        <v xml:space="preserve">Раствор 3 + газовая без Ar: </v>
      </c>
      <c r="L127" s="47" t="str">
        <f ca="1"/>
        <v xml:space="preserve">Раствор 3 + газовая без Ar: </v>
      </c>
      <c r="M127" s="47" t="str">
        <f ca="1"/>
        <v xml:space="preserve">Раствор 3 + газовая без Ar: </v>
      </c>
      <c r="N127" s="47" t="str">
        <f ca="1"/>
        <v xml:space="preserve">Раствор 3 + газовая без Ar: </v>
      </c>
      <c r="O127" s="47" t="str">
        <f ca="1"/>
        <v xml:space="preserve">Раствор 3 + газовая без Ar: </v>
      </c>
      <c r="P127" s="47" t="str">
        <f ca="1"/>
        <v xml:space="preserve">Раствор 3 + газовая без Ar: </v>
      </c>
      <c r="Q127" s="47" t="str">
        <f ca="1"/>
        <v xml:space="preserve">Раствор 3 + газовая без Ar: </v>
      </c>
      <c r="R127" s="47" t="str">
        <f ca="1"/>
        <v xml:space="preserve">Раствор 3 + газовая без Ar: </v>
      </c>
      <c r="S127" s="47" t="str">
        <f ca="1"/>
        <v xml:space="preserve">Раствор 3 + газовая без Ar: </v>
      </c>
      <c r="T127" s="47" t="str">
        <f ca="1"/>
        <v xml:space="preserve">Раствор 3 + газовая без Ar: </v>
      </c>
      <c r="U127" s="47" t="str">
        <f ca="1"/>
        <v xml:space="preserve">Раствор 3 + газовая без Ar: </v>
      </c>
      <c r="V127" s="47" t="str">
        <f ca="1"/>
        <v xml:space="preserve">Раствор 3 + газовая без Ar: </v>
      </c>
      <c r="W127" s="47" t="str">
        <f ca="1"/>
        <v xml:space="preserve">Раствор 3 + газовая без Ar: </v>
      </c>
      <c r="X127" s="47" t="str">
        <f ca="1"/>
        <v xml:space="preserve">Раствор 3 + газовая без Ar: </v>
      </c>
      <c r="Y127" s="47" t="str">
        <f ca="1"/>
        <v xml:space="preserve">Раствор 3 + газовая без Ar: </v>
      </c>
      <c r="Z127" s="47" t="str">
        <f ca="1"/>
        <v xml:space="preserve">Раствор 3 + газовая без Ar: </v>
      </c>
      <c r="AA127" s="47" t="str">
        <f ca="1"/>
        <v xml:space="preserve">Раствор 3 + газовая без Ar: </v>
      </c>
      <c r="AB127" s="47" t="str">
        <f ca="1"/>
        <v xml:space="preserve">Раствор 3 + газовая без Ar: </v>
      </c>
      <c r="AC127" s="47" t="str">
        <f ca="1"/>
        <v xml:space="preserve">Раствор 3 + газовая без Ar: </v>
      </c>
      <c r="AD127" s="47" t="str">
        <f ca="1"/>
        <v xml:space="preserve">Раствор 3 + газовая без Ar: </v>
      </c>
      <c r="AE127" s="47" t="str">
        <f ca="1"/>
        <v xml:space="preserve">Раствор 3 + газовая без Ar: </v>
      </c>
      <c r="AF127" s="47" t="str">
        <f ca="1"/>
        <v xml:space="preserve">Раствор 3 + газовая без Ar: </v>
      </c>
      <c r="AG127" s="47" t="str">
        <f ca="1"/>
        <v xml:space="preserve">Раствор 3 + газовая без Ar: </v>
      </c>
      <c r="AH127" s="47" t="str">
        <f ca="1"/>
        <v xml:space="preserve">Раствор 3 + газовая без Ar: </v>
      </c>
      <c r="AI127" s="47" t="str">
        <f ca="1"/>
        <v xml:space="preserve">Раствор 3 + газовая без Ar: </v>
      </c>
      <c r="AJ127" s="47" t="str">
        <f ca="1"/>
        <v xml:space="preserve">Раствор 3 + газовая без Ar: </v>
      </c>
      <c r="AK127" s="47" t="str">
        <f ca="1"/>
        <v xml:space="preserve">Раствор 3 + газовая без Ar: </v>
      </c>
      <c r="AL127" s="47" t="str">
        <f ca="1"/>
        <v xml:space="preserve">Раствор 3 + газовая без Ar: </v>
      </c>
      <c r="AM127" s="47" t="str">
        <f ca="1"/>
        <v xml:space="preserve">Раствор 3 + газовая без Ar: </v>
      </c>
      <c r="AN127" s="47" t="str">
        <f ca="1"/>
        <v xml:space="preserve">Раствор 3 + газовая без Ar: </v>
      </c>
      <c r="AO127" s="47" t="str">
        <f ca="1"/>
        <v xml:space="preserve">Раствор 3 + газовая без Ar: </v>
      </c>
      <c r="AP127" s="47" t="str">
        <f ca="1"/>
        <v xml:space="preserve">Раствор 3 + газовая без Ar: </v>
      </c>
      <c r="AQ127" s="47" t="str">
        <f ca="1"/>
        <v xml:space="preserve">Раствор 3 + газовая без Ar: </v>
      </c>
      <c r="AR127" s="47" t="str">
        <f ca="1"/>
        <v xml:space="preserve">Раствор 3 + газовая без Ar: </v>
      </c>
      <c r="AS127" s="47" t="str">
        <f ca="1"/>
        <v xml:space="preserve">Раствор 3 + газовая без Ar: </v>
      </c>
      <c r="AT127" s="47" t="str">
        <f ca="1"/>
        <v xml:space="preserve">Раствор 3 + газовая без Ar: </v>
      </c>
      <c r="AU127" s="47" t="str">
        <f ca="1"/>
        <v xml:space="preserve">Раствор 3 + газовая без Ar: </v>
      </c>
      <c r="AV127" s="47" t="str">
        <f ca="1"/>
        <v xml:space="preserve">Раствор 3 + газовая без Ar: </v>
      </c>
      <c r="AW127" s="47" t="str">
        <f ca="1"/>
        <v xml:space="preserve">Раствор 3 + газовая без Ar: </v>
      </c>
      <c r="AX127" s="47" t="str">
        <f ca="1"/>
        <v xml:space="preserve">Раствор 3 + газовая без Ar: </v>
      </c>
      <c r="AY127" s="47" t="str">
        <f ca="1"/>
        <v xml:space="preserve">Раствор 3 + газовая без Ar: </v>
      </c>
      <c r="AZ127" s="47" t="str">
        <f ca="1"/>
        <v xml:space="preserve">Раствор 3 + газовая без Ar: </v>
      </c>
      <c r="BA127" s="47" t="str">
        <f ca="1"/>
        <v xml:space="preserve">Раствор 3 + газовая без Ar: </v>
      </c>
      <c r="BB127" s="47" t="str">
        <f ca="1"/>
        <v xml:space="preserve">Раствор 3 + газовая без Ar: </v>
      </c>
      <c r="BC127" s="47" t="str">
        <f ca="1"/>
        <v xml:space="preserve">Раствор 3 + газовая без Ar: </v>
      </c>
      <c r="BD127" s="47" t="str">
        <f ca="1"/>
        <v xml:space="preserve">Раствор 3 + газовая без Ar: </v>
      </c>
      <c r="BE127" s="47" t="str">
        <f ca="1"/>
        <v xml:space="preserve">Раствор 3 + газовая без Ar: </v>
      </c>
      <c r="BF127" s="47" t="str">
        <f ca="1"/>
        <v xml:space="preserve">Раствор 3 + газовая без Ar: </v>
      </c>
      <c r="BG127" s="47" t="str">
        <f ca="1"/>
        <v xml:space="preserve">Раствор 3 + газовая без Ar: </v>
      </c>
      <c r="BH127" s="47" t="str">
        <f ca="1"/>
        <v xml:space="preserve">Раствор 3 + газовая без Ar: </v>
      </c>
      <c r="BI127" s="47" t="str">
        <f ca="1"/>
        <v xml:space="preserve">Раствор 3 + газовая без Ar: </v>
      </c>
      <c r="BJ127" s="47" t="str">
        <f ca="1"/>
        <v xml:space="preserve">Раствор 3 + газовая без Ar: </v>
      </c>
      <c r="BK127" s="47" t="str">
        <f ca="1"/>
        <v xml:space="preserve">Раствор 3 + газовая без Ar: </v>
      </c>
      <c r="BL127" s="47" t="str">
        <f ca="1"/>
        <v xml:space="preserve">Раствор 3 + газовая без Ar: </v>
      </c>
      <c r="BM127" s="47" t="str">
        <f ca="1"/>
        <v xml:space="preserve">Раствор 3 + газовая без Ar: </v>
      </c>
      <c r="BN127" s="47" t="str">
        <f ca="1"/>
        <v xml:space="preserve">Раствор 3 + газовая без Ar: </v>
      </c>
      <c r="BO127" s="47" t="str">
        <f ca="1"/>
        <v xml:space="preserve">Раствор 3 + газовая без Ar: </v>
      </c>
      <c r="BP127" s="47" t="str">
        <f ca="1"/>
        <v xml:space="preserve">Раствор 3 + газовая без Ar: </v>
      </c>
      <c r="BQ127" s="47" t="str">
        <f ca="1"/>
        <v xml:space="preserve">Раствор 3 + газовая без Ar: </v>
      </c>
      <c r="BR127" s="47" t="str">
        <f ca="1"/>
        <v xml:space="preserve">Раствор 3 + газовая без Ar: </v>
      </c>
    </row>
    <row r="128" spans="1:71" ht="21" hidden="1" customHeight="1" outlineLevel="1" thickBot="1" x14ac:dyDescent="0.4">
      <c r="E128" s="17" t="str">
        <f ca="1"/>
        <v>Р1+Р3+газ без Ar</v>
      </c>
      <c r="F128" s="47" t="str">
        <f ca="1"/>
        <v>Р1+Р3+газ без Ar</v>
      </c>
      <c r="G128" s="47" t="str">
        <f ca="1"/>
        <v>Р1+Р3+газ без Ar</v>
      </c>
      <c r="H128" s="47" t="str">
        <f ca="1"/>
        <v>Р1+Р3+газ без Ar</v>
      </c>
      <c r="I128" s="47" t="str">
        <f ca="1"/>
        <v>Р1+Р3+газ без Ar</v>
      </c>
      <c r="J128" s="47" t="str">
        <f ca="1"/>
        <v>Р1+Р3+газ без Ar</v>
      </c>
      <c r="K128" s="47" t="str">
        <f ca="1"/>
        <v>Р1+Р3+газ без Ar</v>
      </c>
      <c r="L128" s="47" t="str">
        <f ca="1"/>
        <v>Р1+Р3+газ без Ar</v>
      </c>
      <c r="M128" s="47" t="str">
        <f ca="1"/>
        <v>Р1+Р3+газ без Ar</v>
      </c>
      <c r="N128" s="47" t="str">
        <f ca="1"/>
        <v>Р1+Р3+газ без Ar</v>
      </c>
      <c r="O128" s="47" t="str">
        <f ca="1"/>
        <v>Р1+Р3+газ без Ar</v>
      </c>
      <c r="P128" s="47" t="str">
        <f ca="1"/>
        <v>Р1+Р3+газ без Ar</v>
      </c>
      <c r="Q128" s="47" t="str">
        <f ca="1"/>
        <v>Р1+Р3+газ без Ar</v>
      </c>
      <c r="R128" s="47" t="str">
        <f ca="1"/>
        <v>Р1+Р3+газ без Ar</v>
      </c>
      <c r="S128" s="47" t="str">
        <f ca="1"/>
        <v>Р1+Р3+газ без Ar</v>
      </c>
      <c r="T128" s="47" t="str">
        <f ca="1"/>
        <v>Р1+Р3+газ без Ar</v>
      </c>
      <c r="U128" s="47" t="str">
        <f ca="1"/>
        <v>Р1+Р3+газ без Ar</v>
      </c>
      <c r="V128" s="47" t="str">
        <f ca="1"/>
        <v>Р1+Р3+газ без Ar</v>
      </c>
      <c r="W128" s="47" t="str">
        <f ca="1"/>
        <v>Р1+Р3+газ без Ar</v>
      </c>
      <c r="X128" s="47" t="str">
        <f ca="1"/>
        <v>Р1+Р3+газ без Ar</v>
      </c>
      <c r="Y128" s="47" t="str">
        <f ca="1"/>
        <v>Р1+Р3+газ без Ar</v>
      </c>
      <c r="Z128" s="47" t="str">
        <f ca="1"/>
        <v>Р1+Р3+газ без Ar</v>
      </c>
      <c r="AA128" s="47" t="str">
        <f ca="1"/>
        <v>Р1+Р3+газ без Ar</v>
      </c>
      <c r="AB128" s="47" t="str">
        <f ca="1"/>
        <v>Р1+Р3+газ без Ar</v>
      </c>
      <c r="AC128" s="47" t="str">
        <f ca="1"/>
        <v>Р1+Р3+газ без Ar</v>
      </c>
      <c r="AD128" s="47" t="str">
        <f ca="1"/>
        <v>Р1+Р3+газ без Ar</v>
      </c>
      <c r="AE128" s="47" t="str">
        <f ca="1"/>
        <v>Р1+Р3+газ без Ar</v>
      </c>
      <c r="AF128" s="47" t="str">
        <f ca="1"/>
        <v>Р1+Р3+газ без Ar</v>
      </c>
      <c r="AG128" s="47" t="str">
        <f ca="1"/>
        <v>Р1+Р3+газ без Ar</v>
      </c>
      <c r="AH128" s="47" t="str">
        <f ca="1"/>
        <v>Р1+Р3+газ без Ar</v>
      </c>
      <c r="AI128" s="47" t="str">
        <f ca="1"/>
        <v>Р1+Р3+газ без Ar</v>
      </c>
      <c r="AJ128" s="47" t="str">
        <f ca="1"/>
        <v>Р1+Р3+газ без Ar</v>
      </c>
      <c r="AK128" s="47" t="str">
        <f ca="1"/>
        <v>Р1+Р3+газ без Ar</v>
      </c>
      <c r="AL128" s="47" t="str">
        <f ca="1"/>
        <v>Р1+Р3+газ без Ar</v>
      </c>
      <c r="AM128" s="47" t="str">
        <f ca="1"/>
        <v>Р1+Р3+газ без Ar</v>
      </c>
      <c r="AN128" s="47" t="str">
        <f ca="1"/>
        <v>Р1+Р3+газ без Ar</v>
      </c>
      <c r="AO128" s="47" t="str">
        <f ca="1"/>
        <v>Р1+Р3+газ без Ar</v>
      </c>
      <c r="AP128" s="47" t="str">
        <f ca="1"/>
        <v>Р1+Р3+газ без Ar</v>
      </c>
      <c r="AQ128" s="47" t="str">
        <f ca="1"/>
        <v>Р1+Р3+газ без Ar</v>
      </c>
      <c r="AR128" s="47" t="str">
        <f ca="1"/>
        <v>Р1+Р3+газ без Ar</v>
      </c>
      <c r="AS128" s="47" t="str">
        <f ca="1"/>
        <v>Р1+Р3+газ без Ar</v>
      </c>
      <c r="AT128" s="47" t="str">
        <f ca="1"/>
        <v>Р1+Р3+газ без Ar</v>
      </c>
      <c r="AU128" s="47" t="str">
        <f ca="1"/>
        <v>Р1+Р3+газ без Ar</v>
      </c>
      <c r="AV128" s="47" t="str">
        <f ca="1"/>
        <v>Р1+Р3+газ без Ar</v>
      </c>
      <c r="AW128" s="47" t="str">
        <f ca="1"/>
        <v>Р1+Р3+газ без Ar</v>
      </c>
      <c r="AX128" s="47" t="str">
        <f ca="1"/>
        <v>Р1+Р3+газ без Ar</v>
      </c>
      <c r="AY128" s="47" t="str">
        <f ca="1"/>
        <v>Р1+Р3+газ без Ar</v>
      </c>
      <c r="AZ128" s="47" t="str">
        <f ca="1"/>
        <v>Р1+Р3+газ без Ar</v>
      </c>
      <c r="BA128" s="47" t="str">
        <f ca="1"/>
        <v>Р1+Р3+газ без Ar</v>
      </c>
      <c r="BB128" s="47" t="str">
        <f ca="1"/>
        <v>Р1+Р3+газ без Ar</v>
      </c>
      <c r="BC128" s="47" t="str">
        <f ca="1"/>
        <v>Р1+Р3+газ без Ar</v>
      </c>
      <c r="BD128" s="47" t="str">
        <f ca="1"/>
        <v>Р1+Р3+газ без Ar</v>
      </c>
      <c r="BE128" s="47" t="str">
        <f ca="1"/>
        <v>Р1+Р3+газ без Ar</v>
      </c>
      <c r="BF128" s="47" t="str">
        <f ca="1"/>
        <v>Р1+Р3+газ без Ar</v>
      </c>
      <c r="BG128" s="47" t="str">
        <f ca="1"/>
        <v>Р1+Р3+газ без Ar</v>
      </c>
      <c r="BH128" s="47" t="str">
        <f ca="1"/>
        <v>Р1+Р3+газ без Ar</v>
      </c>
      <c r="BI128" s="47" t="str">
        <f ca="1"/>
        <v>Р1+Р3+газ без Ar</v>
      </c>
      <c r="BJ128" s="47" t="str">
        <f ca="1"/>
        <v>Р1+Р3+газ без Ar</v>
      </c>
      <c r="BK128" s="47" t="str">
        <f ca="1"/>
        <v>Р1+Р3+газ без Ar</v>
      </c>
      <c r="BL128" s="47" t="str">
        <f ca="1"/>
        <v>Р1+Р3+газ без Ar</v>
      </c>
      <c r="BM128" s="47" t="str">
        <f ca="1"/>
        <v>Р1+Р3+газ без Ar</v>
      </c>
      <c r="BN128" s="47" t="str">
        <f ca="1"/>
        <v>Р1+Р3+газ без Ar</v>
      </c>
      <c r="BO128" s="47" t="str">
        <f ca="1"/>
        <v>Р1+Р3+газ без Ar</v>
      </c>
      <c r="BP128" s="47" t="str">
        <f ca="1"/>
        <v>Р1+Р3+газ без Ar</v>
      </c>
      <c r="BQ128" s="47" t="str">
        <f ca="1"/>
        <v>Р1+Р3+газ без Ar</v>
      </c>
      <c r="BR128" s="47" t="str">
        <f ca="1"/>
        <v>Р1+Р3+газ без Ar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6" priority="116" operator="equal">
      <formula>0</formula>
    </cfRule>
  </conditionalFormatting>
  <conditionalFormatting sqref="A80:D109">
    <cfRule type="cellIs" dxfId="25" priority="115" operator="equal">
      <formula>0</formula>
    </cfRule>
  </conditionalFormatting>
  <conditionalFormatting sqref="A46:D75">
    <cfRule type="cellIs" dxfId="24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23" priority="4" operator="equal">
      <formula>1</formula>
    </cfRule>
  </conditionalFormatting>
  <conditionalFormatting sqref="F33:BR33">
    <cfRule type="cellIs" dxfId="22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34" sqref="BS3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2" t="s">
        <v>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3">
        <v>1</v>
      </c>
      <c r="F33" s="107">
        <f>IF(G3&gt;F3,1,0)</f>
        <v>0</v>
      </c>
      <c r="G33" s="107">
        <f t="shared" ref="G33:BR33" si="3">IF(H3&gt;G3,1,0)</f>
        <v>0</v>
      </c>
      <c r="H33" s="107">
        <f t="shared" si="3"/>
        <v>0</v>
      </c>
      <c r="I33" s="107">
        <f t="shared" si="3"/>
        <v>0</v>
      </c>
      <c r="J33" s="107">
        <f t="shared" si="3"/>
        <v>0</v>
      </c>
      <c r="K33" s="107">
        <f t="shared" si="3"/>
        <v>0</v>
      </c>
      <c r="L33" s="107">
        <f t="shared" si="3"/>
        <v>0</v>
      </c>
      <c r="M33" s="107">
        <f t="shared" si="3"/>
        <v>0</v>
      </c>
      <c r="N33" s="107">
        <f t="shared" si="3"/>
        <v>0</v>
      </c>
      <c r="O33" s="107">
        <f t="shared" si="3"/>
        <v>0</v>
      </c>
      <c r="P33" s="107">
        <f t="shared" si="3"/>
        <v>0</v>
      </c>
      <c r="Q33" s="107">
        <f t="shared" si="3"/>
        <v>0</v>
      </c>
      <c r="R33" s="107">
        <f t="shared" si="3"/>
        <v>0</v>
      </c>
      <c r="S33" s="107">
        <f t="shared" si="3"/>
        <v>0</v>
      </c>
      <c r="T33" s="107">
        <f t="shared" si="3"/>
        <v>0</v>
      </c>
      <c r="U33" s="107">
        <f t="shared" si="3"/>
        <v>0</v>
      </c>
      <c r="V33" s="107">
        <f t="shared" si="3"/>
        <v>0</v>
      </c>
      <c r="W33" s="107">
        <f t="shared" si="3"/>
        <v>0</v>
      </c>
      <c r="X33" s="107">
        <f t="shared" si="3"/>
        <v>0</v>
      </c>
      <c r="Y33" s="107">
        <f t="shared" si="3"/>
        <v>0</v>
      </c>
      <c r="Z33" s="107">
        <f t="shared" si="3"/>
        <v>0</v>
      </c>
      <c r="AA33" s="107">
        <f t="shared" si="3"/>
        <v>0</v>
      </c>
      <c r="AB33" s="107">
        <f t="shared" si="3"/>
        <v>0</v>
      </c>
      <c r="AC33" s="107">
        <f t="shared" si="3"/>
        <v>0</v>
      </c>
      <c r="AD33" s="107">
        <f t="shared" si="3"/>
        <v>0</v>
      </c>
      <c r="AE33" s="107">
        <f t="shared" si="3"/>
        <v>0</v>
      </c>
      <c r="AF33" s="107">
        <f t="shared" si="3"/>
        <v>0</v>
      </c>
      <c r="AG33" s="107">
        <f t="shared" si="3"/>
        <v>0</v>
      </c>
      <c r="AH33" s="107">
        <f t="shared" si="3"/>
        <v>0</v>
      </c>
      <c r="AI33" s="107">
        <f t="shared" si="3"/>
        <v>0</v>
      </c>
      <c r="AJ33" s="107">
        <f t="shared" si="3"/>
        <v>0</v>
      </c>
      <c r="AK33" s="107">
        <f t="shared" si="3"/>
        <v>0</v>
      </c>
      <c r="AL33" s="107">
        <f t="shared" si="3"/>
        <v>0</v>
      </c>
      <c r="AM33" s="107">
        <f t="shared" si="3"/>
        <v>0</v>
      </c>
      <c r="AN33" s="107">
        <f t="shared" si="3"/>
        <v>0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 t="shared" ref="D34:D37" si="4"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6">IF(E35=C35,1,0)</f>
        <v>#N/A</v>
      </c>
      <c r="C35" s="11" t="s">
        <v>5</v>
      </c>
      <c r="D35" s="44" t="e">
        <f t="shared" si="4"/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6"/>
        <v>#N/A</v>
      </c>
      <c r="C36" s="11" t="s">
        <v>6</v>
      </c>
      <c r="D36" s="44" t="e">
        <f t="shared" si="4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6"/>
        <v>#N/A</v>
      </c>
      <c r="C37" s="11" t="s">
        <v>7</v>
      </c>
      <c r="D37" s="44" t="e">
        <f t="shared" si="4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>F$113*$B$2*SUMPRODUCT(F$90:F$92,F$56:F$58)/1000</f>
        <v>#DIV/0!</v>
      </c>
      <c r="G114" s="46" t="e">
        <f t="shared" ref="G114:AL114" si="93">G$113*$B$2*SUMPRODUCT(G$90:G$92,G$56:G$58)/1000</f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>F$113*$B$2*SUMPRODUCT(F$80:F$88,F$46:F$54)/1000</f>
        <v>#DIV/0!</v>
      </c>
      <c r="G115" s="14" t="e">
        <f t="shared" ref="G115:AL115" si="94">G$113*$B$2*SUMPRODUCT(G$80:G$88,G$46:G$54)/1000</f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si="95">F115+F114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str">
        <f ca="1"/>
        <v xml:space="preserve">Раствор (жид): </v>
      </c>
      <c r="G123" s="47" t="str">
        <f ca="1"/>
        <v xml:space="preserve">Раствор (жид): </v>
      </c>
      <c r="H123" s="47" t="str">
        <f ca="1"/>
        <v xml:space="preserve">Раствор (жид): </v>
      </c>
      <c r="I123" s="47" t="str">
        <f ca="1"/>
        <v xml:space="preserve">Раствор (жид): </v>
      </c>
      <c r="J123" s="47" t="str">
        <f ca="1"/>
        <v xml:space="preserve">Раствор (жид): </v>
      </c>
      <c r="K123" s="47" t="str">
        <f ca="1"/>
        <v xml:space="preserve">Раствор (жид): </v>
      </c>
      <c r="L123" s="47" t="str">
        <f ca="1"/>
        <v xml:space="preserve">Раствор (жид): </v>
      </c>
      <c r="M123" s="47" t="str">
        <f ca="1"/>
        <v xml:space="preserve">Раствор (жид): </v>
      </c>
      <c r="N123" s="47" t="str">
        <f ca="1"/>
        <v xml:space="preserve">Раствор (жид): </v>
      </c>
      <c r="O123" s="47" t="str">
        <f ca="1"/>
        <v xml:space="preserve">Раствор (жид): </v>
      </c>
      <c r="P123" s="47" t="str">
        <f ca="1"/>
        <v xml:space="preserve">Раствор (жид): </v>
      </c>
      <c r="Q123" s="47" t="str">
        <f ca="1"/>
        <v xml:space="preserve">Раствор (жид): </v>
      </c>
      <c r="R123" s="47" t="str">
        <f ca="1"/>
        <v xml:space="preserve">Раствор (жид): </v>
      </c>
      <c r="S123" s="47" t="str">
        <f ca="1"/>
        <v xml:space="preserve">Раствор (жид): </v>
      </c>
      <c r="T123" s="47" t="str">
        <f ca="1"/>
        <v xml:space="preserve">Раствор (жид): </v>
      </c>
      <c r="U123" s="47" t="str">
        <f ca="1"/>
        <v xml:space="preserve">Раствор (жид): </v>
      </c>
      <c r="V123" s="47" t="str">
        <f ca="1"/>
        <v xml:space="preserve">Раствор (жид): </v>
      </c>
      <c r="W123" s="47" t="str">
        <f ca="1"/>
        <v xml:space="preserve">Раствор (жид): </v>
      </c>
      <c r="X123" s="47" t="str">
        <f ca="1"/>
        <v xml:space="preserve">Раствор (жид): </v>
      </c>
      <c r="Y123" s="47" t="str">
        <f ca="1"/>
        <v xml:space="preserve">Раствор (жид): </v>
      </c>
      <c r="Z123" s="47" t="str">
        <f ca="1"/>
        <v xml:space="preserve">Раствор (жид): </v>
      </c>
      <c r="AA123" s="47" t="str">
        <f ca="1"/>
        <v xml:space="preserve">Раствор (жид): </v>
      </c>
      <c r="AB123" s="47" t="str">
        <f ca="1"/>
        <v xml:space="preserve">Раствор (жид): </v>
      </c>
      <c r="AC123" s="47" t="str">
        <f ca="1"/>
        <v xml:space="preserve">Раствор (жид): </v>
      </c>
      <c r="AD123" s="47" t="str">
        <f ca="1"/>
        <v xml:space="preserve">Раствор (жид): </v>
      </c>
      <c r="AE123" s="47" t="str">
        <f ca="1"/>
        <v xml:space="preserve">Раствор (жид): </v>
      </c>
      <c r="AF123" s="47" t="str">
        <f ca="1"/>
        <v xml:space="preserve">Раствор (жид): </v>
      </c>
      <c r="AG123" s="47" t="str">
        <f ca="1"/>
        <v xml:space="preserve">Раствор (жид): </v>
      </c>
      <c r="AH123" s="47" t="str">
        <f ca="1"/>
        <v xml:space="preserve">Раствор (жид): </v>
      </c>
      <c r="AI123" s="47" t="str">
        <f ca="1"/>
        <v xml:space="preserve">Раствор (жид): </v>
      </c>
      <c r="AJ123" s="47" t="str">
        <f ca="1"/>
        <v xml:space="preserve">Раствор (жид): </v>
      </c>
      <c r="AK123" s="47" t="str">
        <f ca="1"/>
        <v xml:space="preserve">Раствор (жид): </v>
      </c>
      <c r="AL123" s="47" t="str">
        <f ca="1"/>
        <v xml:space="preserve">Раствор (жид): </v>
      </c>
      <c r="AM123" s="47" t="str">
        <f ca="1"/>
        <v xml:space="preserve">Раствор (жид): </v>
      </c>
      <c r="AN123" s="47" t="str">
        <f ca="1"/>
        <v xml:space="preserve">Раствор (жид): </v>
      </c>
      <c r="AO123" s="47" t="str">
        <f ca="1"/>
        <v xml:space="preserve">Раствор (жид): </v>
      </c>
      <c r="AP123" s="47" t="str">
        <f ca="1"/>
        <v xml:space="preserve">Раствор (жид): </v>
      </c>
      <c r="AQ123" s="47" t="str">
        <f ca="1"/>
        <v xml:space="preserve">Раствор (жид): </v>
      </c>
      <c r="AR123" s="47" t="str">
        <f ca="1"/>
        <v xml:space="preserve">Раствор (жид): </v>
      </c>
      <c r="AS123" s="47" t="str">
        <f ca="1"/>
        <v xml:space="preserve">Раствор (жид): </v>
      </c>
      <c r="AT123" s="47" t="str">
        <f ca="1"/>
        <v xml:space="preserve">Раствор (жид): </v>
      </c>
      <c r="AU123" s="47" t="str">
        <f ca="1"/>
        <v xml:space="preserve">Раствор (жид): </v>
      </c>
      <c r="AV123" s="47" t="str">
        <f ca="1"/>
        <v xml:space="preserve">Раствор (жид): </v>
      </c>
      <c r="AW123" s="47" t="str">
        <f ca="1"/>
        <v xml:space="preserve">Раствор (жид): </v>
      </c>
      <c r="AX123" s="47" t="str">
        <f ca="1"/>
        <v xml:space="preserve">Раствор (жид): </v>
      </c>
      <c r="AY123" s="47" t="str">
        <f ca="1"/>
        <v xml:space="preserve">Раствор (жид): </v>
      </c>
      <c r="AZ123" s="47" t="str">
        <f ca="1"/>
        <v xml:space="preserve">Раствор (жид): </v>
      </c>
      <c r="BA123" s="47" t="str">
        <f ca="1"/>
        <v xml:space="preserve">Раствор (жид): </v>
      </c>
      <c r="BB123" s="47" t="str">
        <f ca="1"/>
        <v xml:space="preserve">Раствор (жид): </v>
      </c>
      <c r="BC123" s="47" t="str">
        <f ca="1"/>
        <v xml:space="preserve">Раствор (жид): </v>
      </c>
      <c r="BD123" s="47" t="str">
        <f ca="1"/>
        <v xml:space="preserve">Раствор (жид): </v>
      </c>
      <c r="BE123" s="47" t="str">
        <f ca="1"/>
        <v xml:space="preserve">Раствор (жид): </v>
      </c>
      <c r="BF123" s="47" t="str">
        <f ca="1"/>
        <v xml:space="preserve">Раствор (жид): </v>
      </c>
      <c r="BG123" s="47" t="str">
        <f ca="1"/>
        <v xml:space="preserve">Раствор (жид): </v>
      </c>
      <c r="BH123" s="47" t="str">
        <f ca="1"/>
        <v xml:space="preserve">Раствор (жид): </v>
      </c>
      <c r="BI123" s="47" t="str">
        <f ca="1"/>
        <v xml:space="preserve">Раствор (жид): </v>
      </c>
      <c r="BJ123" s="47" t="str">
        <f ca="1"/>
        <v xml:space="preserve">Раствор (жид): </v>
      </c>
      <c r="BK123" s="47" t="str">
        <f ca="1"/>
        <v xml:space="preserve">Раствор (жид): </v>
      </c>
      <c r="BL123" s="47" t="str">
        <f ca="1"/>
        <v xml:space="preserve">Раствор (жид): </v>
      </c>
      <c r="BM123" s="47" t="str">
        <f ca="1"/>
        <v xml:space="preserve">Раствор (жид): </v>
      </c>
      <c r="BN123" s="47" t="str">
        <f ca="1"/>
        <v xml:space="preserve">Раствор (жид): </v>
      </c>
      <c r="BO123" s="47" t="str">
        <f ca="1"/>
        <v xml:space="preserve">Раствор (жид): </v>
      </c>
      <c r="BP123" s="47" t="str">
        <f ca="1"/>
        <v xml:space="preserve">Раствор (жид): </v>
      </c>
      <c r="BQ123" s="47" t="str">
        <f ca="1"/>
        <v xml:space="preserve">Раствор (жид): </v>
      </c>
      <c r="BR123" s="47" t="str">
        <f ca="1"/>
        <v xml:space="preserve">Раствор (жид): 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str">
        <f ca="1"/>
        <v xml:space="preserve">Раствор + газовая без Ar: </v>
      </c>
      <c r="G125" s="47" t="str">
        <f ca="1"/>
        <v xml:space="preserve">Раствор + газовая без Ar: </v>
      </c>
      <c r="H125" s="47" t="str">
        <f ca="1"/>
        <v xml:space="preserve">Раствор + газовая без Ar: </v>
      </c>
      <c r="I125" s="47" t="str">
        <f ca="1"/>
        <v xml:space="preserve">Раствор + газовая без Ar: </v>
      </c>
      <c r="J125" s="47" t="str">
        <f ca="1"/>
        <v xml:space="preserve">Раствор + газовая без Ar: </v>
      </c>
      <c r="K125" s="47" t="str">
        <f ca="1"/>
        <v xml:space="preserve">Раствор + газовая без Ar: </v>
      </c>
      <c r="L125" s="47" t="str">
        <f ca="1"/>
        <v xml:space="preserve">Раствор + газовая без Ar: </v>
      </c>
      <c r="M125" s="47" t="str">
        <f ca="1"/>
        <v xml:space="preserve">Раствор + газовая без Ar: </v>
      </c>
      <c r="N125" s="47" t="str">
        <f ca="1"/>
        <v xml:space="preserve">Раствор + газовая без Ar: </v>
      </c>
      <c r="O125" s="47" t="str">
        <f ca="1"/>
        <v xml:space="preserve">Раствор + газовая без Ar: </v>
      </c>
      <c r="P125" s="47" t="str">
        <f ca="1"/>
        <v xml:space="preserve">Раствор + газовая без Ar: </v>
      </c>
      <c r="Q125" s="47" t="str">
        <f ca="1"/>
        <v xml:space="preserve">Раствор + газовая без Ar: </v>
      </c>
      <c r="R125" s="47" t="str">
        <f ca="1"/>
        <v xml:space="preserve">Раствор + газовая без Ar: </v>
      </c>
      <c r="S125" s="47" t="str">
        <f ca="1"/>
        <v xml:space="preserve">Раствор + газовая без Ar: </v>
      </c>
      <c r="T125" s="47" t="str">
        <f ca="1"/>
        <v xml:space="preserve">Раствор + газовая без Ar: </v>
      </c>
      <c r="U125" s="47" t="str">
        <f ca="1"/>
        <v xml:space="preserve">Раствор + газовая без Ar: </v>
      </c>
      <c r="V125" s="47" t="str">
        <f ca="1"/>
        <v xml:space="preserve">Раствор + газовая без Ar: </v>
      </c>
      <c r="W125" s="47" t="str">
        <f ca="1"/>
        <v xml:space="preserve">Раствор + газовая без Ar: </v>
      </c>
      <c r="X125" s="47" t="str">
        <f ca="1"/>
        <v xml:space="preserve">Раствор + газовая без Ar: </v>
      </c>
      <c r="Y125" s="47" t="str">
        <f ca="1"/>
        <v xml:space="preserve">Раствор + газовая без Ar: </v>
      </c>
      <c r="Z125" s="47" t="str">
        <f ca="1"/>
        <v xml:space="preserve">Раствор + газовая без Ar: </v>
      </c>
      <c r="AA125" s="47" t="str">
        <f ca="1"/>
        <v xml:space="preserve">Раствор + газовая без Ar: </v>
      </c>
      <c r="AB125" s="47" t="str">
        <f ca="1"/>
        <v xml:space="preserve">Раствор + газовая без Ar: </v>
      </c>
      <c r="AC125" s="47" t="str">
        <f ca="1"/>
        <v xml:space="preserve">Раствор + газовая без Ar: </v>
      </c>
      <c r="AD125" s="47" t="str">
        <f ca="1"/>
        <v xml:space="preserve">Раствор + газовая без Ar: </v>
      </c>
      <c r="AE125" s="47" t="str">
        <f ca="1"/>
        <v xml:space="preserve">Раствор + газовая без Ar: </v>
      </c>
      <c r="AF125" s="47" t="str">
        <f ca="1"/>
        <v xml:space="preserve">Раствор + газовая без Ar: </v>
      </c>
      <c r="AG125" s="47" t="str">
        <f ca="1"/>
        <v xml:space="preserve">Раствор + газовая без Ar: </v>
      </c>
      <c r="AH125" s="47" t="str">
        <f ca="1"/>
        <v xml:space="preserve">Раствор + газовая без Ar: </v>
      </c>
      <c r="AI125" s="47" t="str">
        <f ca="1"/>
        <v xml:space="preserve">Раствор + газовая без Ar: </v>
      </c>
      <c r="AJ125" s="47" t="str">
        <f ca="1"/>
        <v xml:space="preserve">Раствор + газовая без Ar: </v>
      </c>
      <c r="AK125" s="47" t="str">
        <f ca="1"/>
        <v xml:space="preserve">Раствор + газовая без Ar: </v>
      </c>
      <c r="AL125" s="47" t="str">
        <f ca="1"/>
        <v xml:space="preserve">Раствор + газовая без Ar: </v>
      </c>
      <c r="AM125" s="47" t="str">
        <f ca="1"/>
        <v xml:space="preserve">Раствор + газовая без Ar: </v>
      </c>
      <c r="AN125" s="47" t="str">
        <f ca="1"/>
        <v xml:space="preserve">Раствор + газовая без Ar: </v>
      </c>
      <c r="AO125" s="47" t="str">
        <f ca="1"/>
        <v xml:space="preserve">Раствор + газовая без Ar: </v>
      </c>
      <c r="AP125" s="47" t="str">
        <f ca="1"/>
        <v xml:space="preserve">Раствор + газовая без Ar: </v>
      </c>
      <c r="AQ125" s="47" t="str">
        <f ca="1"/>
        <v xml:space="preserve">Раствор + газовая без Ar: </v>
      </c>
      <c r="AR125" s="47" t="str">
        <f ca="1"/>
        <v xml:space="preserve">Раствор + газовая без Ar: </v>
      </c>
      <c r="AS125" s="47" t="str">
        <f ca="1"/>
        <v xml:space="preserve">Раствор + газовая без Ar: </v>
      </c>
      <c r="AT125" s="47" t="str">
        <f ca="1"/>
        <v xml:space="preserve">Раствор + газовая без Ar: </v>
      </c>
      <c r="AU125" s="47" t="str">
        <f ca="1"/>
        <v xml:space="preserve">Раствор + газовая без Ar: </v>
      </c>
      <c r="AV125" s="47" t="str">
        <f ca="1"/>
        <v xml:space="preserve">Раствор + газовая без Ar: </v>
      </c>
      <c r="AW125" s="47" t="str">
        <f ca="1"/>
        <v xml:space="preserve">Раствор + газовая без Ar: </v>
      </c>
      <c r="AX125" s="47" t="str">
        <f ca="1"/>
        <v xml:space="preserve">Раствор + газовая без Ar: </v>
      </c>
      <c r="AY125" s="47" t="str">
        <f ca="1"/>
        <v xml:space="preserve">Раствор + газовая без Ar: </v>
      </c>
      <c r="AZ125" s="47" t="str">
        <f ca="1"/>
        <v xml:space="preserve">Раствор + газовая без Ar: </v>
      </c>
      <c r="BA125" s="47" t="str">
        <f ca="1"/>
        <v xml:space="preserve">Раствор + газовая без Ar: </v>
      </c>
      <c r="BB125" s="47" t="str">
        <f ca="1"/>
        <v xml:space="preserve">Раствор + газовая без Ar: </v>
      </c>
      <c r="BC125" s="47" t="str">
        <f ca="1"/>
        <v xml:space="preserve">Раствор + газовая без Ar: </v>
      </c>
      <c r="BD125" s="47" t="str">
        <f ca="1"/>
        <v xml:space="preserve">Раствор + газовая без Ar: </v>
      </c>
      <c r="BE125" s="47" t="str">
        <f ca="1"/>
        <v xml:space="preserve">Раствор + газовая без Ar: </v>
      </c>
      <c r="BF125" s="47" t="str">
        <f ca="1"/>
        <v xml:space="preserve">Раствор + газовая без Ar: </v>
      </c>
      <c r="BG125" s="47" t="str">
        <f ca="1"/>
        <v xml:space="preserve">Раствор + газовая без Ar: </v>
      </c>
      <c r="BH125" s="47" t="str">
        <f ca="1"/>
        <v xml:space="preserve">Раствор + газовая без Ar: </v>
      </c>
      <c r="BI125" s="47" t="str">
        <f ca="1"/>
        <v xml:space="preserve">Раствор + газовая без Ar: </v>
      </c>
      <c r="BJ125" s="47" t="str">
        <f ca="1"/>
        <v xml:space="preserve">Раствор + газовая без Ar: </v>
      </c>
      <c r="BK125" s="47" t="str">
        <f ca="1"/>
        <v xml:space="preserve">Раствор + газовая без Ar: </v>
      </c>
      <c r="BL125" s="47" t="str">
        <f ca="1"/>
        <v xml:space="preserve">Раствор + газовая без Ar: </v>
      </c>
      <c r="BM125" s="47" t="str">
        <f ca="1"/>
        <v xml:space="preserve">Раствор + газовая без Ar: </v>
      </c>
      <c r="BN125" s="47" t="str">
        <f ca="1"/>
        <v xml:space="preserve">Раствор + газовая без Ar: </v>
      </c>
      <c r="BO125" s="47" t="str">
        <f ca="1"/>
        <v xml:space="preserve">Раствор + газовая без Ar: </v>
      </c>
      <c r="BP125" s="47" t="str">
        <f ca="1"/>
        <v xml:space="preserve">Раствор + газовая без Ar: </v>
      </c>
      <c r="BQ125" s="47" t="str">
        <f ca="1"/>
        <v xml:space="preserve">Раствор + газовая без Ar: </v>
      </c>
      <c r="BR125" s="47" t="str">
        <f ca="1"/>
        <v xml:space="preserve">Раствор + газовая без Ar: 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21" priority="193" operator="equal">
      <formula>0</formula>
    </cfRule>
  </conditionalFormatting>
  <conditionalFormatting sqref="A80:D109">
    <cfRule type="cellIs" dxfId="20" priority="192" operator="equal">
      <formula>0</formula>
    </cfRule>
  </conditionalFormatting>
  <conditionalFormatting sqref="A46:D75">
    <cfRule type="cellIs" dxfId="19" priority="145" operator="equal">
      <formula>0</formula>
    </cfRule>
  </conditionalFormatting>
  <conditionalFormatting sqref="H32:BS32">
    <cfRule type="colorScale" priority="97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6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9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8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7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6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9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8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7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5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3">
      <colorScale>
        <cfvo type="min"/>
        <cfvo type="max"/>
        <color rgb="FFFFC000"/>
        <color rgb="FF0070C0"/>
      </colorScale>
    </cfRule>
  </conditionalFormatting>
  <conditionalFormatting sqref="F33:BR33">
    <cfRule type="cellIs" dxfId="1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9" zoomScaleNormal="100" zoomScaleSheetLayoutView="25" workbookViewId="0">
      <selection activeCell="BS20" sqref="BS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3" t="s">
        <v>24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7">
        <f>IF(G3&gt;F3,1,0)</f>
        <v>0</v>
      </c>
      <c r="G33" s="107">
        <f t="shared" ref="G33:BR33" si="3">IF(H3&gt;G3,1,0)</f>
        <v>0</v>
      </c>
      <c r="H33" s="107">
        <f t="shared" si="3"/>
        <v>0</v>
      </c>
      <c r="I33" s="107">
        <f t="shared" si="3"/>
        <v>0</v>
      </c>
      <c r="J33" s="107">
        <f t="shared" si="3"/>
        <v>0</v>
      </c>
      <c r="K33" s="107">
        <f t="shared" si="3"/>
        <v>0</v>
      </c>
      <c r="L33" s="107">
        <f t="shared" si="3"/>
        <v>0</v>
      </c>
      <c r="M33" s="107">
        <f t="shared" si="3"/>
        <v>0</v>
      </c>
      <c r="N33" s="107">
        <f t="shared" si="3"/>
        <v>0</v>
      </c>
      <c r="O33" s="107">
        <f t="shared" si="3"/>
        <v>0</v>
      </c>
      <c r="P33" s="107">
        <f t="shared" si="3"/>
        <v>0</v>
      </c>
      <c r="Q33" s="107">
        <f t="shared" si="3"/>
        <v>0</v>
      </c>
      <c r="R33" s="107">
        <f t="shared" si="3"/>
        <v>0</v>
      </c>
      <c r="S33" s="107">
        <f t="shared" si="3"/>
        <v>0</v>
      </c>
      <c r="T33" s="107">
        <f t="shared" si="3"/>
        <v>0</v>
      </c>
      <c r="U33" s="107">
        <f t="shared" si="3"/>
        <v>0</v>
      </c>
      <c r="V33" s="107">
        <f t="shared" si="3"/>
        <v>0</v>
      </c>
      <c r="W33" s="107">
        <f t="shared" si="3"/>
        <v>0</v>
      </c>
      <c r="X33" s="107">
        <f t="shared" si="3"/>
        <v>0</v>
      </c>
      <c r="Y33" s="107">
        <f t="shared" si="3"/>
        <v>0</v>
      </c>
      <c r="Z33" s="107">
        <f t="shared" si="3"/>
        <v>0</v>
      </c>
      <c r="AA33" s="107">
        <f t="shared" si="3"/>
        <v>0</v>
      </c>
      <c r="AB33" s="107">
        <f t="shared" si="3"/>
        <v>0</v>
      </c>
      <c r="AC33" s="107">
        <f t="shared" si="3"/>
        <v>0</v>
      </c>
      <c r="AD33" s="107">
        <f t="shared" si="3"/>
        <v>0</v>
      </c>
      <c r="AE33" s="107">
        <f t="shared" si="3"/>
        <v>0</v>
      </c>
      <c r="AF33" s="107">
        <f t="shared" si="3"/>
        <v>0</v>
      </c>
      <c r="AG33" s="107">
        <f t="shared" si="3"/>
        <v>0</v>
      </c>
      <c r="AH33" s="107">
        <f t="shared" si="3"/>
        <v>0</v>
      </c>
      <c r="AI33" s="107">
        <f t="shared" si="3"/>
        <v>0</v>
      </c>
      <c r="AJ33" s="107">
        <f t="shared" si="3"/>
        <v>0</v>
      </c>
      <c r="AK33" s="107">
        <f t="shared" si="3"/>
        <v>0</v>
      </c>
      <c r="AL33" s="107">
        <f t="shared" si="3"/>
        <v>0</v>
      </c>
      <c r="AM33" s="107">
        <f t="shared" si="3"/>
        <v>0</v>
      </c>
      <c r="AN33" s="107">
        <f t="shared" si="3"/>
        <v>0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S33" s="10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4">OFFSET($E$3:$BR$3,$D34,0)</f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 t="e">
        <f t="shared" ca="1" si="4"/>
        <v>#N/A</v>
      </c>
      <c r="AN34" s="14" t="e">
        <f t="shared" ca="1" si="4"/>
        <v>#N/A</v>
      </c>
      <c r="AO34" s="14" t="e">
        <f t="shared" ca="1" si="4"/>
        <v>#N/A</v>
      </c>
      <c r="AP34" s="14" t="e">
        <f t="shared" ca="1" si="4"/>
        <v>#N/A</v>
      </c>
      <c r="AQ34" s="14" t="e">
        <f t="shared" ca="1" si="4"/>
        <v>#N/A</v>
      </c>
      <c r="AR34" s="14" t="e">
        <f t="shared" ca="1" si="4"/>
        <v>#N/A</v>
      </c>
      <c r="AS34" s="14" t="e">
        <f t="shared" ca="1" si="4"/>
        <v>#N/A</v>
      </c>
      <c r="AT34" s="14" t="e">
        <f t="shared" ca="1" si="4"/>
        <v>#N/A</v>
      </c>
      <c r="AU34" s="14" t="e">
        <f t="shared" ca="1" si="4"/>
        <v>#N/A</v>
      </c>
      <c r="AV34" s="14" t="e">
        <f t="shared" ca="1" si="4"/>
        <v>#N/A</v>
      </c>
      <c r="AW34" s="14" t="e">
        <f t="shared" ca="1" si="4"/>
        <v>#N/A</v>
      </c>
      <c r="AX34" s="14" t="e">
        <f t="shared" ca="1" si="4"/>
        <v>#N/A</v>
      </c>
      <c r="AY34" s="14" t="e">
        <f t="shared" ca="1" si="4"/>
        <v>#N/A</v>
      </c>
      <c r="AZ34" s="14" t="e">
        <f t="shared" ca="1" si="4"/>
        <v>#N/A</v>
      </c>
      <c r="BA34" s="14" t="e">
        <f t="shared" ca="1" si="4"/>
        <v>#N/A</v>
      </c>
      <c r="BB34" s="14" t="e">
        <f t="shared" ca="1" si="4"/>
        <v>#N/A</v>
      </c>
      <c r="BC34" s="14" t="e">
        <f t="shared" ca="1" si="4"/>
        <v>#N/A</v>
      </c>
      <c r="BD34" s="14" t="e">
        <f t="shared" ca="1" si="4"/>
        <v>#N/A</v>
      </c>
      <c r="BE34" s="14" t="e">
        <f t="shared" ca="1" si="4"/>
        <v>#N/A</v>
      </c>
      <c r="BF34" s="14" t="e">
        <f t="shared" ca="1" si="4"/>
        <v>#N/A</v>
      </c>
      <c r="BG34" s="14" t="e">
        <f t="shared" ca="1" si="4"/>
        <v>#N/A</v>
      </c>
      <c r="BH34" s="14" t="e">
        <f t="shared" ca="1" si="4"/>
        <v>#N/A</v>
      </c>
      <c r="BI34" s="14" t="e">
        <f t="shared" ca="1" si="4"/>
        <v>#N/A</v>
      </c>
      <c r="BJ34" s="14" t="e">
        <f t="shared" ca="1" si="4"/>
        <v>#N/A</v>
      </c>
      <c r="BK34" s="14" t="e">
        <f t="shared" ca="1" si="4"/>
        <v>#N/A</v>
      </c>
      <c r="BL34" s="14" t="e">
        <f t="shared" ca="1" si="4"/>
        <v>#N/A</v>
      </c>
      <c r="BM34" s="14" t="e">
        <f t="shared" ca="1" si="4"/>
        <v>#N/A</v>
      </c>
      <c r="BN34" s="14" t="e">
        <f t="shared" ca="1" si="4"/>
        <v>#N/A</v>
      </c>
      <c r="BO34" s="14" t="e">
        <f t="shared" ca="1" si="4"/>
        <v>#N/A</v>
      </c>
      <c r="BP34" s="14" t="e">
        <f t="shared" ca="1" si="4"/>
        <v>#N/A</v>
      </c>
      <c r="BQ34" s="14" t="e">
        <f t="shared" ca="1" si="4"/>
        <v>#N/A</v>
      </c>
      <c r="BR34" s="14" t="e">
        <f t="shared" ca="1" si="4"/>
        <v>#N/A</v>
      </c>
      <c r="BS34" s="10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5">IF(E35=C35,1,0)</f>
        <v>#N/A</v>
      </c>
      <c r="C35" s="11" t="s">
        <v>5</v>
      </c>
      <c r="D35" s="44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 t="e">
        <f t="shared" ca="1" si="4"/>
        <v>#N/A</v>
      </c>
      <c r="AN35" s="14" t="e">
        <f t="shared" ca="1" si="4"/>
        <v>#N/A</v>
      </c>
      <c r="AO35" s="14" t="e">
        <f t="shared" ca="1" si="4"/>
        <v>#N/A</v>
      </c>
      <c r="AP35" s="14" t="e">
        <f t="shared" ca="1" si="4"/>
        <v>#N/A</v>
      </c>
      <c r="AQ35" s="14" t="e">
        <f t="shared" ca="1" si="4"/>
        <v>#N/A</v>
      </c>
      <c r="AR35" s="14" t="e">
        <f t="shared" ca="1" si="4"/>
        <v>#N/A</v>
      </c>
      <c r="AS35" s="14" t="e">
        <f t="shared" ca="1" si="4"/>
        <v>#N/A</v>
      </c>
      <c r="AT35" s="14" t="e">
        <f t="shared" ca="1" si="4"/>
        <v>#N/A</v>
      </c>
      <c r="AU35" s="14" t="e">
        <f t="shared" ca="1" si="4"/>
        <v>#N/A</v>
      </c>
      <c r="AV35" s="14" t="e">
        <f t="shared" ca="1" si="4"/>
        <v>#N/A</v>
      </c>
      <c r="AW35" s="14" t="e">
        <f t="shared" ca="1" si="4"/>
        <v>#N/A</v>
      </c>
      <c r="AX35" s="14" t="e">
        <f t="shared" ca="1" si="4"/>
        <v>#N/A</v>
      </c>
      <c r="AY35" s="14" t="e">
        <f t="shared" ca="1" si="4"/>
        <v>#N/A</v>
      </c>
      <c r="AZ35" s="14" t="e">
        <f t="shared" ca="1" si="4"/>
        <v>#N/A</v>
      </c>
      <c r="BA35" s="14" t="e">
        <f t="shared" ca="1" si="4"/>
        <v>#N/A</v>
      </c>
      <c r="BB35" s="14" t="e">
        <f t="shared" ca="1" si="4"/>
        <v>#N/A</v>
      </c>
      <c r="BC35" s="14" t="e">
        <f t="shared" ca="1" si="4"/>
        <v>#N/A</v>
      </c>
      <c r="BD35" s="14" t="e">
        <f t="shared" ca="1" si="4"/>
        <v>#N/A</v>
      </c>
      <c r="BE35" s="14" t="e">
        <f t="shared" ca="1" si="4"/>
        <v>#N/A</v>
      </c>
      <c r="BF35" s="14" t="e">
        <f t="shared" ca="1" si="4"/>
        <v>#N/A</v>
      </c>
      <c r="BG35" s="14" t="e">
        <f t="shared" ca="1" si="4"/>
        <v>#N/A</v>
      </c>
      <c r="BH35" s="14" t="e">
        <f t="shared" ca="1" si="4"/>
        <v>#N/A</v>
      </c>
      <c r="BI35" s="14" t="e">
        <f t="shared" ca="1" si="4"/>
        <v>#N/A</v>
      </c>
      <c r="BJ35" s="14" t="e">
        <f t="shared" ca="1" si="4"/>
        <v>#N/A</v>
      </c>
      <c r="BK35" s="14" t="e">
        <f t="shared" ca="1" si="4"/>
        <v>#N/A</v>
      </c>
      <c r="BL35" s="14" t="e">
        <f t="shared" ca="1" si="4"/>
        <v>#N/A</v>
      </c>
      <c r="BM35" s="14" t="e">
        <f t="shared" ca="1" si="4"/>
        <v>#N/A</v>
      </c>
      <c r="BN35" s="14" t="e">
        <f t="shared" ca="1" si="4"/>
        <v>#N/A</v>
      </c>
      <c r="BO35" s="14" t="e">
        <f t="shared" ca="1" si="4"/>
        <v>#N/A</v>
      </c>
      <c r="BP35" s="14" t="e">
        <f t="shared" ca="1" si="4"/>
        <v>#N/A</v>
      </c>
      <c r="BQ35" s="14" t="e">
        <f t="shared" ca="1" si="4"/>
        <v>#N/A</v>
      </c>
      <c r="BR35" s="14" t="e">
        <f t="shared" ca="1" si="4"/>
        <v>#N/A</v>
      </c>
      <c r="BS35" s="10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5"/>
        <v>#N/A</v>
      </c>
      <c r="C36" s="11" t="s">
        <v>6</v>
      </c>
      <c r="D36" s="44" t="e">
        <f t="shared" si="6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 t="e">
        <f t="shared" ca="1" si="4"/>
        <v>#N/A</v>
      </c>
      <c r="AN36" s="14" t="e">
        <f t="shared" ca="1" si="4"/>
        <v>#N/A</v>
      </c>
      <c r="AO36" s="14" t="e">
        <f t="shared" ca="1" si="4"/>
        <v>#N/A</v>
      </c>
      <c r="AP36" s="14" t="e">
        <f t="shared" ca="1" si="4"/>
        <v>#N/A</v>
      </c>
      <c r="AQ36" s="14" t="e">
        <f t="shared" ca="1" si="4"/>
        <v>#N/A</v>
      </c>
      <c r="AR36" s="14" t="e">
        <f t="shared" ca="1" si="4"/>
        <v>#N/A</v>
      </c>
      <c r="AS36" s="14" t="e">
        <f t="shared" ca="1" si="4"/>
        <v>#N/A</v>
      </c>
      <c r="AT36" s="14" t="e">
        <f t="shared" ca="1" si="4"/>
        <v>#N/A</v>
      </c>
      <c r="AU36" s="14" t="e">
        <f t="shared" ca="1" si="4"/>
        <v>#N/A</v>
      </c>
      <c r="AV36" s="14" t="e">
        <f t="shared" ca="1" si="4"/>
        <v>#N/A</v>
      </c>
      <c r="AW36" s="14" t="e">
        <f t="shared" ca="1" si="4"/>
        <v>#N/A</v>
      </c>
      <c r="AX36" s="14" t="e">
        <f t="shared" ca="1" si="4"/>
        <v>#N/A</v>
      </c>
      <c r="AY36" s="14" t="e">
        <f t="shared" ca="1" si="4"/>
        <v>#N/A</v>
      </c>
      <c r="AZ36" s="14" t="e">
        <f t="shared" ca="1" si="4"/>
        <v>#N/A</v>
      </c>
      <c r="BA36" s="14" t="e">
        <f t="shared" ca="1" si="4"/>
        <v>#N/A</v>
      </c>
      <c r="BB36" s="14" t="e">
        <f t="shared" ca="1" si="4"/>
        <v>#N/A</v>
      </c>
      <c r="BC36" s="14" t="e">
        <f t="shared" ca="1" si="4"/>
        <v>#N/A</v>
      </c>
      <c r="BD36" s="14" t="e">
        <f t="shared" ca="1" si="4"/>
        <v>#N/A</v>
      </c>
      <c r="BE36" s="14" t="e">
        <f t="shared" ca="1" si="4"/>
        <v>#N/A</v>
      </c>
      <c r="BF36" s="14" t="e">
        <f t="shared" ca="1" si="4"/>
        <v>#N/A</v>
      </c>
      <c r="BG36" s="14" t="e">
        <f t="shared" ca="1" si="4"/>
        <v>#N/A</v>
      </c>
      <c r="BH36" s="14" t="e">
        <f t="shared" ca="1" si="4"/>
        <v>#N/A</v>
      </c>
      <c r="BI36" s="14" t="e">
        <f t="shared" ca="1" si="4"/>
        <v>#N/A</v>
      </c>
      <c r="BJ36" s="14" t="e">
        <f t="shared" ca="1" si="4"/>
        <v>#N/A</v>
      </c>
      <c r="BK36" s="14" t="e">
        <f t="shared" ca="1" si="4"/>
        <v>#N/A</v>
      </c>
      <c r="BL36" s="14" t="e">
        <f t="shared" ca="1" si="4"/>
        <v>#N/A</v>
      </c>
      <c r="BM36" s="14" t="e">
        <f t="shared" ca="1" si="4"/>
        <v>#N/A</v>
      </c>
      <c r="BN36" s="14" t="e">
        <f t="shared" ca="1" si="4"/>
        <v>#N/A</v>
      </c>
      <c r="BO36" s="14" t="e">
        <f t="shared" ca="1" si="4"/>
        <v>#N/A</v>
      </c>
      <c r="BP36" s="14" t="e">
        <f t="shared" ca="1" si="4"/>
        <v>#N/A</v>
      </c>
      <c r="BQ36" s="14" t="e">
        <f t="shared" ca="1" si="4"/>
        <v>#N/A</v>
      </c>
      <c r="BR36" s="14" t="e">
        <f t="shared" ca="1" si="4"/>
        <v>#N/A</v>
      </c>
      <c r="BS36" s="10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5"/>
        <v>#N/A</v>
      </c>
      <c r="C37" s="11" t="s">
        <v>7</v>
      </c>
      <c r="D37" s="44" t="e">
        <f t="shared" si="6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14" t="e">
        <f t="shared" ca="1" si="4"/>
        <v>#N/A</v>
      </c>
      <c r="AN37" s="14" t="e">
        <f t="shared" ca="1" si="4"/>
        <v>#N/A</v>
      </c>
      <c r="AO37" s="14" t="e">
        <f t="shared" ca="1" si="4"/>
        <v>#N/A</v>
      </c>
      <c r="AP37" s="14" t="e">
        <f t="shared" ca="1" si="4"/>
        <v>#N/A</v>
      </c>
      <c r="AQ37" s="14" t="e">
        <f t="shared" ca="1" si="4"/>
        <v>#N/A</v>
      </c>
      <c r="AR37" s="14" t="e">
        <f t="shared" ca="1" si="4"/>
        <v>#N/A</v>
      </c>
      <c r="AS37" s="14" t="e">
        <f t="shared" ca="1" si="4"/>
        <v>#N/A</v>
      </c>
      <c r="AT37" s="14" t="e">
        <f t="shared" ca="1" si="4"/>
        <v>#N/A</v>
      </c>
      <c r="AU37" s="14" t="e">
        <f t="shared" ca="1" si="4"/>
        <v>#N/A</v>
      </c>
      <c r="AV37" s="14" t="e">
        <f t="shared" ca="1" si="4"/>
        <v>#N/A</v>
      </c>
      <c r="AW37" s="14" t="e">
        <f t="shared" ca="1" si="4"/>
        <v>#N/A</v>
      </c>
      <c r="AX37" s="14" t="e">
        <f t="shared" ca="1" si="4"/>
        <v>#N/A</v>
      </c>
      <c r="AY37" s="14" t="e">
        <f t="shared" ca="1" si="4"/>
        <v>#N/A</v>
      </c>
      <c r="AZ37" s="14" t="e">
        <f t="shared" ca="1" si="4"/>
        <v>#N/A</v>
      </c>
      <c r="BA37" s="14" t="e">
        <f t="shared" ca="1" si="4"/>
        <v>#N/A</v>
      </c>
      <c r="BB37" s="14" t="e">
        <f t="shared" ca="1" si="4"/>
        <v>#N/A</v>
      </c>
      <c r="BC37" s="14" t="e">
        <f t="shared" ca="1" si="4"/>
        <v>#N/A</v>
      </c>
      <c r="BD37" s="14" t="e">
        <f t="shared" ca="1" si="4"/>
        <v>#N/A</v>
      </c>
      <c r="BE37" s="14" t="e">
        <f t="shared" ca="1" si="4"/>
        <v>#N/A</v>
      </c>
      <c r="BF37" s="14" t="e">
        <f t="shared" ca="1" si="4"/>
        <v>#N/A</v>
      </c>
      <c r="BG37" s="14" t="e">
        <f t="shared" ca="1" si="4"/>
        <v>#N/A</v>
      </c>
      <c r="BH37" s="14" t="e">
        <f t="shared" ca="1" si="4"/>
        <v>#N/A</v>
      </c>
      <c r="BI37" s="14" t="e">
        <f t="shared" ca="1" si="4"/>
        <v>#N/A</v>
      </c>
      <c r="BJ37" s="14" t="e">
        <f t="shared" ca="1" si="4"/>
        <v>#N/A</v>
      </c>
      <c r="BK37" s="14" t="e">
        <f t="shared" ca="1" si="4"/>
        <v>#N/A</v>
      </c>
      <c r="BL37" s="14" t="e">
        <f t="shared" ca="1" si="4"/>
        <v>#N/A</v>
      </c>
      <c r="BM37" s="14" t="e">
        <f t="shared" ca="1" si="4"/>
        <v>#N/A</v>
      </c>
      <c r="BN37" s="14" t="e">
        <f t="shared" ca="1" si="4"/>
        <v>#N/A</v>
      </c>
      <c r="BO37" s="14" t="e">
        <f t="shared" ca="1" si="4"/>
        <v>#N/A</v>
      </c>
      <c r="BP37" s="14" t="e">
        <f t="shared" ca="1" si="4"/>
        <v>#N/A</v>
      </c>
      <c r="BQ37" s="14" t="e">
        <f t="shared" ca="1" si="4"/>
        <v>#N/A</v>
      </c>
      <c r="BR37" s="14" t="e">
        <f t="shared" ca="1" si="4"/>
        <v>#N/A</v>
      </c>
      <c r="BS37" s="10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 t="e">
        <f t="shared" ref="F114:AL114" si="93">F$113*$B$2*SUMPRODUCT(F$90:F$91,F$56:F$57)/1000</f>
        <v>#DIV/0!</v>
      </c>
      <c r="G114" s="46" t="e">
        <f t="shared" si="93"/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t="shared" ref="F115:AL115" si="94">F$113*$B$2*SUMPRODUCT(F$87:F$88,F$53:F$54)/1000</f>
        <v>#DIV/0!</v>
      </c>
      <c r="G115" s="14" t="e">
        <f t="shared" si="94"/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 t="e">
        <f t="shared" ref="F116:AL116" si="95">F$113*$B$2*SUMPRODUCT(F$87:F$89,F$53:F$55)/1000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 t="e">
        <f>F115+F114</f>
        <v>#DIV/0!</v>
      </c>
      <c r="G117" s="14" t="e">
        <f t="shared" ref="G117:AL117" si="96">G115+G114</f>
        <v>#DIV/0!</v>
      </c>
      <c r="H117" s="14" t="e">
        <f t="shared" si="96"/>
        <v>#DIV/0!</v>
      </c>
      <c r="I117" s="14" t="e">
        <f t="shared" si="96"/>
        <v>#DIV/0!</v>
      </c>
      <c r="J117" s="14" t="e">
        <f t="shared" si="96"/>
        <v>#DIV/0!</v>
      </c>
      <c r="K117" s="14" t="e">
        <f t="shared" si="96"/>
        <v>#DIV/0!</v>
      </c>
      <c r="L117" s="14" t="e">
        <f t="shared" si="96"/>
        <v>#DIV/0!</v>
      </c>
      <c r="M117" s="14" t="e">
        <f t="shared" si="96"/>
        <v>#DIV/0!</v>
      </c>
      <c r="N117" s="14" t="e">
        <f t="shared" si="96"/>
        <v>#DIV/0!</v>
      </c>
      <c r="O117" s="14" t="e">
        <f t="shared" si="96"/>
        <v>#DIV/0!</v>
      </c>
      <c r="P117" s="14" t="e">
        <f t="shared" si="96"/>
        <v>#DIV/0!</v>
      </c>
      <c r="Q117" s="14" t="e">
        <f t="shared" si="96"/>
        <v>#DIV/0!</v>
      </c>
      <c r="R117" s="14" t="e">
        <f t="shared" si="96"/>
        <v>#DIV/0!</v>
      </c>
      <c r="S117" s="14" t="e">
        <f t="shared" si="96"/>
        <v>#DIV/0!</v>
      </c>
      <c r="T117" s="14" t="e">
        <f t="shared" si="96"/>
        <v>#DIV/0!</v>
      </c>
      <c r="U117" s="14" t="e">
        <f t="shared" si="96"/>
        <v>#DIV/0!</v>
      </c>
      <c r="V117" s="14" t="e">
        <f t="shared" si="96"/>
        <v>#DIV/0!</v>
      </c>
      <c r="W117" s="14" t="e">
        <f t="shared" si="96"/>
        <v>#DIV/0!</v>
      </c>
      <c r="X117" s="14" t="e">
        <f t="shared" si="96"/>
        <v>#DIV/0!</v>
      </c>
      <c r="Y117" s="14" t="e">
        <f t="shared" si="96"/>
        <v>#DIV/0!</v>
      </c>
      <c r="Z117" s="14" t="e">
        <f t="shared" si="96"/>
        <v>#DIV/0!</v>
      </c>
      <c r="AA117" s="14" t="e">
        <f t="shared" si="96"/>
        <v>#DIV/0!</v>
      </c>
      <c r="AB117" s="14" t="e">
        <f t="shared" si="96"/>
        <v>#DIV/0!</v>
      </c>
      <c r="AC117" s="14" t="e">
        <f t="shared" si="96"/>
        <v>#DIV/0!</v>
      </c>
      <c r="AD117" s="14" t="e">
        <f t="shared" si="96"/>
        <v>#DIV/0!</v>
      </c>
      <c r="AE117" s="14" t="e">
        <f t="shared" si="96"/>
        <v>#DIV/0!</v>
      </c>
      <c r="AF117" s="14" t="e">
        <f t="shared" si="96"/>
        <v>#DIV/0!</v>
      </c>
      <c r="AG117" s="14" t="e">
        <f t="shared" si="96"/>
        <v>#DIV/0!</v>
      </c>
      <c r="AH117" s="14" t="e">
        <f t="shared" si="96"/>
        <v>#DIV/0!</v>
      </c>
      <c r="AI117" s="14" t="e">
        <f t="shared" si="96"/>
        <v>#DIV/0!</v>
      </c>
      <c r="AJ117" s="14" t="e">
        <f t="shared" si="96"/>
        <v>#DIV/0!</v>
      </c>
      <c r="AK117" s="14" t="e">
        <f t="shared" si="96"/>
        <v>#DIV/0!</v>
      </c>
      <c r="AL117" s="14" t="e">
        <f t="shared" si="96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 t="str">
        <f ca="1"/>
        <v xml:space="preserve">Расвор: </v>
      </c>
      <c r="G123" s="47" t="str">
        <f ca="1"/>
        <v xml:space="preserve">Расвор: </v>
      </c>
      <c r="H123" s="47" t="str">
        <f ca="1"/>
        <v xml:space="preserve">Расвор: </v>
      </c>
      <c r="I123" s="47" t="str">
        <f ca="1"/>
        <v xml:space="preserve">Расвор: </v>
      </c>
      <c r="J123" s="47" t="str">
        <f ca="1"/>
        <v xml:space="preserve">Расвор: </v>
      </c>
      <c r="K123" s="47" t="str">
        <f ca="1"/>
        <v xml:space="preserve">Расвор: </v>
      </c>
      <c r="L123" s="47" t="str">
        <f ca="1"/>
        <v xml:space="preserve">Расвор: </v>
      </c>
      <c r="M123" s="47" t="str">
        <f ca="1"/>
        <v xml:space="preserve">Расвор: </v>
      </c>
      <c r="N123" s="47" t="str">
        <f ca="1"/>
        <v xml:space="preserve">Расвор: </v>
      </c>
      <c r="O123" s="47" t="str">
        <f ca="1"/>
        <v xml:space="preserve">Расвор: </v>
      </c>
      <c r="P123" s="47" t="str">
        <f ca="1"/>
        <v xml:space="preserve">Расвор: </v>
      </c>
      <c r="Q123" s="47" t="str">
        <f ca="1"/>
        <v xml:space="preserve">Расвор: </v>
      </c>
      <c r="R123" s="47" t="str">
        <f ca="1"/>
        <v xml:space="preserve">Расвор: </v>
      </c>
      <c r="S123" s="47" t="str">
        <f ca="1"/>
        <v xml:space="preserve">Расвор: </v>
      </c>
      <c r="T123" s="47" t="str">
        <f ca="1"/>
        <v xml:space="preserve">Расвор: </v>
      </c>
      <c r="U123" s="47" t="str">
        <f ca="1"/>
        <v xml:space="preserve">Расвор: </v>
      </c>
      <c r="V123" s="47" t="str">
        <f ca="1"/>
        <v xml:space="preserve">Расвор: </v>
      </c>
      <c r="W123" s="47" t="str">
        <f ca="1"/>
        <v xml:space="preserve">Расвор: </v>
      </c>
      <c r="X123" s="47" t="str">
        <f ca="1"/>
        <v xml:space="preserve">Расвор: </v>
      </c>
      <c r="Y123" s="47" t="str">
        <f ca="1"/>
        <v xml:space="preserve">Расвор: </v>
      </c>
      <c r="Z123" s="47" t="str">
        <f ca="1"/>
        <v xml:space="preserve">Расвор: </v>
      </c>
      <c r="AA123" s="47" t="str">
        <f ca="1"/>
        <v xml:space="preserve">Расвор: </v>
      </c>
      <c r="AB123" s="47" t="str">
        <f ca="1"/>
        <v xml:space="preserve">Расвор: </v>
      </c>
      <c r="AC123" s="47" t="str">
        <f ca="1"/>
        <v xml:space="preserve">Расвор: </v>
      </c>
      <c r="AD123" s="47" t="str">
        <f ca="1"/>
        <v xml:space="preserve">Расвор: </v>
      </c>
      <c r="AE123" s="47" t="str">
        <f ca="1"/>
        <v xml:space="preserve">Расвор: </v>
      </c>
      <c r="AF123" s="47" t="str">
        <f ca="1"/>
        <v xml:space="preserve">Расвор: </v>
      </c>
      <c r="AG123" s="47" t="str">
        <f ca="1"/>
        <v xml:space="preserve">Расвор: </v>
      </c>
      <c r="AH123" s="47" t="str">
        <f ca="1"/>
        <v xml:space="preserve">Расвор: </v>
      </c>
      <c r="AI123" s="47" t="str">
        <f ca="1"/>
        <v xml:space="preserve">Расвор: </v>
      </c>
      <c r="AJ123" s="47" t="str">
        <f ca="1"/>
        <v xml:space="preserve">Расвор: </v>
      </c>
      <c r="AK123" s="47" t="str">
        <f ca="1"/>
        <v xml:space="preserve">Расвор: </v>
      </c>
      <c r="AL123" s="47" t="str">
        <f ca="1"/>
        <v xml:space="preserve">Расвор: </v>
      </c>
      <c r="AM123" s="47" t="str">
        <f ca="1"/>
        <v xml:space="preserve">Расвор: </v>
      </c>
      <c r="AN123" s="47" t="str">
        <f ca="1"/>
        <v xml:space="preserve">Расвор: </v>
      </c>
      <c r="AO123" s="47" t="str">
        <f ca="1"/>
        <v xml:space="preserve">Расвор: </v>
      </c>
      <c r="AP123" s="47" t="str">
        <f ca="1"/>
        <v xml:space="preserve">Расвор: </v>
      </c>
      <c r="AQ123" s="47" t="str">
        <f ca="1"/>
        <v xml:space="preserve">Расвор: </v>
      </c>
      <c r="AR123" s="47" t="str">
        <f ca="1"/>
        <v xml:space="preserve">Расвор: </v>
      </c>
      <c r="AS123" s="47" t="str">
        <f ca="1"/>
        <v xml:space="preserve">Расвор: </v>
      </c>
      <c r="AT123" s="47" t="str">
        <f ca="1"/>
        <v xml:space="preserve">Расвор: </v>
      </c>
      <c r="AU123" s="47" t="str">
        <f ca="1"/>
        <v xml:space="preserve">Расвор: </v>
      </c>
      <c r="AV123" s="47" t="str">
        <f ca="1"/>
        <v xml:space="preserve">Расвор: </v>
      </c>
      <c r="AW123" s="47" t="str">
        <f ca="1"/>
        <v xml:space="preserve">Расвор: </v>
      </c>
      <c r="AX123" s="47" t="str">
        <f ca="1"/>
        <v xml:space="preserve">Расвор: </v>
      </c>
      <c r="AY123" s="47" t="str">
        <f ca="1"/>
        <v xml:space="preserve">Расвор: </v>
      </c>
      <c r="AZ123" s="47" t="str">
        <f ca="1"/>
        <v xml:space="preserve">Расвор: </v>
      </c>
      <c r="BA123" s="47" t="str">
        <f ca="1"/>
        <v xml:space="preserve">Расвор: </v>
      </c>
      <c r="BB123" s="47" t="str">
        <f ca="1"/>
        <v xml:space="preserve">Расвор: </v>
      </c>
      <c r="BC123" s="47" t="str">
        <f ca="1"/>
        <v xml:space="preserve">Расвор: </v>
      </c>
      <c r="BD123" s="47" t="str">
        <f ca="1"/>
        <v xml:space="preserve">Расвор: </v>
      </c>
      <c r="BE123" s="47" t="str">
        <f ca="1"/>
        <v xml:space="preserve">Расвор: </v>
      </c>
      <c r="BF123" s="47" t="str">
        <f ca="1"/>
        <v xml:space="preserve">Расвор: </v>
      </c>
      <c r="BG123" s="47" t="str">
        <f ca="1"/>
        <v xml:space="preserve">Расвор: </v>
      </c>
      <c r="BH123" s="47" t="str">
        <f ca="1"/>
        <v xml:space="preserve">Расвор: </v>
      </c>
      <c r="BI123" s="47" t="str">
        <f ca="1"/>
        <v xml:space="preserve">Расвор: </v>
      </c>
      <c r="BJ123" s="47" t="str">
        <f ca="1"/>
        <v xml:space="preserve">Расвор: </v>
      </c>
      <c r="BK123" s="47" t="str">
        <f ca="1"/>
        <v xml:space="preserve">Расвор: </v>
      </c>
      <c r="BL123" s="47" t="str">
        <f ca="1"/>
        <v xml:space="preserve">Расвор: </v>
      </c>
      <c r="BM123" s="47" t="str">
        <f ca="1"/>
        <v xml:space="preserve">Расвор: </v>
      </c>
      <c r="BN123" s="47" t="str">
        <f ca="1"/>
        <v xml:space="preserve">Расвор: </v>
      </c>
      <c r="BO123" s="47" t="str">
        <f ca="1"/>
        <v xml:space="preserve">Расвор: </v>
      </c>
      <c r="BP123" s="47" t="str">
        <f ca="1"/>
        <v xml:space="preserve">Расвор: </v>
      </c>
      <c r="BQ123" s="47" t="str">
        <f ca="1"/>
        <v xml:space="preserve">Расвор: </v>
      </c>
      <c r="BR123" s="47" t="str">
        <f ca="1"/>
        <v xml:space="preserve">Расвор: 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customHeight="1" outlineLevel="1" thickBot="1" x14ac:dyDescent="0.4">
      <c r="E125" s="17" t="str">
        <f ca="1"/>
        <v xml:space="preserve">Газовая: </v>
      </c>
      <c r="F125" s="47" t="str">
        <f ca="1"/>
        <v xml:space="preserve">Газовая: </v>
      </c>
      <c r="G125" s="47" t="str">
        <f ca="1"/>
        <v xml:space="preserve">Газовая: </v>
      </c>
      <c r="H125" s="47" t="str">
        <f ca="1"/>
        <v xml:space="preserve">Газовая: </v>
      </c>
      <c r="I125" s="47" t="str">
        <f ca="1"/>
        <v xml:space="preserve">Газовая: </v>
      </c>
      <c r="J125" s="47" t="str">
        <f ca="1"/>
        <v xml:space="preserve">Газовая: </v>
      </c>
      <c r="K125" s="47" t="str">
        <f ca="1"/>
        <v xml:space="preserve">Газовая: </v>
      </c>
      <c r="L125" s="47" t="str">
        <f ca="1"/>
        <v xml:space="preserve">Газовая: </v>
      </c>
      <c r="M125" s="47" t="str">
        <f ca="1"/>
        <v xml:space="preserve">Газовая: </v>
      </c>
      <c r="N125" s="47" t="str">
        <f ca="1"/>
        <v xml:space="preserve">Газовая: </v>
      </c>
      <c r="O125" s="47" t="str">
        <f ca="1"/>
        <v xml:space="preserve">Газовая: </v>
      </c>
      <c r="P125" s="47" t="str">
        <f ca="1"/>
        <v xml:space="preserve">Газовая: </v>
      </c>
      <c r="Q125" s="47" t="str">
        <f ca="1"/>
        <v xml:space="preserve">Газовая: </v>
      </c>
      <c r="R125" s="47" t="str">
        <f ca="1"/>
        <v xml:space="preserve">Газовая: </v>
      </c>
      <c r="S125" s="47" t="str">
        <f ca="1"/>
        <v xml:space="preserve">Газовая: </v>
      </c>
      <c r="T125" s="47" t="str">
        <f ca="1"/>
        <v xml:space="preserve">Газовая: </v>
      </c>
      <c r="U125" s="47" t="str">
        <f ca="1"/>
        <v xml:space="preserve">Газовая: </v>
      </c>
      <c r="V125" s="47" t="str">
        <f ca="1"/>
        <v xml:space="preserve">Газовая: </v>
      </c>
      <c r="W125" s="47" t="str">
        <f ca="1"/>
        <v xml:space="preserve">Газовая: </v>
      </c>
      <c r="X125" s="47" t="str">
        <f ca="1"/>
        <v xml:space="preserve">Газовая: </v>
      </c>
      <c r="Y125" s="47" t="str">
        <f ca="1"/>
        <v xml:space="preserve">Газовая: </v>
      </c>
      <c r="Z125" s="47" t="str">
        <f ca="1"/>
        <v xml:space="preserve">Газовая: </v>
      </c>
      <c r="AA125" s="47" t="str">
        <f ca="1"/>
        <v xml:space="preserve">Газовая: </v>
      </c>
      <c r="AB125" s="47" t="str">
        <f ca="1"/>
        <v xml:space="preserve">Газовая: </v>
      </c>
      <c r="AC125" s="47" t="str">
        <f ca="1"/>
        <v xml:space="preserve">Газовая: </v>
      </c>
      <c r="AD125" s="47" t="str">
        <f ca="1"/>
        <v xml:space="preserve">Газовая: </v>
      </c>
      <c r="AE125" s="47" t="str">
        <f ca="1"/>
        <v xml:space="preserve">Газовая: </v>
      </c>
      <c r="AF125" s="47" t="str">
        <f ca="1"/>
        <v xml:space="preserve">Газовая: </v>
      </c>
      <c r="AG125" s="47" t="str">
        <f ca="1"/>
        <v xml:space="preserve">Газовая: </v>
      </c>
      <c r="AH125" s="47" t="str">
        <f ca="1"/>
        <v xml:space="preserve">Газовая: </v>
      </c>
      <c r="AI125" s="47" t="str">
        <f ca="1"/>
        <v xml:space="preserve">Газовая: </v>
      </c>
      <c r="AJ125" s="47" t="str">
        <f ca="1"/>
        <v xml:space="preserve">Газовая: </v>
      </c>
      <c r="AK125" s="47" t="str">
        <f ca="1"/>
        <v xml:space="preserve">Газовая: </v>
      </c>
      <c r="AL125" s="47" t="str">
        <f ca="1"/>
        <v xml:space="preserve">Газовая: </v>
      </c>
      <c r="AM125" s="47" t="str">
        <f ca="1"/>
        <v xml:space="preserve">Газовая: </v>
      </c>
      <c r="AN125" s="47" t="str">
        <f ca="1"/>
        <v xml:space="preserve">Газовая: </v>
      </c>
      <c r="AO125" s="47" t="str">
        <f ca="1"/>
        <v xml:space="preserve">Газовая: </v>
      </c>
      <c r="AP125" s="47" t="str">
        <f ca="1"/>
        <v xml:space="preserve">Газовая: </v>
      </c>
      <c r="AQ125" s="47" t="str">
        <f ca="1"/>
        <v xml:space="preserve">Газовая: </v>
      </c>
      <c r="AR125" s="47" t="str">
        <f ca="1"/>
        <v xml:space="preserve">Газовая: </v>
      </c>
      <c r="AS125" s="47" t="str">
        <f ca="1"/>
        <v xml:space="preserve">Газовая: </v>
      </c>
      <c r="AT125" s="47" t="str">
        <f ca="1"/>
        <v xml:space="preserve">Газовая: </v>
      </c>
      <c r="AU125" s="47" t="str">
        <f ca="1"/>
        <v xml:space="preserve">Газовая: </v>
      </c>
      <c r="AV125" s="47" t="str">
        <f ca="1"/>
        <v xml:space="preserve">Газовая: </v>
      </c>
      <c r="AW125" s="47" t="str">
        <f ca="1"/>
        <v xml:space="preserve">Газовая: </v>
      </c>
      <c r="AX125" s="47" t="str">
        <f ca="1"/>
        <v xml:space="preserve">Газовая: </v>
      </c>
      <c r="AY125" s="47" t="str">
        <f ca="1"/>
        <v xml:space="preserve">Газовая: </v>
      </c>
      <c r="AZ125" s="47" t="str">
        <f ca="1"/>
        <v xml:space="preserve">Газовая: </v>
      </c>
      <c r="BA125" s="47" t="str">
        <f ca="1"/>
        <v xml:space="preserve">Газовая: </v>
      </c>
      <c r="BB125" s="47" t="str">
        <f ca="1"/>
        <v xml:space="preserve">Газовая: </v>
      </c>
      <c r="BC125" s="47" t="str">
        <f ca="1"/>
        <v xml:space="preserve">Газовая: </v>
      </c>
      <c r="BD125" s="47" t="str">
        <f ca="1"/>
        <v xml:space="preserve">Газовая: </v>
      </c>
      <c r="BE125" s="47" t="str">
        <f ca="1"/>
        <v xml:space="preserve">Газовая: </v>
      </c>
      <c r="BF125" s="47" t="str">
        <f ca="1"/>
        <v xml:space="preserve">Газовая: </v>
      </c>
      <c r="BG125" s="47" t="str">
        <f ca="1"/>
        <v xml:space="preserve">Газовая: </v>
      </c>
      <c r="BH125" s="47" t="str">
        <f ca="1"/>
        <v xml:space="preserve">Газовая: </v>
      </c>
      <c r="BI125" s="47" t="str">
        <f ca="1"/>
        <v xml:space="preserve">Газовая: </v>
      </c>
      <c r="BJ125" s="47" t="str">
        <f ca="1"/>
        <v xml:space="preserve">Газовая: </v>
      </c>
      <c r="BK125" s="47" t="str">
        <f ca="1"/>
        <v xml:space="preserve">Газовая: </v>
      </c>
      <c r="BL125" s="47" t="str">
        <f ca="1"/>
        <v xml:space="preserve">Газовая: </v>
      </c>
      <c r="BM125" s="47" t="str">
        <f ca="1"/>
        <v xml:space="preserve">Газовая: </v>
      </c>
      <c r="BN125" s="47" t="str">
        <f ca="1"/>
        <v xml:space="preserve">Газовая: </v>
      </c>
      <c r="BO125" s="47" t="str">
        <f ca="1"/>
        <v xml:space="preserve">Газовая: </v>
      </c>
      <c r="BP125" s="47" t="str">
        <f ca="1"/>
        <v xml:space="preserve">Газовая: </v>
      </c>
      <c r="BQ125" s="47" t="str">
        <f ca="1"/>
        <v xml:space="preserve">Газовая: </v>
      </c>
      <c r="BR125" s="47" t="str">
        <f ca="1"/>
        <v xml:space="preserve">Газовая: 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 t="str">
        <f ca="1"/>
        <v>Раствор + газовая без Ar</v>
      </c>
      <c r="G126" s="47" t="str">
        <f ca="1"/>
        <v>Раствор + газовая без Ar</v>
      </c>
      <c r="H126" s="47" t="str">
        <f ca="1"/>
        <v>Раствор + газовая без Ar</v>
      </c>
      <c r="I126" s="47" t="str">
        <f ca="1"/>
        <v>Раствор + газовая без Ar</v>
      </c>
      <c r="J126" s="47" t="str">
        <f ca="1"/>
        <v>Раствор + газовая без Ar</v>
      </c>
      <c r="K126" s="47" t="str">
        <f ca="1"/>
        <v>Раствор + газовая без Ar</v>
      </c>
      <c r="L126" s="47" t="str">
        <f ca="1"/>
        <v>Раствор + газовая без Ar</v>
      </c>
      <c r="M126" s="47" t="str">
        <f ca="1"/>
        <v>Раствор + газовая без Ar</v>
      </c>
      <c r="N126" s="47" t="str">
        <f ca="1"/>
        <v>Раствор + газовая без Ar</v>
      </c>
      <c r="O126" s="47" t="str">
        <f ca="1"/>
        <v>Раствор + газовая без Ar</v>
      </c>
      <c r="P126" s="47" t="str">
        <f ca="1"/>
        <v>Раствор + газовая без Ar</v>
      </c>
      <c r="Q126" s="47" t="str">
        <f ca="1"/>
        <v>Раствор + газовая без Ar</v>
      </c>
      <c r="R126" s="47" t="str">
        <f ca="1"/>
        <v>Раствор + газовая без Ar</v>
      </c>
      <c r="S126" s="47" t="str">
        <f ca="1"/>
        <v>Раствор + газовая без Ar</v>
      </c>
      <c r="T126" s="47" t="str">
        <f ca="1"/>
        <v>Раствор + газовая без Ar</v>
      </c>
      <c r="U126" s="47" t="str">
        <f ca="1"/>
        <v>Раствор + газовая без Ar</v>
      </c>
      <c r="V126" s="47" t="str">
        <f ca="1"/>
        <v>Раствор + газовая без Ar</v>
      </c>
      <c r="W126" s="47" t="str">
        <f ca="1"/>
        <v>Раствор + газовая без Ar</v>
      </c>
      <c r="X126" s="47" t="str">
        <f ca="1"/>
        <v>Раствор + газовая без Ar</v>
      </c>
      <c r="Y126" s="47" t="str">
        <f ca="1"/>
        <v>Раствор + газовая без Ar</v>
      </c>
      <c r="Z126" s="47" t="str">
        <f ca="1"/>
        <v>Раствор + газовая без Ar</v>
      </c>
      <c r="AA126" s="47" t="str">
        <f ca="1"/>
        <v>Раствор + газовая без Ar</v>
      </c>
      <c r="AB126" s="47" t="str">
        <f ca="1"/>
        <v>Раствор + газовая без Ar</v>
      </c>
      <c r="AC126" s="47" t="str">
        <f ca="1"/>
        <v>Раствор + газовая без Ar</v>
      </c>
      <c r="AD126" s="47" t="str">
        <f ca="1"/>
        <v>Раствор + газовая без Ar</v>
      </c>
      <c r="AE126" s="47" t="str">
        <f ca="1"/>
        <v>Раствор + газовая без Ar</v>
      </c>
      <c r="AF126" s="47" t="str">
        <f ca="1"/>
        <v>Раствор + газовая без Ar</v>
      </c>
      <c r="AG126" s="47" t="str">
        <f ca="1"/>
        <v>Раствор + газовая без Ar</v>
      </c>
      <c r="AH126" s="47" t="str">
        <f ca="1"/>
        <v>Раствор + газовая без Ar</v>
      </c>
      <c r="AI126" s="47" t="str">
        <f ca="1"/>
        <v>Раствор + газовая без Ar</v>
      </c>
      <c r="AJ126" s="47" t="str">
        <f ca="1"/>
        <v>Раствор + газовая без Ar</v>
      </c>
      <c r="AK126" s="47" t="str">
        <f ca="1"/>
        <v>Раствор + газовая без Ar</v>
      </c>
      <c r="AL126" s="47" t="str">
        <f ca="1"/>
        <v>Раствор + газовая без Ar</v>
      </c>
      <c r="AM126" s="47" t="str">
        <f ca="1"/>
        <v>Раствор + газовая без Ar</v>
      </c>
      <c r="AN126" s="47" t="str">
        <f ca="1"/>
        <v>Раствор + газовая без Ar</v>
      </c>
      <c r="AO126" s="47" t="str">
        <f ca="1"/>
        <v>Раствор + газовая без Ar</v>
      </c>
      <c r="AP126" s="47" t="str">
        <f ca="1"/>
        <v>Раствор + газовая без Ar</v>
      </c>
      <c r="AQ126" s="47" t="str">
        <f ca="1"/>
        <v>Раствор + газовая без Ar</v>
      </c>
      <c r="AR126" s="47" t="str">
        <f ca="1"/>
        <v>Раствор + газовая без Ar</v>
      </c>
      <c r="AS126" s="47" t="str">
        <f ca="1"/>
        <v>Раствор + газовая без Ar</v>
      </c>
      <c r="AT126" s="47" t="str">
        <f ca="1"/>
        <v>Раствор + газовая без Ar</v>
      </c>
      <c r="AU126" s="47" t="str">
        <f ca="1"/>
        <v>Раствор + газовая без Ar</v>
      </c>
      <c r="AV126" s="47" t="str">
        <f ca="1"/>
        <v>Раствор + газовая без Ar</v>
      </c>
      <c r="AW126" s="47" t="str">
        <f ca="1"/>
        <v>Раствор + газовая без Ar</v>
      </c>
      <c r="AX126" s="47" t="str">
        <f ca="1"/>
        <v>Раствор + газовая без Ar</v>
      </c>
      <c r="AY126" s="47" t="str">
        <f ca="1"/>
        <v>Раствор + газовая без Ar</v>
      </c>
      <c r="AZ126" s="47" t="str">
        <f ca="1"/>
        <v>Раствор + газовая без Ar</v>
      </c>
      <c r="BA126" s="47" t="str">
        <f ca="1"/>
        <v>Раствор + газовая без Ar</v>
      </c>
      <c r="BB126" s="47" t="str">
        <f ca="1"/>
        <v>Раствор + газовая без Ar</v>
      </c>
      <c r="BC126" s="47" t="str">
        <f ca="1"/>
        <v>Раствор + газовая без Ar</v>
      </c>
      <c r="BD126" s="47" t="str">
        <f ca="1"/>
        <v>Раствор + газовая без Ar</v>
      </c>
      <c r="BE126" s="47" t="str">
        <f ca="1"/>
        <v>Раствор + газовая без Ar</v>
      </c>
      <c r="BF126" s="47" t="str">
        <f ca="1"/>
        <v>Раствор + газовая без Ar</v>
      </c>
      <c r="BG126" s="47" t="str">
        <f ca="1"/>
        <v>Раствор + газовая без Ar</v>
      </c>
      <c r="BH126" s="47" t="str">
        <f ca="1"/>
        <v>Раствор + газовая без Ar</v>
      </c>
      <c r="BI126" s="47" t="str">
        <f ca="1"/>
        <v>Раствор + газовая без Ar</v>
      </c>
      <c r="BJ126" s="47" t="str">
        <f ca="1"/>
        <v>Раствор + газовая без Ar</v>
      </c>
      <c r="BK126" s="47" t="str">
        <f ca="1"/>
        <v>Раствор + газовая без Ar</v>
      </c>
      <c r="BL126" s="47" t="str">
        <f ca="1"/>
        <v>Раствор + газовая без Ar</v>
      </c>
      <c r="BM126" s="47" t="str">
        <f ca="1"/>
        <v>Раствор + газовая без Ar</v>
      </c>
      <c r="BN126" s="47" t="str">
        <f ca="1"/>
        <v>Раствор + газовая без Ar</v>
      </c>
      <c r="BO126" s="47" t="str">
        <f ca="1"/>
        <v>Раствор + газовая без Ar</v>
      </c>
      <c r="BP126" s="47" t="str">
        <f ca="1"/>
        <v>Раствор + газовая без Ar</v>
      </c>
      <c r="BQ126" s="47" t="str">
        <f ca="1"/>
        <v>Раствор + газовая без Ar</v>
      </c>
      <c r="BR126" s="47" t="str">
        <f ca="1"/>
        <v>Раствор + газовая без Ar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7" priority="189" operator="equal">
      <formula>0</formula>
    </cfRule>
  </conditionalFormatting>
  <conditionalFormatting sqref="A80:D109">
    <cfRule type="cellIs" dxfId="16" priority="188" operator="equal">
      <formula>0</formula>
    </cfRule>
  </conditionalFormatting>
  <conditionalFormatting sqref="A46:D75">
    <cfRule type="cellIs" dxfId="15" priority="141" operator="equal">
      <formula>0</formula>
    </cfRule>
  </conditionalFormatting>
  <conditionalFormatting sqref="B34:B37">
    <cfRule type="cellIs" dxfId="14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4"/>
  <sheetViews>
    <sheetView tabSelected="1" zoomScale="85" zoomScaleNormal="85" workbookViewId="0">
      <pane ySplit="1" topLeftCell="A34" activePane="bottomLeft" state="frozen"/>
      <selection pane="bottomLeft" activeCell="CE101" sqref="CE101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6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FLUID!F45</f>
        <v>0</v>
      </c>
      <c r="C2" s="4">
        <f>FLUID!G45</f>
        <v>0</v>
      </c>
      <c r="D2" s="4">
        <f>FLUID!H45</f>
        <v>0</v>
      </c>
      <c r="E2" s="4">
        <f>FLUID!I45</f>
        <v>0</v>
      </c>
      <c r="F2" s="4">
        <f>FLUID!J45</f>
        <v>0</v>
      </c>
      <c r="G2" s="4">
        <f>FLUID!K45</f>
        <v>0</v>
      </c>
      <c r="H2" s="4">
        <f>FLUID!L45</f>
        <v>0</v>
      </c>
      <c r="I2" s="4">
        <f>FLUID!M45</f>
        <v>0</v>
      </c>
      <c r="J2" s="4">
        <f>FLUID!N45</f>
        <v>0</v>
      </c>
      <c r="K2" s="4">
        <f>FLUID!O45</f>
        <v>0</v>
      </c>
      <c r="L2" s="4">
        <f>FLUID!P45</f>
        <v>0</v>
      </c>
      <c r="M2" s="4">
        <f>FLUID!Q45</f>
        <v>0</v>
      </c>
      <c r="N2" s="4">
        <f>FLUID!R45</f>
        <v>0</v>
      </c>
      <c r="O2" s="4">
        <f>FLUID!S45</f>
        <v>0</v>
      </c>
      <c r="P2" s="4">
        <f>FLUID!T45</f>
        <v>0</v>
      </c>
      <c r="Q2" s="4">
        <f>FLUID!U45</f>
        <v>0</v>
      </c>
      <c r="R2" s="4">
        <f>FLUID!V45</f>
        <v>0</v>
      </c>
      <c r="S2" s="4">
        <f>FLUID!W45</f>
        <v>0</v>
      </c>
      <c r="T2" s="4">
        <f>FLUID!X45</f>
        <v>0</v>
      </c>
      <c r="U2" s="4">
        <f>FLUID!Y45</f>
        <v>0</v>
      </c>
      <c r="V2" s="4">
        <f>FLUID!Z45</f>
        <v>0</v>
      </c>
      <c r="W2" s="4">
        <f>FLUID!AA45</f>
        <v>0</v>
      </c>
      <c r="X2" s="4">
        <f>FLUID!AB45</f>
        <v>0</v>
      </c>
      <c r="Y2" s="4">
        <f>FLUID!AC45</f>
        <v>0</v>
      </c>
      <c r="Z2" s="4">
        <f>FLUID!AD45</f>
        <v>0</v>
      </c>
      <c r="AA2" s="4">
        <f>FLUID!AE45</f>
        <v>0</v>
      </c>
      <c r="AB2" s="4">
        <f>FLUID!AF45</f>
        <v>0</v>
      </c>
      <c r="AC2" s="4">
        <f>FLUID!AG45</f>
        <v>0</v>
      </c>
      <c r="AD2" s="4">
        <f>FLUID!AH45</f>
        <v>0</v>
      </c>
      <c r="AE2" s="4">
        <f>FLUID!AI45</f>
        <v>0</v>
      </c>
      <c r="AF2" s="4">
        <f>FLUID!AJ45</f>
        <v>0</v>
      </c>
      <c r="AG2" s="4">
        <f>FLUID!AK45</f>
        <v>0</v>
      </c>
      <c r="AH2" s="4">
        <f>FLUID!AL45</f>
        <v>0</v>
      </c>
      <c r="AI2" s="4">
        <f>FLUID!AM45</f>
        <v>0</v>
      </c>
      <c r="AJ2" s="4">
        <f>FLUID!AN45</f>
        <v>0</v>
      </c>
      <c r="AK2" s="4">
        <f>FLUID!AO45</f>
        <v>0</v>
      </c>
      <c r="AL2" s="4">
        <f>FLUID!AP45</f>
        <v>0</v>
      </c>
      <c r="AM2" s="4">
        <f>FLUID!AQ45</f>
        <v>0</v>
      </c>
      <c r="AN2" s="4">
        <f>FLUID!AR45</f>
        <v>0</v>
      </c>
      <c r="AO2" s="4">
        <f>FLUID!AS45</f>
        <v>0</v>
      </c>
      <c r="AP2" s="4">
        <f>FLUID!AT45</f>
        <v>0</v>
      </c>
      <c r="AQ2" s="4">
        <f>FLUID!AU45</f>
        <v>0</v>
      </c>
      <c r="AR2" s="4">
        <f>FLUID!AV45</f>
        <v>0</v>
      </c>
      <c r="AS2" s="4">
        <f>FLUID!AW45</f>
        <v>0</v>
      </c>
      <c r="AT2" s="4">
        <f>FLUID!AX45</f>
        <v>0</v>
      </c>
      <c r="AU2" s="4">
        <f>FLUID!AY45</f>
        <v>0</v>
      </c>
      <c r="AV2" s="4">
        <f>FLUID!AZ45</f>
        <v>0</v>
      </c>
      <c r="AW2" s="4">
        <f>FLUID!BA45</f>
        <v>0</v>
      </c>
      <c r="AX2" s="4">
        <f>FLUID!BB45</f>
        <v>0</v>
      </c>
      <c r="AY2" s="4">
        <f>FLUID!BC45</f>
        <v>0</v>
      </c>
      <c r="AZ2" s="4">
        <f>FLUID!BD45</f>
        <v>0</v>
      </c>
      <c r="BA2" s="4">
        <f>FLUID!BE45</f>
        <v>0</v>
      </c>
      <c r="BB2" s="4">
        <f>FLUID!BF45</f>
        <v>0</v>
      </c>
      <c r="BC2" s="4">
        <f>FLUID!BG45</f>
        <v>0</v>
      </c>
      <c r="BD2" s="4">
        <f>FLUID!BH45</f>
        <v>0</v>
      </c>
      <c r="BE2" s="4">
        <f>FLUID!BI45</f>
        <v>0</v>
      </c>
      <c r="BF2" s="4">
        <f>FLUID!BJ45</f>
        <v>0</v>
      </c>
      <c r="BG2" s="4">
        <f>FLUID!BK45</f>
        <v>0</v>
      </c>
      <c r="BH2" s="4">
        <f>FLUID!BL45</f>
        <v>0</v>
      </c>
      <c r="BI2" s="4">
        <f>FLUID!BM45</f>
        <v>0</v>
      </c>
      <c r="BJ2" s="4">
        <f>FLUID!BN45</f>
        <v>0</v>
      </c>
      <c r="BK2" s="4">
        <f>FLUID!BO45</f>
        <v>0</v>
      </c>
      <c r="BL2" s="4">
        <f>FLUID!BP45</f>
        <v>0</v>
      </c>
      <c r="BM2" s="4">
        <f>FLUID!BQ45</f>
        <v>0</v>
      </c>
      <c r="BN2" s="4">
        <f>FLUID!BR45</f>
        <v>0</v>
      </c>
      <c r="BO2" s="4">
        <f>FLUID!BS45</f>
        <v>0</v>
      </c>
      <c r="BP2" s="4">
        <f>FLUID!BT45</f>
        <v>0</v>
      </c>
      <c r="BQ2" s="4">
        <f>FLUID!BU45</f>
        <v>0</v>
      </c>
      <c r="BR2" s="4">
        <f>FLUID!BV45</f>
        <v>0</v>
      </c>
      <c r="BS2" s="4">
        <f>FLUID!BW45</f>
        <v>0</v>
      </c>
      <c r="BT2" s="4">
        <f>FLUID!BX45</f>
        <v>0</v>
      </c>
    </row>
    <row r="3" spans="1:72" ht="22.5" hidden="1" outlineLevel="1" thickTop="1" thickBot="1" x14ac:dyDescent="0.4">
      <c r="A3" s="87">
        <f>FLUID!E46</f>
        <v>0</v>
      </c>
      <c r="B3" s="100" t="e">
        <f ca="1">FLUID!F46</f>
        <v>#N/A</v>
      </c>
      <c r="C3" s="100" t="e">
        <f ca="1">FLUID!G46</f>
        <v>#N/A</v>
      </c>
      <c r="D3" s="100" t="e">
        <f ca="1">FLUID!H46</f>
        <v>#N/A</v>
      </c>
      <c r="E3" s="100" t="e">
        <f ca="1">FLUID!I46</f>
        <v>#N/A</v>
      </c>
      <c r="F3" s="100" t="e">
        <f ca="1">FLUID!J46</f>
        <v>#N/A</v>
      </c>
      <c r="G3" s="100" t="e">
        <f ca="1">FLUID!K46</f>
        <v>#N/A</v>
      </c>
      <c r="H3" s="100" t="e">
        <f ca="1">FLUID!L46</f>
        <v>#N/A</v>
      </c>
      <c r="I3" s="100" t="e">
        <f ca="1">FLUID!M46</f>
        <v>#N/A</v>
      </c>
      <c r="J3" s="100" t="e">
        <f ca="1">FLUID!N46</f>
        <v>#N/A</v>
      </c>
      <c r="K3" s="100" t="e">
        <f ca="1">FLUID!O46</f>
        <v>#N/A</v>
      </c>
      <c r="L3" s="100" t="e">
        <f ca="1">FLUID!P46</f>
        <v>#N/A</v>
      </c>
      <c r="M3" s="100" t="e">
        <f ca="1">FLUID!Q46</f>
        <v>#N/A</v>
      </c>
      <c r="N3" s="100" t="e">
        <f ca="1">FLUID!R46</f>
        <v>#N/A</v>
      </c>
      <c r="O3" s="100" t="e">
        <f ca="1">FLUID!S46</f>
        <v>#N/A</v>
      </c>
      <c r="P3" s="100" t="e">
        <f ca="1">FLUID!T46</f>
        <v>#N/A</v>
      </c>
      <c r="Q3" s="100" t="e">
        <f ca="1">FLUID!U46</f>
        <v>#N/A</v>
      </c>
      <c r="R3" s="100" t="e">
        <f ca="1">FLUID!V46</f>
        <v>#N/A</v>
      </c>
      <c r="S3" s="100" t="e">
        <f ca="1">FLUID!W46</f>
        <v>#N/A</v>
      </c>
      <c r="T3" s="100" t="e">
        <f ca="1">FLUID!X46</f>
        <v>#N/A</v>
      </c>
      <c r="U3" s="100" t="e">
        <f ca="1">FLUID!Y46</f>
        <v>#N/A</v>
      </c>
      <c r="V3" s="100" t="e">
        <f ca="1">FLUID!Z46</f>
        <v>#N/A</v>
      </c>
      <c r="W3" s="100" t="e">
        <f ca="1">FLUID!AA46</f>
        <v>#N/A</v>
      </c>
      <c r="X3" s="100" t="e">
        <f ca="1">FLUID!AB46</f>
        <v>#N/A</v>
      </c>
      <c r="Y3" s="100" t="e">
        <f ca="1">FLUID!AC46</f>
        <v>#N/A</v>
      </c>
      <c r="Z3" s="100" t="e">
        <f ca="1">FLUID!AD46</f>
        <v>#N/A</v>
      </c>
      <c r="AA3" s="100" t="e">
        <f ca="1">FLUID!AE46</f>
        <v>#N/A</v>
      </c>
      <c r="AB3" s="100" t="e">
        <f ca="1">FLUID!AF46</f>
        <v>#N/A</v>
      </c>
      <c r="AC3" s="100" t="e">
        <f ca="1">FLUID!AG46</f>
        <v>#N/A</v>
      </c>
      <c r="AD3" s="100" t="e">
        <f ca="1">FLUID!AH46</f>
        <v>#N/A</v>
      </c>
      <c r="AE3" s="100" t="e">
        <f ca="1">FLUID!AI46</f>
        <v>#N/A</v>
      </c>
      <c r="AF3" s="100" t="e">
        <f ca="1">FLUID!AJ46</f>
        <v>#N/A</v>
      </c>
      <c r="AG3" s="100" t="e">
        <f ca="1">FLUID!AK46</f>
        <v>#N/A</v>
      </c>
      <c r="AH3" s="100" t="e">
        <f ca="1">FLUID!AL46</f>
        <v>#N/A</v>
      </c>
      <c r="AI3" s="100" t="e">
        <f ca="1">FLUID!AM46</f>
        <v>#N/A</v>
      </c>
      <c r="AJ3" s="100" t="e">
        <f ca="1">FLUID!AN46</f>
        <v>#N/A</v>
      </c>
      <c r="AK3" s="100" t="e">
        <f ca="1">FLUID!AO46</f>
        <v>#N/A</v>
      </c>
      <c r="AL3" s="100" t="e">
        <f ca="1">FLUID!AP46</f>
        <v>#N/A</v>
      </c>
      <c r="AM3" s="100" t="e">
        <f ca="1">FLUID!AQ46</f>
        <v>#N/A</v>
      </c>
      <c r="AN3" s="100" t="e">
        <f ca="1">FLUID!AR46</f>
        <v>#N/A</v>
      </c>
      <c r="AO3" s="100" t="e">
        <f ca="1">FLUID!AS46</f>
        <v>#N/A</v>
      </c>
      <c r="AP3" s="100" t="e">
        <f ca="1">FLUID!AT46</f>
        <v>#N/A</v>
      </c>
      <c r="AQ3" s="100" t="e">
        <f ca="1">FLUID!AU46</f>
        <v>#N/A</v>
      </c>
      <c r="AR3" s="100" t="e">
        <f ca="1">FLUID!AV46</f>
        <v>#N/A</v>
      </c>
      <c r="AS3" s="100" t="e">
        <f ca="1">FLUID!AW46</f>
        <v>#N/A</v>
      </c>
      <c r="AT3" s="100" t="e">
        <f ca="1">FLUID!AX46</f>
        <v>#N/A</v>
      </c>
      <c r="AU3" s="100" t="e">
        <f ca="1">FLUID!AY46</f>
        <v>#N/A</v>
      </c>
      <c r="AV3" s="100" t="e">
        <f ca="1">FLUID!AZ46</f>
        <v>#N/A</v>
      </c>
      <c r="AW3" s="100" t="e">
        <f ca="1">FLUID!BA46</f>
        <v>#N/A</v>
      </c>
      <c r="AX3" s="100" t="e">
        <f ca="1">FLUID!BB46</f>
        <v>#N/A</v>
      </c>
      <c r="AY3" s="100" t="e">
        <f ca="1">FLUID!BC46</f>
        <v>#N/A</v>
      </c>
      <c r="AZ3" s="100" t="e">
        <f ca="1">FLUID!BD46</f>
        <v>#N/A</v>
      </c>
      <c r="BA3" s="100" t="e">
        <f ca="1">FLUID!BE46</f>
        <v>#N/A</v>
      </c>
      <c r="BB3" s="100" t="e">
        <f ca="1">FLUID!BF46</f>
        <v>#N/A</v>
      </c>
      <c r="BC3" s="100" t="e">
        <f ca="1">FLUID!BG46</f>
        <v>#N/A</v>
      </c>
      <c r="BD3" s="100" t="e">
        <f ca="1">FLUID!BH46</f>
        <v>#N/A</v>
      </c>
      <c r="BE3" s="100" t="e">
        <f ca="1">FLUID!BI46</f>
        <v>#N/A</v>
      </c>
      <c r="BF3" s="100" t="e">
        <f ca="1">FLUID!BJ46</f>
        <v>#N/A</v>
      </c>
      <c r="BG3" s="100" t="e">
        <f ca="1">FLUID!BK46</f>
        <v>#N/A</v>
      </c>
      <c r="BH3" s="100" t="e">
        <f ca="1">FLUID!BL46</f>
        <v>#N/A</v>
      </c>
      <c r="BI3" s="100" t="e">
        <f ca="1">FLUID!BM46</f>
        <v>#N/A</v>
      </c>
      <c r="BJ3" s="100" t="e">
        <f ca="1">FLUID!BN46</f>
        <v>#N/A</v>
      </c>
      <c r="BK3" s="100" t="e">
        <f ca="1">FLUID!BO46</f>
        <v>#N/A</v>
      </c>
      <c r="BL3" s="100" t="e">
        <f ca="1">FLUID!BP46</f>
        <v>#N/A</v>
      </c>
      <c r="BM3" s="100" t="e">
        <f ca="1">FLUID!BQ46</f>
        <v>#N/A</v>
      </c>
      <c r="BN3" s="100" t="e">
        <f ca="1">FLUID!BR46</f>
        <v>#N/A</v>
      </c>
      <c r="BO3" s="100">
        <f>FLUID!BS46</f>
        <v>0</v>
      </c>
      <c r="BP3" s="100">
        <f>FLUID!BT46</f>
        <v>0</v>
      </c>
      <c r="BQ3" s="100">
        <f>FLUID!BU46</f>
        <v>0</v>
      </c>
      <c r="BR3" s="100">
        <f>FLUID!BV46</f>
        <v>0</v>
      </c>
      <c r="BS3" s="100">
        <f>FLUID!BW46</f>
        <v>0</v>
      </c>
      <c r="BT3" s="100">
        <f>FLUID!BX46</f>
        <v>0</v>
      </c>
    </row>
    <row r="4" spans="1:72" ht="21.75" hidden="1" outlineLevel="1" thickBot="1" x14ac:dyDescent="0.4">
      <c r="A4" s="87">
        <f>FLUID!E47</f>
        <v>0</v>
      </c>
      <c r="B4" s="100" t="e">
        <f ca="1">FLUID!F47</f>
        <v>#N/A</v>
      </c>
      <c r="C4" s="100" t="e">
        <f ca="1">FLUID!G47</f>
        <v>#N/A</v>
      </c>
      <c r="D4" s="100" t="e">
        <f ca="1">FLUID!H47</f>
        <v>#N/A</v>
      </c>
      <c r="E4" s="100" t="e">
        <f ca="1">FLUID!I47</f>
        <v>#N/A</v>
      </c>
      <c r="F4" s="100" t="e">
        <f ca="1">FLUID!J47</f>
        <v>#N/A</v>
      </c>
      <c r="G4" s="100" t="e">
        <f ca="1">FLUID!K47</f>
        <v>#N/A</v>
      </c>
      <c r="H4" s="100" t="e">
        <f ca="1">FLUID!L47</f>
        <v>#N/A</v>
      </c>
      <c r="I4" s="100" t="e">
        <f ca="1">FLUID!M47</f>
        <v>#N/A</v>
      </c>
      <c r="J4" s="100" t="e">
        <f ca="1">FLUID!N47</f>
        <v>#N/A</v>
      </c>
      <c r="K4" s="100" t="e">
        <f ca="1">FLUID!O47</f>
        <v>#N/A</v>
      </c>
      <c r="L4" s="100" t="e">
        <f ca="1">FLUID!P47</f>
        <v>#N/A</v>
      </c>
      <c r="M4" s="100" t="e">
        <f ca="1">FLUID!Q47</f>
        <v>#N/A</v>
      </c>
      <c r="N4" s="100" t="e">
        <f ca="1">FLUID!R47</f>
        <v>#N/A</v>
      </c>
      <c r="O4" s="100" t="e">
        <f ca="1">FLUID!S47</f>
        <v>#N/A</v>
      </c>
      <c r="P4" s="100" t="e">
        <f ca="1">FLUID!T47</f>
        <v>#N/A</v>
      </c>
      <c r="Q4" s="100" t="e">
        <f ca="1">FLUID!U47</f>
        <v>#N/A</v>
      </c>
      <c r="R4" s="100" t="e">
        <f ca="1">FLUID!V47</f>
        <v>#N/A</v>
      </c>
      <c r="S4" s="100" t="e">
        <f ca="1">FLUID!W47</f>
        <v>#N/A</v>
      </c>
      <c r="T4" s="100" t="e">
        <f ca="1">FLUID!X47</f>
        <v>#N/A</v>
      </c>
      <c r="U4" s="100" t="e">
        <f ca="1">FLUID!Y47</f>
        <v>#N/A</v>
      </c>
      <c r="V4" s="100" t="e">
        <f ca="1">FLUID!Z47</f>
        <v>#N/A</v>
      </c>
      <c r="W4" s="100" t="e">
        <f ca="1">FLUID!AA47</f>
        <v>#N/A</v>
      </c>
      <c r="X4" s="100" t="e">
        <f ca="1">FLUID!AB47</f>
        <v>#N/A</v>
      </c>
      <c r="Y4" s="100" t="e">
        <f ca="1">FLUID!AC47</f>
        <v>#N/A</v>
      </c>
      <c r="Z4" s="100" t="e">
        <f ca="1">FLUID!AD47</f>
        <v>#N/A</v>
      </c>
      <c r="AA4" s="100" t="e">
        <f ca="1">FLUID!AE47</f>
        <v>#N/A</v>
      </c>
      <c r="AB4" s="100" t="e">
        <f ca="1">FLUID!AF47</f>
        <v>#N/A</v>
      </c>
      <c r="AC4" s="100" t="e">
        <f ca="1">FLUID!AG47</f>
        <v>#N/A</v>
      </c>
      <c r="AD4" s="100" t="e">
        <f ca="1">FLUID!AH47</f>
        <v>#N/A</v>
      </c>
      <c r="AE4" s="100" t="e">
        <f ca="1">FLUID!AI47</f>
        <v>#N/A</v>
      </c>
      <c r="AF4" s="100" t="e">
        <f ca="1">FLUID!AJ47</f>
        <v>#N/A</v>
      </c>
      <c r="AG4" s="100" t="e">
        <f ca="1">FLUID!AK47</f>
        <v>#N/A</v>
      </c>
      <c r="AH4" s="100" t="e">
        <f ca="1">FLUID!AL47</f>
        <v>#N/A</v>
      </c>
      <c r="AI4" s="100" t="e">
        <f ca="1">FLUID!AM47</f>
        <v>#N/A</v>
      </c>
      <c r="AJ4" s="100" t="e">
        <f ca="1">FLUID!AN47</f>
        <v>#N/A</v>
      </c>
      <c r="AK4" s="100" t="e">
        <f ca="1">FLUID!AO47</f>
        <v>#N/A</v>
      </c>
      <c r="AL4" s="100" t="e">
        <f ca="1">FLUID!AP47</f>
        <v>#N/A</v>
      </c>
      <c r="AM4" s="100" t="e">
        <f ca="1">FLUID!AQ47</f>
        <v>#N/A</v>
      </c>
      <c r="AN4" s="100" t="e">
        <f ca="1">FLUID!AR47</f>
        <v>#N/A</v>
      </c>
      <c r="AO4" s="100" t="e">
        <f ca="1">FLUID!AS47</f>
        <v>#N/A</v>
      </c>
      <c r="AP4" s="100" t="e">
        <f ca="1">FLUID!AT47</f>
        <v>#N/A</v>
      </c>
      <c r="AQ4" s="100" t="e">
        <f ca="1">FLUID!AU47</f>
        <v>#N/A</v>
      </c>
      <c r="AR4" s="100" t="e">
        <f ca="1">FLUID!AV47</f>
        <v>#N/A</v>
      </c>
      <c r="AS4" s="100" t="e">
        <f ca="1">FLUID!AW47</f>
        <v>#N/A</v>
      </c>
      <c r="AT4" s="100" t="e">
        <f ca="1">FLUID!AX47</f>
        <v>#N/A</v>
      </c>
      <c r="AU4" s="100" t="e">
        <f ca="1">FLUID!AY47</f>
        <v>#N/A</v>
      </c>
      <c r="AV4" s="100" t="e">
        <f ca="1">FLUID!AZ47</f>
        <v>#N/A</v>
      </c>
      <c r="AW4" s="100" t="e">
        <f ca="1">FLUID!BA47</f>
        <v>#N/A</v>
      </c>
      <c r="AX4" s="100" t="e">
        <f ca="1">FLUID!BB47</f>
        <v>#N/A</v>
      </c>
      <c r="AY4" s="100" t="e">
        <f ca="1">FLUID!BC47</f>
        <v>#N/A</v>
      </c>
      <c r="AZ4" s="100" t="e">
        <f ca="1">FLUID!BD47</f>
        <v>#N/A</v>
      </c>
      <c r="BA4" s="100" t="e">
        <f ca="1">FLUID!BE47</f>
        <v>#N/A</v>
      </c>
      <c r="BB4" s="100" t="e">
        <f ca="1">FLUID!BF47</f>
        <v>#N/A</v>
      </c>
      <c r="BC4" s="100" t="e">
        <f ca="1">FLUID!BG47</f>
        <v>#N/A</v>
      </c>
      <c r="BD4" s="100" t="e">
        <f ca="1">FLUID!BH47</f>
        <v>#N/A</v>
      </c>
      <c r="BE4" s="100" t="e">
        <f ca="1">FLUID!BI47</f>
        <v>#N/A</v>
      </c>
      <c r="BF4" s="100" t="e">
        <f ca="1">FLUID!BJ47</f>
        <v>#N/A</v>
      </c>
      <c r="BG4" s="100" t="e">
        <f ca="1">FLUID!BK47</f>
        <v>#N/A</v>
      </c>
      <c r="BH4" s="100" t="e">
        <f ca="1">FLUID!BL47</f>
        <v>#N/A</v>
      </c>
      <c r="BI4" s="100" t="e">
        <f ca="1">FLUID!BM47</f>
        <v>#N/A</v>
      </c>
      <c r="BJ4" s="100" t="e">
        <f ca="1">FLUID!BN47</f>
        <v>#N/A</v>
      </c>
      <c r="BK4" s="100" t="e">
        <f ca="1">FLUID!BO47</f>
        <v>#N/A</v>
      </c>
      <c r="BL4" s="100" t="e">
        <f ca="1">FLUID!BP47</f>
        <v>#N/A</v>
      </c>
      <c r="BM4" s="100" t="e">
        <f ca="1">FLUID!BQ47</f>
        <v>#N/A</v>
      </c>
      <c r="BN4" s="100" t="e">
        <f ca="1">FLUID!BR47</f>
        <v>#N/A</v>
      </c>
      <c r="BO4" s="100">
        <f>FLUID!BS47</f>
        <v>0</v>
      </c>
      <c r="BP4" s="100">
        <f>FLUID!BT47</f>
        <v>0</v>
      </c>
      <c r="BQ4" s="100">
        <f>FLUID!BU47</f>
        <v>0</v>
      </c>
      <c r="BR4" s="100">
        <f>FLUID!BV47</f>
        <v>0</v>
      </c>
      <c r="BS4" s="100">
        <f>FLUID!BW47</f>
        <v>0</v>
      </c>
      <c r="BT4" s="100">
        <f>FLUID!BX47</f>
        <v>0</v>
      </c>
    </row>
    <row r="5" spans="1:72" ht="21.75" hidden="1" outlineLevel="1" thickBot="1" x14ac:dyDescent="0.4">
      <c r="A5" s="87">
        <f>FLUID!E48</f>
        <v>0</v>
      </c>
      <c r="B5" s="100" t="e">
        <f ca="1">FLUID!F48</f>
        <v>#N/A</v>
      </c>
      <c r="C5" s="100" t="e">
        <f ca="1">FLUID!G48</f>
        <v>#N/A</v>
      </c>
      <c r="D5" s="100" t="e">
        <f ca="1">FLUID!H48</f>
        <v>#N/A</v>
      </c>
      <c r="E5" s="100" t="e">
        <f ca="1">FLUID!I48</f>
        <v>#N/A</v>
      </c>
      <c r="F5" s="100" t="e">
        <f ca="1">FLUID!J48</f>
        <v>#N/A</v>
      </c>
      <c r="G5" s="100" t="e">
        <f ca="1">FLUID!K48</f>
        <v>#N/A</v>
      </c>
      <c r="H5" s="100" t="e">
        <f ca="1">FLUID!L48</f>
        <v>#N/A</v>
      </c>
      <c r="I5" s="100" t="e">
        <f ca="1">FLUID!M48</f>
        <v>#N/A</v>
      </c>
      <c r="J5" s="100" t="e">
        <f ca="1">FLUID!N48</f>
        <v>#N/A</v>
      </c>
      <c r="K5" s="100" t="e">
        <f ca="1">FLUID!O48</f>
        <v>#N/A</v>
      </c>
      <c r="L5" s="100" t="e">
        <f ca="1">FLUID!P48</f>
        <v>#N/A</v>
      </c>
      <c r="M5" s="100" t="e">
        <f ca="1">FLUID!Q48</f>
        <v>#N/A</v>
      </c>
      <c r="N5" s="100" t="e">
        <f ca="1">FLUID!R48</f>
        <v>#N/A</v>
      </c>
      <c r="O5" s="100" t="e">
        <f ca="1">FLUID!S48</f>
        <v>#N/A</v>
      </c>
      <c r="P5" s="100" t="e">
        <f ca="1">FLUID!T48</f>
        <v>#N/A</v>
      </c>
      <c r="Q5" s="100" t="e">
        <f ca="1">FLUID!U48</f>
        <v>#N/A</v>
      </c>
      <c r="R5" s="100" t="e">
        <f ca="1">FLUID!V48</f>
        <v>#N/A</v>
      </c>
      <c r="S5" s="100" t="e">
        <f ca="1">FLUID!W48</f>
        <v>#N/A</v>
      </c>
      <c r="T5" s="100" t="e">
        <f ca="1">FLUID!X48</f>
        <v>#N/A</v>
      </c>
      <c r="U5" s="100" t="e">
        <f ca="1">FLUID!Y48</f>
        <v>#N/A</v>
      </c>
      <c r="V5" s="100" t="e">
        <f ca="1">FLUID!Z48</f>
        <v>#N/A</v>
      </c>
      <c r="W5" s="100" t="e">
        <f ca="1">FLUID!AA48</f>
        <v>#N/A</v>
      </c>
      <c r="X5" s="100" t="e">
        <f ca="1">FLUID!AB48</f>
        <v>#N/A</v>
      </c>
      <c r="Y5" s="100" t="e">
        <f ca="1">FLUID!AC48</f>
        <v>#N/A</v>
      </c>
      <c r="Z5" s="100" t="e">
        <f ca="1">FLUID!AD48</f>
        <v>#N/A</v>
      </c>
      <c r="AA5" s="100" t="e">
        <f ca="1">FLUID!AE48</f>
        <v>#N/A</v>
      </c>
      <c r="AB5" s="100" t="e">
        <f ca="1">FLUID!AF48</f>
        <v>#N/A</v>
      </c>
      <c r="AC5" s="100" t="e">
        <f ca="1">FLUID!AG48</f>
        <v>#N/A</v>
      </c>
      <c r="AD5" s="100" t="e">
        <f ca="1">FLUID!AH48</f>
        <v>#N/A</v>
      </c>
      <c r="AE5" s="100" t="e">
        <f ca="1">FLUID!AI48</f>
        <v>#N/A</v>
      </c>
      <c r="AF5" s="100" t="e">
        <f ca="1">FLUID!AJ48</f>
        <v>#N/A</v>
      </c>
      <c r="AG5" s="100" t="e">
        <f ca="1">FLUID!AK48</f>
        <v>#N/A</v>
      </c>
      <c r="AH5" s="100" t="e">
        <f ca="1">FLUID!AL48</f>
        <v>#N/A</v>
      </c>
      <c r="AI5" s="100" t="e">
        <f ca="1">FLUID!AM48</f>
        <v>#N/A</v>
      </c>
      <c r="AJ5" s="100" t="e">
        <f ca="1">FLUID!AN48</f>
        <v>#N/A</v>
      </c>
      <c r="AK5" s="100" t="e">
        <f ca="1">FLUID!AO48</f>
        <v>#N/A</v>
      </c>
      <c r="AL5" s="100" t="e">
        <f ca="1">FLUID!AP48</f>
        <v>#N/A</v>
      </c>
      <c r="AM5" s="100" t="e">
        <f ca="1">FLUID!AQ48</f>
        <v>#N/A</v>
      </c>
      <c r="AN5" s="100" t="e">
        <f ca="1">FLUID!AR48</f>
        <v>#N/A</v>
      </c>
      <c r="AO5" s="100" t="e">
        <f ca="1">FLUID!AS48</f>
        <v>#N/A</v>
      </c>
      <c r="AP5" s="100" t="e">
        <f ca="1">FLUID!AT48</f>
        <v>#N/A</v>
      </c>
      <c r="AQ5" s="100" t="e">
        <f ca="1">FLUID!AU48</f>
        <v>#N/A</v>
      </c>
      <c r="AR5" s="100" t="e">
        <f ca="1">FLUID!AV48</f>
        <v>#N/A</v>
      </c>
      <c r="AS5" s="100" t="e">
        <f ca="1">FLUID!AW48</f>
        <v>#N/A</v>
      </c>
      <c r="AT5" s="100" t="e">
        <f ca="1">FLUID!AX48</f>
        <v>#N/A</v>
      </c>
      <c r="AU5" s="100" t="e">
        <f ca="1">FLUID!AY48</f>
        <v>#N/A</v>
      </c>
      <c r="AV5" s="100" t="e">
        <f ca="1">FLUID!AZ48</f>
        <v>#N/A</v>
      </c>
      <c r="AW5" s="100" t="e">
        <f ca="1">FLUID!BA48</f>
        <v>#N/A</v>
      </c>
      <c r="AX5" s="100" t="e">
        <f ca="1">FLUID!BB48</f>
        <v>#N/A</v>
      </c>
      <c r="AY5" s="100" t="e">
        <f ca="1">FLUID!BC48</f>
        <v>#N/A</v>
      </c>
      <c r="AZ5" s="100" t="e">
        <f ca="1">FLUID!BD48</f>
        <v>#N/A</v>
      </c>
      <c r="BA5" s="100" t="e">
        <f ca="1">FLUID!BE48</f>
        <v>#N/A</v>
      </c>
      <c r="BB5" s="100" t="e">
        <f ca="1">FLUID!BF48</f>
        <v>#N/A</v>
      </c>
      <c r="BC5" s="100" t="e">
        <f ca="1">FLUID!BG48</f>
        <v>#N/A</v>
      </c>
      <c r="BD5" s="100" t="e">
        <f ca="1">FLUID!BH48</f>
        <v>#N/A</v>
      </c>
      <c r="BE5" s="100" t="e">
        <f ca="1">FLUID!BI48</f>
        <v>#N/A</v>
      </c>
      <c r="BF5" s="100" t="e">
        <f ca="1">FLUID!BJ48</f>
        <v>#N/A</v>
      </c>
      <c r="BG5" s="100" t="e">
        <f ca="1">FLUID!BK48</f>
        <v>#N/A</v>
      </c>
      <c r="BH5" s="100" t="e">
        <f ca="1">FLUID!BL48</f>
        <v>#N/A</v>
      </c>
      <c r="BI5" s="100" t="e">
        <f ca="1">FLUID!BM48</f>
        <v>#N/A</v>
      </c>
      <c r="BJ5" s="100" t="e">
        <f ca="1">FLUID!BN48</f>
        <v>#N/A</v>
      </c>
      <c r="BK5" s="100" t="e">
        <f ca="1">FLUID!BO48</f>
        <v>#N/A</v>
      </c>
      <c r="BL5" s="100" t="e">
        <f ca="1">FLUID!BP48</f>
        <v>#N/A</v>
      </c>
      <c r="BM5" s="100" t="e">
        <f ca="1">FLUID!BQ48</f>
        <v>#N/A</v>
      </c>
      <c r="BN5" s="100" t="e">
        <f ca="1">FLUID!BR48</f>
        <v>#N/A</v>
      </c>
      <c r="BO5" s="100">
        <f>FLUID!BS48</f>
        <v>0</v>
      </c>
      <c r="BP5" s="100">
        <f>FLUID!BT48</f>
        <v>0</v>
      </c>
      <c r="BQ5" s="100">
        <f>FLUID!BU48</f>
        <v>0</v>
      </c>
      <c r="BR5" s="100">
        <f>FLUID!BV48</f>
        <v>0</v>
      </c>
      <c r="BS5" s="100">
        <f>FLUID!BW48</f>
        <v>0</v>
      </c>
      <c r="BT5" s="100">
        <f>FLUID!BX48</f>
        <v>0</v>
      </c>
    </row>
    <row r="6" spans="1:72" ht="21.75" hidden="1" outlineLevel="1" thickBot="1" x14ac:dyDescent="0.4">
      <c r="A6" s="87">
        <f>FLUID!E49</f>
        <v>0</v>
      </c>
      <c r="B6" s="100" t="e">
        <f ca="1">FLUID!F49</f>
        <v>#N/A</v>
      </c>
      <c r="C6" s="100" t="e">
        <f ca="1">FLUID!G49</f>
        <v>#N/A</v>
      </c>
      <c r="D6" s="100" t="e">
        <f ca="1">FLUID!H49</f>
        <v>#N/A</v>
      </c>
      <c r="E6" s="100" t="e">
        <f ca="1">FLUID!I49</f>
        <v>#N/A</v>
      </c>
      <c r="F6" s="100" t="e">
        <f ca="1">FLUID!J49</f>
        <v>#N/A</v>
      </c>
      <c r="G6" s="100" t="e">
        <f ca="1">FLUID!K49</f>
        <v>#N/A</v>
      </c>
      <c r="H6" s="100" t="e">
        <f ca="1">FLUID!L49</f>
        <v>#N/A</v>
      </c>
      <c r="I6" s="100" t="e">
        <f ca="1">FLUID!M49</f>
        <v>#N/A</v>
      </c>
      <c r="J6" s="100" t="e">
        <f ca="1">FLUID!N49</f>
        <v>#N/A</v>
      </c>
      <c r="K6" s="100" t="e">
        <f ca="1">FLUID!O49</f>
        <v>#N/A</v>
      </c>
      <c r="L6" s="100" t="e">
        <f ca="1">FLUID!P49</f>
        <v>#N/A</v>
      </c>
      <c r="M6" s="100" t="e">
        <f ca="1">FLUID!Q49</f>
        <v>#N/A</v>
      </c>
      <c r="N6" s="100" t="e">
        <f ca="1">FLUID!R49</f>
        <v>#N/A</v>
      </c>
      <c r="O6" s="100" t="e">
        <f ca="1">FLUID!S49</f>
        <v>#N/A</v>
      </c>
      <c r="P6" s="100" t="e">
        <f ca="1">FLUID!T49</f>
        <v>#N/A</v>
      </c>
      <c r="Q6" s="100" t="e">
        <f ca="1">FLUID!U49</f>
        <v>#N/A</v>
      </c>
      <c r="R6" s="100" t="e">
        <f ca="1">FLUID!V49</f>
        <v>#N/A</v>
      </c>
      <c r="S6" s="100" t="e">
        <f ca="1">FLUID!W49</f>
        <v>#N/A</v>
      </c>
      <c r="T6" s="100" t="e">
        <f ca="1">FLUID!X49</f>
        <v>#N/A</v>
      </c>
      <c r="U6" s="100" t="e">
        <f ca="1">FLUID!Y49</f>
        <v>#N/A</v>
      </c>
      <c r="V6" s="100" t="e">
        <f ca="1">FLUID!Z49</f>
        <v>#N/A</v>
      </c>
      <c r="W6" s="100" t="e">
        <f ca="1">FLUID!AA49</f>
        <v>#N/A</v>
      </c>
      <c r="X6" s="100" t="e">
        <f ca="1">FLUID!AB49</f>
        <v>#N/A</v>
      </c>
      <c r="Y6" s="100" t="e">
        <f ca="1">FLUID!AC49</f>
        <v>#N/A</v>
      </c>
      <c r="Z6" s="100" t="e">
        <f ca="1">FLUID!AD49</f>
        <v>#N/A</v>
      </c>
      <c r="AA6" s="100" t="e">
        <f ca="1">FLUID!AE49</f>
        <v>#N/A</v>
      </c>
      <c r="AB6" s="100" t="e">
        <f ca="1">FLUID!AF49</f>
        <v>#N/A</v>
      </c>
      <c r="AC6" s="100" t="e">
        <f ca="1">FLUID!AG49</f>
        <v>#N/A</v>
      </c>
      <c r="AD6" s="100" t="e">
        <f ca="1">FLUID!AH49</f>
        <v>#N/A</v>
      </c>
      <c r="AE6" s="100" t="e">
        <f ca="1">FLUID!AI49</f>
        <v>#N/A</v>
      </c>
      <c r="AF6" s="100" t="e">
        <f ca="1">FLUID!AJ49</f>
        <v>#N/A</v>
      </c>
      <c r="AG6" s="100" t="e">
        <f ca="1">FLUID!AK49</f>
        <v>#N/A</v>
      </c>
      <c r="AH6" s="100" t="e">
        <f ca="1">FLUID!AL49</f>
        <v>#N/A</v>
      </c>
      <c r="AI6" s="100" t="e">
        <f ca="1">FLUID!AM49</f>
        <v>#N/A</v>
      </c>
      <c r="AJ6" s="100" t="e">
        <f ca="1">FLUID!AN49</f>
        <v>#N/A</v>
      </c>
      <c r="AK6" s="100" t="e">
        <f ca="1">FLUID!AO49</f>
        <v>#N/A</v>
      </c>
      <c r="AL6" s="100" t="e">
        <f ca="1">FLUID!AP49</f>
        <v>#N/A</v>
      </c>
      <c r="AM6" s="100" t="e">
        <f ca="1">FLUID!AQ49</f>
        <v>#N/A</v>
      </c>
      <c r="AN6" s="100" t="e">
        <f ca="1">FLUID!AR49</f>
        <v>#N/A</v>
      </c>
      <c r="AO6" s="100" t="e">
        <f ca="1">FLUID!AS49</f>
        <v>#N/A</v>
      </c>
      <c r="AP6" s="100" t="e">
        <f ca="1">FLUID!AT49</f>
        <v>#N/A</v>
      </c>
      <c r="AQ6" s="100" t="e">
        <f ca="1">FLUID!AU49</f>
        <v>#N/A</v>
      </c>
      <c r="AR6" s="100" t="e">
        <f ca="1">FLUID!AV49</f>
        <v>#N/A</v>
      </c>
      <c r="AS6" s="100" t="e">
        <f ca="1">FLUID!AW49</f>
        <v>#N/A</v>
      </c>
      <c r="AT6" s="100" t="e">
        <f ca="1">FLUID!AX49</f>
        <v>#N/A</v>
      </c>
      <c r="AU6" s="100" t="e">
        <f ca="1">FLUID!AY49</f>
        <v>#N/A</v>
      </c>
      <c r="AV6" s="100" t="e">
        <f ca="1">FLUID!AZ49</f>
        <v>#N/A</v>
      </c>
      <c r="AW6" s="100" t="e">
        <f ca="1">FLUID!BA49</f>
        <v>#N/A</v>
      </c>
      <c r="AX6" s="100" t="e">
        <f ca="1">FLUID!BB49</f>
        <v>#N/A</v>
      </c>
      <c r="AY6" s="100" t="e">
        <f ca="1">FLUID!BC49</f>
        <v>#N/A</v>
      </c>
      <c r="AZ6" s="100" t="e">
        <f ca="1">FLUID!BD49</f>
        <v>#N/A</v>
      </c>
      <c r="BA6" s="100" t="e">
        <f ca="1">FLUID!BE49</f>
        <v>#N/A</v>
      </c>
      <c r="BB6" s="100" t="e">
        <f ca="1">FLUID!BF49</f>
        <v>#N/A</v>
      </c>
      <c r="BC6" s="100" t="e">
        <f ca="1">FLUID!BG49</f>
        <v>#N/A</v>
      </c>
      <c r="BD6" s="100" t="e">
        <f ca="1">FLUID!BH49</f>
        <v>#N/A</v>
      </c>
      <c r="BE6" s="100" t="e">
        <f ca="1">FLUID!BI49</f>
        <v>#N/A</v>
      </c>
      <c r="BF6" s="100" t="e">
        <f ca="1">FLUID!BJ49</f>
        <v>#N/A</v>
      </c>
      <c r="BG6" s="100" t="e">
        <f ca="1">FLUID!BK49</f>
        <v>#N/A</v>
      </c>
      <c r="BH6" s="100" t="e">
        <f ca="1">FLUID!BL49</f>
        <v>#N/A</v>
      </c>
      <c r="BI6" s="100" t="e">
        <f ca="1">FLUID!BM49</f>
        <v>#N/A</v>
      </c>
      <c r="BJ6" s="100" t="e">
        <f ca="1">FLUID!BN49</f>
        <v>#N/A</v>
      </c>
      <c r="BK6" s="100" t="e">
        <f ca="1">FLUID!BO49</f>
        <v>#N/A</v>
      </c>
      <c r="BL6" s="100" t="e">
        <f ca="1">FLUID!BP49</f>
        <v>#N/A</v>
      </c>
      <c r="BM6" s="100" t="e">
        <f ca="1">FLUID!BQ49</f>
        <v>#N/A</v>
      </c>
      <c r="BN6" s="100" t="e">
        <f ca="1">FLUID!BR49</f>
        <v>#N/A</v>
      </c>
      <c r="BO6" s="100">
        <f>FLUID!BS49</f>
        <v>0</v>
      </c>
      <c r="BP6" s="100">
        <f>FLUID!BT49</f>
        <v>0</v>
      </c>
      <c r="BQ6" s="100">
        <f>FLUID!BU49</f>
        <v>0</v>
      </c>
      <c r="BR6" s="100">
        <f>FLUID!BV49</f>
        <v>0</v>
      </c>
      <c r="BS6" s="100">
        <f>FLUID!BW49</f>
        <v>0</v>
      </c>
      <c r="BT6" s="100">
        <f>FLUID!BX49</f>
        <v>0</v>
      </c>
    </row>
    <row r="7" spans="1:72" ht="21.75" hidden="1" outlineLevel="1" thickBot="1" x14ac:dyDescent="0.4">
      <c r="A7" s="87">
        <f>FLUID!E50</f>
        <v>0</v>
      </c>
      <c r="B7" s="100" t="e">
        <f ca="1">FLUID!F50</f>
        <v>#N/A</v>
      </c>
      <c r="C7" s="100" t="e">
        <f ca="1">FLUID!G50</f>
        <v>#N/A</v>
      </c>
      <c r="D7" s="100" t="e">
        <f ca="1">FLUID!H50</f>
        <v>#N/A</v>
      </c>
      <c r="E7" s="100" t="e">
        <f ca="1">FLUID!I50</f>
        <v>#N/A</v>
      </c>
      <c r="F7" s="100" t="e">
        <f ca="1">FLUID!J50</f>
        <v>#N/A</v>
      </c>
      <c r="G7" s="100" t="e">
        <f ca="1">FLUID!K50</f>
        <v>#N/A</v>
      </c>
      <c r="H7" s="100" t="e">
        <f ca="1">FLUID!L50</f>
        <v>#N/A</v>
      </c>
      <c r="I7" s="100" t="e">
        <f ca="1">FLUID!M50</f>
        <v>#N/A</v>
      </c>
      <c r="J7" s="100" t="e">
        <f ca="1">FLUID!N50</f>
        <v>#N/A</v>
      </c>
      <c r="K7" s="100" t="e">
        <f ca="1">FLUID!O50</f>
        <v>#N/A</v>
      </c>
      <c r="L7" s="100" t="e">
        <f ca="1">FLUID!P50</f>
        <v>#N/A</v>
      </c>
      <c r="M7" s="100" t="e">
        <f ca="1">FLUID!Q50</f>
        <v>#N/A</v>
      </c>
      <c r="N7" s="100" t="e">
        <f ca="1">FLUID!R50</f>
        <v>#N/A</v>
      </c>
      <c r="O7" s="100" t="e">
        <f ca="1">FLUID!S50</f>
        <v>#N/A</v>
      </c>
      <c r="P7" s="100" t="e">
        <f ca="1">FLUID!T50</f>
        <v>#N/A</v>
      </c>
      <c r="Q7" s="100" t="e">
        <f ca="1">FLUID!U50</f>
        <v>#N/A</v>
      </c>
      <c r="R7" s="100" t="e">
        <f ca="1">FLUID!V50</f>
        <v>#N/A</v>
      </c>
      <c r="S7" s="100" t="e">
        <f ca="1">FLUID!W50</f>
        <v>#N/A</v>
      </c>
      <c r="T7" s="100" t="e">
        <f ca="1">FLUID!X50</f>
        <v>#N/A</v>
      </c>
      <c r="U7" s="100" t="e">
        <f ca="1">FLUID!Y50</f>
        <v>#N/A</v>
      </c>
      <c r="V7" s="100" t="e">
        <f ca="1">FLUID!Z50</f>
        <v>#N/A</v>
      </c>
      <c r="W7" s="100" t="e">
        <f ca="1">FLUID!AA50</f>
        <v>#N/A</v>
      </c>
      <c r="X7" s="100" t="e">
        <f ca="1">FLUID!AB50</f>
        <v>#N/A</v>
      </c>
      <c r="Y7" s="100" t="e">
        <f ca="1">FLUID!AC50</f>
        <v>#N/A</v>
      </c>
      <c r="Z7" s="100" t="e">
        <f ca="1">FLUID!AD50</f>
        <v>#N/A</v>
      </c>
      <c r="AA7" s="100" t="e">
        <f ca="1">FLUID!AE50</f>
        <v>#N/A</v>
      </c>
      <c r="AB7" s="100" t="e">
        <f ca="1">FLUID!AF50</f>
        <v>#N/A</v>
      </c>
      <c r="AC7" s="100" t="e">
        <f ca="1">FLUID!AG50</f>
        <v>#N/A</v>
      </c>
      <c r="AD7" s="100" t="e">
        <f ca="1">FLUID!AH50</f>
        <v>#N/A</v>
      </c>
      <c r="AE7" s="100" t="e">
        <f ca="1">FLUID!AI50</f>
        <v>#N/A</v>
      </c>
      <c r="AF7" s="100" t="e">
        <f ca="1">FLUID!AJ50</f>
        <v>#N/A</v>
      </c>
      <c r="AG7" s="100" t="e">
        <f ca="1">FLUID!AK50</f>
        <v>#N/A</v>
      </c>
      <c r="AH7" s="100" t="e">
        <f ca="1">FLUID!AL50</f>
        <v>#N/A</v>
      </c>
      <c r="AI7" s="100" t="e">
        <f ca="1">FLUID!AM50</f>
        <v>#N/A</v>
      </c>
      <c r="AJ7" s="100" t="e">
        <f ca="1">FLUID!AN50</f>
        <v>#N/A</v>
      </c>
      <c r="AK7" s="100" t="e">
        <f ca="1">FLUID!AO50</f>
        <v>#N/A</v>
      </c>
      <c r="AL7" s="100" t="e">
        <f ca="1">FLUID!AP50</f>
        <v>#N/A</v>
      </c>
      <c r="AM7" s="100" t="e">
        <f ca="1">FLUID!AQ50</f>
        <v>#N/A</v>
      </c>
      <c r="AN7" s="100" t="e">
        <f ca="1">FLUID!AR50</f>
        <v>#N/A</v>
      </c>
      <c r="AO7" s="100" t="e">
        <f ca="1">FLUID!AS50</f>
        <v>#N/A</v>
      </c>
      <c r="AP7" s="100" t="e">
        <f ca="1">FLUID!AT50</f>
        <v>#N/A</v>
      </c>
      <c r="AQ7" s="100" t="e">
        <f ca="1">FLUID!AU50</f>
        <v>#N/A</v>
      </c>
      <c r="AR7" s="100" t="e">
        <f ca="1">FLUID!AV50</f>
        <v>#N/A</v>
      </c>
      <c r="AS7" s="100" t="e">
        <f ca="1">FLUID!AW50</f>
        <v>#N/A</v>
      </c>
      <c r="AT7" s="100" t="e">
        <f ca="1">FLUID!AX50</f>
        <v>#N/A</v>
      </c>
      <c r="AU7" s="100" t="e">
        <f ca="1">FLUID!AY50</f>
        <v>#N/A</v>
      </c>
      <c r="AV7" s="100" t="e">
        <f ca="1">FLUID!AZ50</f>
        <v>#N/A</v>
      </c>
      <c r="AW7" s="100" t="e">
        <f ca="1">FLUID!BA50</f>
        <v>#N/A</v>
      </c>
      <c r="AX7" s="100" t="e">
        <f ca="1">FLUID!BB50</f>
        <v>#N/A</v>
      </c>
      <c r="AY7" s="100" t="e">
        <f ca="1">FLUID!BC50</f>
        <v>#N/A</v>
      </c>
      <c r="AZ7" s="100" t="e">
        <f ca="1">FLUID!BD50</f>
        <v>#N/A</v>
      </c>
      <c r="BA7" s="100" t="e">
        <f ca="1">FLUID!BE50</f>
        <v>#N/A</v>
      </c>
      <c r="BB7" s="100" t="e">
        <f ca="1">FLUID!BF50</f>
        <v>#N/A</v>
      </c>
      <c r="BC7" s="100" t="e">
        <f ca="1">FLUID!BG50</f>
        <v>#N/A</v>
      </c>
      <c r="BD7" s="100" t="e">
        <f ca="1">FLUID!BH50</f>
        <v>#N/A</v>
      </c>
      <c r="BE7" s="100" t="e">
        <f ca="1">FLUID!BI50</f>
        <v>#N/A</v>
      </c>
      <c r="BF7" s="100" t="e">
        <f ca="1">FLUID!BJ50</f>
        <v>#N/A</v>
      </c>
      <c r="BG7" s="100" t="e">
        <f ca="1">FLUID!BK50</f>
        <v>#N/A</v>
      </c>
      <c r="BH7" s="100" t="e">
        <f ca="1">FLUID!BL50</f>
        <v>#N/A</v>
      </c>
      <c r="BI7" s="100" t="e">
        <f ca="1">FLUID!BM50</f>
        <v>#N/A</v>
      </c>
      <c r="BJ7" s="100" t="e">
        <f ca="1">FLUID!BN50</f>
        <v>#N/A</v>
      </c>
      <c r="BK7" s="100" t="e">
        <f ca="1">FLUID!BO50</f>
        <v>#N/A</v>
      </c>
      <c r="BL7" s="100" t="e">
        <f ca="1">FLUID!BP50</f>
        <v>#N/A</v>
      </c>
      <c r="BM7" s="100" t="e">
        <f ca="1">FLUID!BQ50</f>
        <v>#N/A</v>
      </c>
      <c r="BN7" s="100" t="e">
        <f ca="1">FLUID!BR50</f>
        <v>#N/A</v>
      </c>
      <c r="BO7" s="100">
        <f>FLUID!BS50</f>
        <v>0</v>
      </c>
      <c r="BP7" s="100">
        <f>FLUID!BT50</f>
        <v>0</v>
      </c>
      <c r="BQ7" s="100">
        <f>FLUID!BU50</f>
        <v>0</v>
      </c>
      <c r="BR7" s="100">
        <f>FLUID!BV50</f>
        <v>0</v>
      </c>
      <c r="BS7" s="100">
        <f>FLUID!BW50</f>
        <v>0</v>
      </c>
      <c r="BT7" s="100">
        <f>FLUID!BX50</f>
        <v>0</v>
      </c>
    </row>
    <row r="8" spans="1:72" ht="21.75" hidden="1" outlineLevel="1" thickBot="1" x14ac:dyDescent="0.4">
      <c r="A8" s="87">
        <f>FLUID!E51</f>
        <v>0</v>
      </c>
      <c r="B8" s="100" t="e">
        <f ca="1">FLUID!F51</f>
        <v>#N/A</v>
      </c>
      <c r="C8" s="100" t="e">
        <f ca="1">FLUID!G51</f>
        <v>#N/A</v>
      </c>
      <c r="D8" s="100" t="e">
        <f ca="1">FLUID!H51</f>
        <v>#N/A</v>
      </c>
      <c r="E8" s="100" t="e">
        <f ca="1">FLUID!I51</f>
        <v>#N/A</v>
      </c>
      <c r="F8" s="100" t="e">
        <f ca="1">FLUID!J51</f>
        <v>#N/A</v>
      </c>
      <c r="G8" s="100" t="e">
        <f ca="1">FLUID!K51</f>
        <v>#N/A</v>
      </c>
      <c r="H8" s="100" t="e">
        <f ca="1">FLUID!L51</f>
        <v>#N/A</v>
      </c>
      <c r="I8" s="100" t="e">
        <f ca="1">FLUID!M51</f>
        <v>#N/A</v>
      </c>
      <c r="J8" s="100" t="e">
        <f ca="1">FLUID!N51</f>
        <v>#N/A</v>
      </c>
      <c r="K8" s="100" t="e">
        <f ca="1">FLUID!O51</f>
        <v>#N/A</v>
      </c>
      <c r="L8" s="100" t="e">
        <f ca="1">FLUID!P51</f>
        <v>#N/A</v>
      </c>
      <c r="M8" s="100" t="e">
        <f ca="1">FLUID!Q51</f>
        <v>#N/A</v>
      </c>
      <c r="N8" s="100" t="e">
        <f ca="1">FLUID!R51</f>
        <v>#N/A</v>
      </c>
      <c r="O8" s="100" t="e">
        <f ca="1">FLUID!S51</f>
        <v>#N/A</v>
      </c>
      <c r="P8" s="100" t="e">
        <f ca="1">FLUID!T51</f>
        <v>#N/A</v>
      </c>
      <c r="Q8" s="100" t="e">
        <f ca="1">FLUID!U51</f>
        <v>#N/A</v>
      </c>
      <c r="R8" s="100" t="e">
        <f ca="1">FLUID!V51</f>
        <v>#N/A</v>
      </c>
      <c r="S8" s="100" t="e">
        <f ca="1">FLUID!W51</f>
        <v>#N/A</v>
      </c>
      <c r="T8" s="100" t="e">
        <f ca="1">FLUID!X51</f>
        <v>#N/A</v>
      </c>
      <c r="U8" s="100" t="e">
        <f ca="1">FLUID!Y51</f>
        <v>#N/A</v>
      </c>
      <c r="V8" s="100" t="e">
        <f ca="1">FLUID!Z51</f>
        <v>#N/A</v>
      </c>
      <c r="W8" s="100" t="e">
        <f ca="1">FLUID!AA51</f>
        <v>#N/A</v>
      </c>
      <c r="X8" s="100" t="e">
        <f ca="1">FLUID!AB51</f>
        <v>#N/A</v>
      </c>
      <c r="Y8" s="100" t="e">
        <f ca="1">FLUID!AC51</f>
        <v>#N/A</v>
      </c>
      <c r="Z8" s="100" t="e">
        <f ca="1">FLUID!AD51</f>
        <v>#N/A</v>
      </c>
      <c r="AA8" s="100" t="e">
        <f ca="1">FLUID!AE51</f>
        <v>#N/A</v>
      </c>
      <c r="AB8" s="100" t="e">
        <f ca="1">FLUID!AF51</f>
        <v>#N/A</v>
      </c>
      <c r="AC8" s="100" t="e">
        <f ca="1">FLUID!AG51</f>
        <v>#N/A</v>
      </c>
      <c r="AD8" s="100" t="e">
        <f ca="1">FLUID!AH51</f>
        <v>#N/A</v>
      </c>
      <c r="AE8" s="100" t="e">
        <f ca="1">FLUID!AI51</f>
        <v>#N/A</v>
      </c>
      <c r="AF8" s="100" t="e">
        <f ca="1">FLUID!AJ51</f>
        <v>#N/A</v>
      </c>
      <c r="AG8" s="100" t="e">
        <f ca="1">FLUID!AK51</f>
        <v>#N/A</v>
      </c>
      <c r="AH8" s="100" t="e">
        <f ca="1">FLUID!AL51</f>
        <v>#N/A</v>
      </c>
      <c r="AI8" s="100" t="e">
        <f ca="1">FLUID!AM51</f>
        <v>#N/A</v>
      </c>
      <c r="AJ8" s="100" t="e">
        <f ca="1">FLUID!AN51</f>
        <v>#N/A</v>
      </c>
      <c r="AK8" s="100" t="e">
        <f ca="1">FLUID!AO51</f>
        <v>#N/A</v>
      </c>
      <c r="AL8" s="100" t="e">
        <f ca="1">FLUID!AP51</f>
        <v>#N/A</v>
      </c>
      <c r="AM8" s="100" t="e">
        <f ca="1">FLUID!AQ51</f>
        <v>#N/A</v>
      </c>
      <c r="AN8" s="100" t="e">
        <f ca="1">FLUID!AR51</f>
        <v>#N/A</v>
      </c>
      <c r="AO8" s="100" t="e">
        <f ca="1">FLUID!AS51</f>
        <v>#N/A</v>
      </c>
      <c r="AP8" s="100" t="e">
        <f ca="1">FLUID!AT51</f>
        <v>#N/A</v>
      </c>
      <c r="AQ8" s="100" t="e">
        <f ca="1">FLUID!AU51</f>
        <v>#N/A</v>
      </c>
      <c r="AR8" s="100" t="e">
        <f ca="1">FLUID!AV51</f>
        <v>#N/A</v>
      </c>
      <c r="AS8" s="100" t="e">
        <f ca="1">FLUID!AW51</f>
        <v>#N/A</v>
      </c>
      <c r="AT8" s="100" t="e">
        <f ca="1">FLUID!AX51</f>
        <v>#N/A</v>
      </c>
      <c r="AU8" s="100" t="e">
        <f ca="1">FLUID!AY51</f>
        <v>#N/A</v>
      </c>
      <c r="AV8" s="100" t="e">
        <f ca="1">FLUID!AZ51</f>
        <v>#N/A</v>
      </c>
      <c r="AW8" s="100" t="e">
        <f ca="1">FLUID!BA51</f>
        <v>#N/A</v>
      </c>
      <c r="AX8" s="100" t="e">
        <f ca="1">FLUID!BB51</f>
        <v>#N/A</v>
      </c>
      <c r="AY8" s="100" t="e">
        <f ca="1">FLUID!BC51</f>
        <v>#N/A</v>
      </c>
      <c r="AZ8" s="100" t="e">
        <f ca="1">FLUID!BD51</f>
        <v>#N/A</v>
      </c>
      <c r="BA8" s="100" t="e">
        <f ca="1">FLUID!BE51</f>
        <v>#N/A</v>
      </c>
      <c r="BB8" s="100" t="e">
        <f ca="1">FLUID!BF51</f>
        <v>#N/A</v>
      </c>
      <c r="BC8" s="100" t="e">
        <f ca="1">FLUID!BG51</f>
        <v>#N/A</v>
      </c>
      <c r="BD8" s="100" t="e">
        <f ca="1">FLUID!BH51</f>
        <v>#N/A</v>
      </c>
      <c r="BE8" s="100" t="e">
        <f ca="1">FLUID!BI51</f>
        <v>#N/A</v>
      </c>
      <c r="BF8" s="100" t="e">
        <f ca="1">FLUID!BJ51</f>
        <v>#N/A</v>
      </c>
      <c r="BG8" s="100" t="e">
        <f ca="1">FLUID!BK51</f>
        <v>#N/A</v>
      </c>
      <c r="BH8" s="100" t="e">
        <f ca="1">FLUID!BL51</f>
        <v>#N/A</v>
      </c>
      <c r="BI8" s="100" t="e">
        <f ca="1">FLUID!BM51</f>
        <v>#N/A</v>
      </c>
      <c r="BJ8" s="100" t="e">
        <f ca="1">FLUID!BN51</f>
        <v>#N/A</v>
      </c>
      <c r="BK8" s="100" t="e">
        <f ca="1">FLUID!BO51</f>
        <v>#N/A</v>
      </c>
      <c r="BL8" s="100" t="e">
        <f ca="1">FLUID!BP51</f>
        <v>#N/A</v>
      </c>
      <c r="BM8" s="100" t="e">
        <f ca="1">FLUID!BQ51</f>
        <v>#N/A</v>
      </c>
      <c r="BN8" s="100" t="e">
        <f ca="1">FLUID!BR51</f>
        <v>#N/A</v>
      </c>
      <c r="BO8" s="100">
        <f>FLUID!BS51</f>
        <v>0</v>
      </c>
      <c r="BP8" s="100">
        <f>FLUID!BT51</f>
        <v>0</v>
      </c>
      <c r="BQ8" s="100">
        <f>FLUID!BU51</f>
        <v>0</v>
      </c>
      <c r="BR8" s="100">
        <f>FLUID!BV51</f>
        <v>0</v>
      </c>
      <c r="BS8" s="100">
        <f>FLUID!BW51</f>
        <v>0</v>
      </c>
      <c r="BT8" s="100">
        <f>FLUID!BX51</f>
        <v>0</v>
      </c>
    </row>
    <row r="9" spans="1:72" ht="21.75" hidden="1" outlineLevel="1" thickBot="1" x14ac:dyDescent="0.4">
      <c r="A9" s="87">
        <f>FLUID!E52</f>
        <v>0</v>
      </c>
      <c r="B9" s="100" t="e">
        <f ca="1">FLUID!F52</f>
        <v>#N/A</v>
      </c>
      <c r="C9" s="100" t="e">
        <f ca="1">FLUID!G52</f>
        <v>#N/A</v>
      </c>
      <c r="D9" s="100" t="e">
        <f ca="1">FLUID!H52</f>
        <v>#N/A</v>
      </c>
      <c r="E9" s="100" t="e">
        <f ca="1">FLUID!I52</f>
        <v>#N/A</v>
      </c>
      <c r="F9" s="100" t="e">
        <f ca="1">FLUID!J52</f>
        <v>#N/A</v>
      </c>
      <c r="G9" s="100" t="e">
        <f ca="1">FLUID!K52</f>
        <v>#N/A</v>
      </c>
      <c r="H9" s="100" t="e">
        <f ca="1">FLUID!L52</f>
        <v>#N/A</v>
      </c>
      <c r="I9" s="100" t="e">
        <f ca="1">FLUID!M52</f>
        <v>#N/A</v>
      </c>
      <c r="J9" s="100" t="e">
        <f ca="1">FLUID!N52</f>
        <v>#N/A</v>
      </c>
      <c r="K9" s="100" t="e">
        <f ca="1">FLUID!O52</f>
        <v>#N/A</v>
      </c>
      <c r="L9" s="100" t="e">
        <f ca="1">FLUID!P52</f>
        <v>#N/A</v>
      </c>
      <c r="M9" s="100" t="e">
        <f ca="1">FLUID!Q52</f>
        <v>#N/A</v>
      </c>
      <c r="N9" s="100" t="e">
        <f ca="1">FLUID!R52</f>
        <v>#N/A</v>
      </c>
      <c r="O9" s="100" t="e">
        <f ca="1">FLUID!S52</f>
        <v>#N/A</v>
      </c>
      <c r="P9" s="100" t="e">
        <f ca="1">FLUID!T52</f>
        <v>#N/A</v>
      </c>
      <c r="Q9" s="100" t="e">
        <f ca="1">FLUID!U52</f>
        <v>#N/A</v>
      </c>
      <c r="R9" s="100" t="e">
        <f ca="1">FLUID!V52</f>
        <v>#N/A</v>
      </c>
      <c r="S9" s="100" t="e">
        <f ca="1">FLUID!W52</f>
        <v>#N/A</v>
      </c>
      <c r="T9" s="100" t="e">
        <f ca="1">FLUID!X52</f>
        <v>#N/A</v>
      </c>
      <c r="U9" s="100" t="e">
        <f ca="1">FLUID!Y52</f>
        <v>#N/A</v>
      </c>
      <c r="V9" s="100" t="e">
        <f ca="1">FLUID!Z52</f>
        <v>#N/A</v>
      </c>
      <c r="W9" s="100" t="e">
        <f ca="1">FLUID!AA52</f>
        <v>#N/A</v>
      </c>
      <c r="X9" s="100" t="e">
        <f ca="1">FLUID!AB52</f>
        <v>#N/A</v>
      </c>
      <c r="Y9" s="100" t="e">
        <f ca="1">FLUID!AC52</f>
        <v>#N/A</v>
      </c>
      <c r="Z9" s="100" t="e">
        <f ca="1">FLUID!AD52</f>
        <v>#N/A</v>
      </c>
      <c r="AA9" s="100" t="e">
        <f ca="1">FLUID!AE52</f>
        <v>#N/A</v>
      </c>
      <c r="AB9" s="100" t="e">
        <f ca="1">FLUID!AF52</f>
        <v>#N/A</v>
      </c>
      <c r="AC9" s="100" t="e">
        <f ca="1">FLUID!AG52</f>
        <v>#N/A</v>
      </c>
      <c r="AD9" s="100" t="e">
        <f ca="1">FLUID!AH52</f>
        <v>#N/A</v>
      </c>
      <c r="AE9" s="100" t="e">
        <f ca="1">FLUID!AI52</f>
        <v>#N/A</v>
      </c>
      <c r="AF9" s="100" t="e">
        <f ca="1">FLUID!AJ52</f>
        <v>#N/A</v>
      </c>
      <c r="AG9" s="100" t="e">
        <f ca="1">FLUID!AK52</f>
        <v>#N/A</v>
      </c>
      <c r="AH9" s="100" t="e">
        <f ca="1">FLUID!AL52</f>
        <v>#N/A</v>
      </c>
      <c r="AI9" s="100" t="e">
        <f ca="1">FLUID!AM52</f>
        <v>#N/A</v>
      </c>
      <c r="AJ9" s="100" t="e">
        <f ca="1">FLUID!AN52</f>
        <v>#N/A</v>
      </c>
      <c r="AK9" s="100" t="e">
        <f ca="1">FLUID!AO52</f>
        <v>#N/A</v>
      </c>
      <c r="AL9" s="100" t="e">
        <f ca="1">FLUID!AP52</f>
        <v>#N/A</v>
      </c>
      <c r="AM9" s="100" t="e">
        <f ca="1">FLUID!AQ52</f>
        <v>#N/A</v>
      </c>
      <c r="AN9" s="100" t="e">
        <f ca="1">FLUID!AR52</f>
        <v>#N/A</v>
      </c>
      <c r="AO9" s="100" t="e">
        <f ca="1">FLUID!AS52</f>
        <v>#N/A</v>
      </c>
      <c r="AP9" s="100" t="e">
        <f ca="1">FLUID!AT52</f>
        <v>#N/A</v>
      </c>
      <c r="AQ9" s="100" t="e">
        <f ca="1">FLUID!AU52</f>
        <v>#N/A</v>
      </c>
      <c r="AR9" s="100" t="e">
        <f ca="1">FLUID!AV52</f>
        <v>#N/A</v>
      </c>
      <c r="AS9" s="100" t="e">
        <f ca="1">FLUID!AW52</f>
        <v>#N/A</v>
      </c>
      <c r="AT9" s="100" t="e">
        <f ca="1">FLUID!AX52</f>
        <v>#N/A</v>
      </c>
      <c r="AU9" s="100" t="e">
        <f ca="1">FLUID!AY52</f>
        <v>#N/A</v>
      </c>
      <c r="AV9" s="100" t="e">
        <f ca="1">FLUID!AZ52</f>
        <v>#N/A</v>
      </c>
      <c r="AW9" s="100" t="e">
        <f ca="1">FLUID!BA52</f>
        <v>#N/A</v>
      </c>
      <c r="AX9" s="100" t="e">
        <f ca="1">FLUID!BB52</f>
        <v>#N/A</v>
      </c>
      <c r="AY9" s="100" t="e">
        <f ca="1">FLUID!BC52</f>
        <v>#N/A</v>
      </c>
      <c r="AZ9" s="100" t="e">
        <f ca="1">FLUID!BD52</f>
        <v>#N/A</v>
      </c>
      <c r="BA9" s="100" t="e">
        <f ca="1">FLUID!BE52</f>
        <v>#N/A</v>
      </c>
      <c r="BB9" s="100" t="e">
        <f ca="1">FLUID!BF52</f>
        <v>#N/A</v>
      </c>
      <c r="BC9" s="100" t="e">
        <f ca="1">FLUID!BG52</f>
        <v>#N/A</v>
      </c>
      <c r="BD9" s="100" t="e">
        <f ca="1">FLUID!BH52</f>
        <v>#N/A</v>
      </c>
      <c r="BE9" s="100" t="e">
        <f ca="1">FLUID!BI52</f>
        <v>#N/A</v>
      </c>
      <c r="BF9" s="100" t="e">
        <f ca="1">FLUID!BJ52</f>
        <v>#N/A</v>
      </c>
      <c r="BG9" s="100" t="e">
        <f ca="1">FLUID!BK52</f>
        <v>#N/A</v>
      </c>
      <c r="BH9" s="100" t="e">
        <f ca="1">FLUID!BL52</f>
        <v>#N/A</v>
      </c>
      <c r="BI9" s="100" t="e">
        <f ca="1">FLUID!BM52</f>
        <v>#N/A</v>
      </c>
      <c r="BJ9" s="100" t="e">
        <f ca="1">FLUID!BN52</f>
        <v>#N/A</v>
      </c>
      <c r="BK9" s="100" t="e">
        <f ca="1">FLUID!BO52</f>
        <v>#N/A</v>
      </c>
      <c r="BL9" s="100" t="e">
        <f ca="1">FLUID!BP52</f>
        <v>#N/A</v>
      </c>
      <c r="BM9" s="100" t="e">
        <f ca="1">FLUID!BQ52</f>
        <v>#N/A</v>
      </c>
      <c r="BN9" s="100" t="e">
        <f ca="1">FLUID!BR52</f>
        <v>#N/A</v>
      </c>
      <c r="BO9" s="100">
        <f>FLUID!BS52</f>
        <v>0</v>
      </c>
      <c r="BP9" s="100">
        <f>FLUID!BT52</f>
        <v>0</v>
      </c>
      <c r="BQ9" s="100">
        <f>FLUID!BU52</f>
        <v>0</v>
      </c>
      <c r="BR9" s="100">
        <f>FLUID!BV52</f>
        <v>0</v>
      </c>
      <c r="BS9" s="100">
        <f>FLUID!BW52</f>
        <v>0</v>
      </c>
      <c r="BT9" s="100">
        <f>FLUID!BX52</f>
        <v>0</v>
      </c>
    </row>
    <row r="10" spans="1:72" ht="21.75" hidden="1" outlineLevel="1" thickBot="1" x14ac:dyDescent="0.4">
      <c r="A10" s="87">
        <f>FLUID!E53</f>
        <v>0</v>
      </c>
      <c r="B10" s="100" t="e">
        <f ca="1">FLUID!F53</f>
        <v>#N/A</v>
      </c>
      <c r="C10" s="100" t="e">
        <f ca="1">FLUID!G53</f>
        <v>#N/A</v>
      </c>
      <c r="D10" s="100" t="e">
        <f ca="1">FLUID!H53</f>
        <v>#N/A</v>
      </c>
      <c r="E10" s="100" t="e">
        <f ca="1">FLUID!I53</f>
        <v>#N/A</v>
      </c>
      <c r="F10" s="100" t="e">
        <f ca="1">FLUID!J53</f>
        <v>#N/A</v>
      </c>
      <c r="G10" s="100" t="e">
        <f ca="1">FLUID!K53</f>
        <v>#N/A</v>
      </c>
      <c r="H10" s="100" t="e">
        <f ca="1">FLUID!L53</f>
        <v>#N/A</v>
      </c>
      <c r="I10" s="100" t="e">
        <f ca="1">FLUID!M53</f>
        <v>#N/A</v>
      </c>
      <c r="J10" s="100" t="e">
        <f ca="1">FLUID!N53</f>
        <v>#N/A</v>
      </c>
      <c r="K10" s="100" t="e">
        <f ca="1">FLUID!O53</f>
        <v>#N/A</v>
      </c>
      <c r="L10" s="100" t="e">
        <f ca="1">FLUID!P53</f>
        <v>#N/A</v>
      </c>
      <c r="M10" s="100" t="e">
        <f ca="1">FLUID!Q53</f>
        <v>#N/A</v>
      </c>
      <c r="N10" s="100" t="e">
        <f ca="1">FLUID!R53</f>
        <v>#N/A</v>
      </c>
      <c r="O10" s="100" t="e">
        <f ca="1">FLUID!S53</f>
        <v>#N/A</v>
      </c>
      <c r="P10" s="100" t="e">
        <f ca="1">FLUID!T53</f>
        <v>#N/A</v>
      </c>
      <c r="Q10" s="100" t="e">
        <f ca="1">FLUID!U53</f>
        <v>#N/A</v>
      </c>
      <c r="R10" s="100" t="e">
        <f ca="1">FLUID!V53</f>
        <v>#N/A</v>
      </c>
      <c r="S10" s="100" t="e">
        <f ca="1">FLUID!W53</f>
        <v>#N/A</v>
      </c>
      <c r="T10" s="100" t="e">
        <f ca="1">FLUID!X53</f>
        <v>#N/A</v>
      </c>
      <c r="U10" s="100" t="e">
        <f ca="1">FLUID!Y53</f>
        <v>#N/A</v>
      </c>
      <c r="V10" s="100" t="e">
        <f ca="1">FLUID!Z53</f>
        <v>#N/A</v>
      </c>
      <c r="W10" s="100" t="e">
        <f ca="1">FLUID!AA53</f>
        <v>#N/A</v>
      </c>
      <c r="X10" s="100" t="e">
        <f ca="1">FLUID!AB53</f>
        <v>#N/A</v>
      </c>
      <c r="Y10" s="100" t="e">
        <f ca="1">FLUID!AC53</f>
        <v>#N/A</v>
      </c>
      <c r="Z10" s="100" t="e">
        <f ca="1">FLUID!AD53</f>
        <v>#N/A</v>
      </c>
      <c r="AA10" s="100" t="e">
        <f ca="1">FLUID!AE53</f>
        <v>#N/A</v>
      </c>
      <c r="AB10" s="100" t="e">
        <f ca="1">FLUID!AF53</f>
        <v>#N/A</v>
      </c>
      <c r="AC10" s="100" t="e">
        <f ca="1">FLUID!AG53</f>
        <v>#N/A</v>
      </c>
      <c r="AD10" s="100" t="e">
        <f ca="1">FLUID!AH53</f>
        <v>#N/A</v>
      </c>
      <c r="AE10" s="100" t="e">
        <f ca="1">FLUID!AI53</f>
        <v>#N/A</v>
      </c>
      <c r="AF10" s="100" t="e">
        <f ca="1">FLUID!AJ53</f>
        <v>#N/A</v>
      </c>
      <c r="AG10" s="100" t="e">
        <f ca="1">FLUID!AK53</f>
        <v>#N/A</v>
      </c>
      <c r="AH10" s="100" t="e">
        <f ca="1">FLUID!AL53</f>
        <v>#N/A</v>
      </c>
      <c r="AI10" s="100" t="e">
        <f ca="1">FLUID!AM53</f>
        <v>#N/A</v>
      </c>
      <c r="AJ10" s="100" t="e">
        <f ca="1">FLUID!AN53</f>
        <v>#N/A</v>
      </c>
      <c r="AK10" s="100" t="e">
        <f ca="1">FLUID!AO53</f>
        <v>#N/A</v>
      </c>
      <c r="AL10" s="100" t="e">
        <f ca="1">FLUID!AP53</f>
        <v>#N/A</v>
      </c>
      <c r="AM10" s="100" t="e">
        <f ca="1">FLUID!AQ53</f>
        <v>#N/A</v>
      </c>
      <c r="AN10" s="100" t="e">
        <f ca="1">FLUID!AR53</f>
        <v>#N/A</v>
      </c>
      <c r="AO10" s="100" t="e">
        <f ca="1">FLUID!AS53</f>
        <v>#N/A</v>
      </c>
      <c r="AP10" s="100" t="e">
        <f ca="1">FLUID!AT53</f>
        <v>#N/A</v>
      </c>
      <c r="AQ10" s="100" t="e">
        <f ca="1">FLUID!AU53</f>
        <v>#N/A</v>
      </c>
      <c r="AR10" s="100" t="e">
        <f ca="1">FLUID!AV53</f>
        <v>#N/A</v>
      </c>
      <c r="AS10" s="100" t="e">
        <f ca="1">FLUID!AW53</f>
        <v>#N/A</v>
      </c>
      <c r="AT10" s="100" t="e">
        <f ca="1">FLUID!AX53</f>
        <v>#N/A</v>
      </c>
      <c r="AU10" s="100" t="e">
        <f ca="1">FLUID!AY53</f>
        <v>#N/A</v>
      </c>
      <c r="AV10" s="100" t="e">
        <f ca="1">FLUID!AZ53</f>
        <v>#N/A</v>
      </c>
      <c r="AW10" s="100" t="e">
        <f ca="1">FLUID!BA53</f>
        <v>#N/A</v>
      </c>
      <c r="AX10" s="100" t="e">
        <f ca="1">FLUID!BB53</f>
        <v>#N/A</v>
      </c>
      <c r="AY10" s="100" t="e">
        <f ca="1">FLUID!BC53</f>
        <v>#N/A</v>
      </c>
      <c r="AZ10" s="100" t="e">
        <f ca="1">FLUID!BD53</f>
        <v>#N/A</v>
      </c>
      <c r="BA10" s="100" t="e">
        <f ca="1">FLUID!BE53</f>
        <v>#N/A</v>
      </c>
      <c r="BB10" s="100" t="e">
        <f ca="1">FLUID!BF53</f>
        <v>#N/A</v>
      </c>
      <c r="BC10" s="100" t="e">
        <f ca="1">FLUID!BG53</f>
        <v>#N/A</v>
      </c>
      <c r="BD10" s="100" t="e">
        <f ca="1">FLUID!BH53</f>
        <v>#N/A</v>
      </c>
      <c r="BE10" s="100" t="e">
        <f ca="1">FLUID!BI53</f>
        <v>#N/A</v>
      </c>
      <c r="BF10" s="100" t="e">
        <f ca="1">FLUID!BJ53</f>
        <v>#N/A</v>
      </c>
      <c r="BG10" s="100" t="e">
        <f ca="1">FLUID!BK53</f>
        <v>#N/A</v>
      </c>
      <c r="BH10" s="100" t="e">
        <f ca="1">FLUID!BL53</f>
        <v>#N/A</v>
      </c>
      <c r="BI10" s="100" t="e">
        <f ca="1">FLUID!BM53</f>
        <v>#N/A</v>
      </c>
      <c r="BJ10" s="100" t="e">
        <f ca="1">FLUID!BN53</f>
        <v>#N/A</v>
      </c>
      <c r="BK10" s="100" t="e">
        <f ca="1">FLUID!BO53</f>
        <v>#N/A</v>
      </c>
      <c r="BL10" s="100" t="e">
        <f ca="1">FLUID!BP53</f>
        <v>#N/A</v>
      </c>
      <c r="BM10" s="100" t="e">
        <f ca="1">FLUID!BQ53</f>
        <v>#N/A</v>
      </c>
      <c r="BN10" s="100" t="e">
        <f ca="1">FLUID!BR53</f>
        <v>#N/A</v>
      </c>
      <c r="BO10" s="100">
        <f>FLUID!BS53</f>
        <v>0</v>
      </c>
      <c r="BP10" s="100">
        <f>FLUID!BT53</f>
        <v>0</v>
      </c>
      <c r="BQ10" s="100">
        <f>FLUID!BU53</f>
        <v>0</v>
      </c>
      <c r="BR10" s="100">
        <f>FLUID!BV53</f>
        <v>0</v>
      </c>
      <c r="BS10" s="100">
        <f>FLUID!BW53</f>
        <v>0</v>
      </c>
      <c r="BT10" s="100">
        <f>FLUID!BX53</f>
        <v>0</v>
      </c>
    </row>
    <row r="11" spans="1:72" ht="21.75" hidden="1" outlineLevel="1" thickBot="1" x14ac:dyDescent="0.4">
      <c r="A11" s="87">
        <f>FLUID!E54</f>
        <v>0</v>
      </c>
      <c r="B11" s="100" t="e">
        <f ca="1">FLUID!F54</f>
        <v>#N/A</v>
      </c>
      <c r="C11" s="100" t="e">
        <f ca="1">FLUID!G54</f>
        <v>#N/A</v>
      </c>
      <c r="D11" s="100" t="e">
        <f ca="1">FLUID!H54</f>
        <v>#N/A</v>
      </c>
      <c r="E11" s="100" t="e">
        <f ca="1">FLUID!I54</f>
        <v>#N/A</v>
      </c>
      <c r="F11" s="100" t="e">
        <f ca="1">FLUID!J54</f>
        <v>#N/A</v>
      </c>
      <c r="G11" s="100" t="e">
        <f ca="1">FLUID!K54</f>
        <v>#N/A</v>
      </c>
      <c r="H11" s="100" t="e">
        <f ca="1">FLUID!L54</f>
        <v>#N/A</v>
      </c>
      <c r="I11" s="100" t="e">
        <f ca="1">FLUID!M54</f>
        <v>#N/A</v>
      </c>
      <c r="J11" s="100" t="e">
        <f ca="1">FLUID!N54</f>
        <v>#N/A</v>
      </c>
      <c r="K11" s="100" t="e">
        <f ca="1">FLUID!O54</f>
        <v>#N/A</v>
      </c>
      <c r="L11" s="100" t="e">
        <f ca="1">FLUID!P54</f>
        <v>#N/A</v>
      </c>
      <c r="M11" s="100" t="e">
        <f ca="1">FLUID!Q54</f>
        <v>#N/A</v>
      </c>
      <c r="N11" s="100" t="e">
        <f ca="1">FLUID!R54</f>
        <v>#N/A</v>
      </c>
      <c r="O11" s="100" t="e">
        <f ca="1">FLUID!S54</f>
        <v>#N/A</v>
      </c>
      <c r="P11" s="100" t="e">
        <f ca="1">FLUID!T54</f>
        <v>#N/A</v>
      </c>
      <c r="Q11" s="100" t="e">
        <f ca="1">FLUID!U54</f>
        <v>#N/A</v>
      </c>
      <c r="R11" s="100" t="e">
        <f ca="1">FLUID!V54</f>
        <v>#N/A</v>
      </c>
      <c r="S11" s="100" t="e">
        <f ca="1">FLUID!W54</f>
        <v>#N/A</v>
      </c>
      <c r="T11" s="100" t="e">
        <f ca="1">FLUID!X54</f>
        <v>#N/A</v>
      </c>
      <c r="U11" s="100" t="e">
        <f ca="1">FLUID!Y54</f>
        <v>#N/A</v>
      </c>
      <c r="V11" s="100" t="e">
        <f ca="1">FLUID!Z54</f>
        <v>#N/A</v>
      </c>
      <c r="W11" s="100" t="e">
        <f ca="1">FLUID!AA54</f>
        <v>#N/A</v>
      </c>
      <c r="X11" s="100" t="e">
        <f ca="1">FLUID!AB54</f>
        <v>#N/A</v>
      </c>
      <c r="Y11" s="100" t="e">
        <f ca="1">FLUID!AC54</f>
        <v>#N/A</v>
      </c>
      <c r="Z11" s="100" t="e">
        <f ca="1">FLUID!AD54</f>
        <v>#N/A</v>
      </c>
      <c r="AA11" s="100" t="e">
        <f ca="1">FLUID!AE54</f>
        <v>#N/A</v>
      </c>
      <c r="AB11" s="100" t="e">
        <f ca="1">FLUID!AF54</f>
        <v>#N/A</v>
      </c>
      <c r="AC11" s="100" t="e">
        <f ca="1">FLUID!AG54</f>
        <v>#N/A</v>
      </c>
      <c r="AD11" s="100" t="e">
        <f ca="1">FLUID!AH54</f>
        <v>#N/A</v>
      </c>
      <c r="AE11" s="100" t="e">
        <f ca="1">FLUID!AI54</f>
        <v>#N/A</v>
      </c>
      <c r="AF11" s="100" t="e">
        <f ca="1">FLUID!AJ54</f>
        <v>#N/A</v>
      </c>
      <c r="AG11" s="100" t="e">
        <f ca="1">FLUID!AK54</f>
        <v>#N/A</v>
      </c>
      <c r="AH11" s="100" t="e">
        <f ca="1">FLUID!AL54</f>
        <v>#N/A</v>
      </c>
      <c r="AI11" s="100" t="e">
        <f ca="1">FLUID!AM54</f>
        <v>#N/A</v>
      </c>
      <c r="AJ11" s="100" t="e">
        <f ca="1">FLUID!AN54</f>
        <v>#N/A</v>
      </c>
      <c r="AK11" s="100" t="e">
        <f ca="1">FLUID!AO54</f>
        <v>#N/A</v>
      </c>
      <c r="AL11" s="100" t="e">
        <f ca="1">FLUID!AP54</f>
        <v>#N/A</v>
      </c>
      <c r="AM11" s="100" t="e">
        <f ca="1">FLUID!AQ54</f>
        <v>#N/A</v>
      </c>
      <c r="AN11" s="100" t="e">
        <f ca="1">FLUID!AR54</f>
        <v>#N/A</v>
      </c>
      <c r="AO11" s="100" t="e">
        <f ca="1">FLUID!AS54</f>
        <v>#N/A</v>
      </c>
      <c r="AP11" s="100" t="e">
        <f ca="1">FLUID!AT54</f>
        <v>#N/A</v>
      </c>
      <c r="AQ11" s="100" t="e">
        <f ca="1">FLUID!AU54</f>
        <v>#N/A</v>
      </c>
      <c r="AR11" s="100" t="e">
        <f ca="1">FLUID!AV54</f>
        <v>#N/A</v>
      </c>
      <c r="AS11" s="100" t="e">
        <f ca="1">FLUID!AW54</f>
        <v>#N/A</v>
      </c>
      <c r="AT11" s="100" t="e">
        <f ca="1">FLUID!AX54</f>
        <v>#N/A</v>
      </c>
      <c r="AU11" s="100" t="e">
        <f ca="1">FLUID!AY54</f>
        <v>#N/A</v>
      </c>
      <c r="AV11" s="100" t="e">
        <f ca="1">FLUID!AZ54</f>
        <v>#N/A</v>
      </c>
      <c r="AW11" s="100" t="e">
        <f ca="1">FLUID!BA54</f>
        <v>#N/A</v>
      </c>
      <c r="AX11" s="100" t="e">
        <f ca="1">FLUID!BB54</f>
        <v>#N/A</v>
      </c>
      <c r="AY11" s="100" t="e">
        <f ca="1">FLUID!BC54</f>
        <v>#N/A</v>
      </c>
      <c r="AZ11" s="100" t="e">
        <f ca="1">FLUID!BD54</f>
        <v>#N/A</v>
      </c>
      <c r="BA11" s="100" t="e">
        <f ca="1">FLUID!BE54</f>
        <v>#N/A</v>
      </c>
      <c r="BB11" s="100" t="e">
        <f ca="1">FLUID!BF54</f>
        <v>#N/A</v>
      </c>
      <c r="BC11" s="100" t="e">
        <f ca="1">FLUID!BG54</f>
        <v>#N/A</v>
      </c>
      <c r="BD11" s="100" t="e">
        <f ca="1">FLUID!BH54</f>
        <v>#N/A</v>
      </c>
      <c r="BE11" s="100" t="e">
        <f ca="1">FLUID!BI54</f>
        <v>#N/A</v>
      </c>
      <c r="BF11" s="100" t="e">
        <f ca="1">FLUID!BJ54</f>
        <v>#N/A</v>
      </c>
      <c r="BG11" s="100" t="e">
        <f ca="1">FLUID!BK54</f>
        <v>#N/A</v>
      </c>
      <c r="BH11" s="100" t="e">
        <f ca="1">FLUID!BL54</f>
        <v>#N/A</v>
      </c>
      <c r="BI11" s="100" t="e">
        <f ca="1">FLUID!BM54</f>
        <v>#N/A</v>
      </c>
      <c r="BJ11" s="100" t="e">
        <f ca="1">FLUID!BN54</f>
        <v>#N/A</v>
      </c>
      <c r="BK11" s="100" t="e">
        <f ca="1">FLUID!BO54</f>
        <v>#N/A</v>
      </c>
      <c r="BL11" s="100" t="e">
        <f ca="1">FLUID!BP54</f>
        <v>#N/A</v>
      </c>
      <c r="BM11" s="100" t="e">
        <f ca="1">FLUID!BQ54</f>
        <v>#N/A</v>
      </c>
      <c r="BN11" s="100" t="e">
        <f ca="1">FLUID!BR54</f>
        <v>#N/A</v>
      </c>
      <c r="BO11" s="100">
        <f>FLUID!BS54</f>
        <v>0</v>
      </c>
      <c r="BP11" s="100">
        <f>FLUID!BT54</f>
        <v>0</v>
      </c>
      <c r="BQ11" s="100">
        <f>FLUID!BU54</f>
        <v>0</v>
      </c>
      <c r="BR11" s="100">
        <f>FLUID!BV54</f>
        <v>0</v>
      </c>
      <c r="BS11" s="100">
        <f>FLUID!BW54</f>
        <v>0</v>
      </c>
      <c r="BT11" s="100">
        <f>FLUID!BX54</f>
        <v>0</v>
      </c>
    </row>
    <row r="12" spans="1:72" ht="21.75" hidden="1" outlineLevel="1" thickBot="1" x14ac:dyDescent="0.4">
      <c r="A12" s="87">
        <f>FLUID!E55</f>
        <v>0</v>
      </c>
      <c r="B12" s="100" t="e">
        <f ca="1">FLUID!F55</f>
        <v>#N/A</v>
      </c>
      <c r="C12" s="100" t="e">
        <f ca="1">FLUID!G55</f>
        <v>#N/A</v>
      </c>
      <c r="D12" s="100" t="e">
        <f ca="1">FLUID!H55</f>
        <v>#N/A</v>
      </c>
      <c r="E12" s="100" t="e">
        <f ca="1">FLUID!I55</f>
        <v>#N/A</v>
      </c>
      <c r="F12" s="100" t="e">
        <f ca="1">FLUID!J55</f>
        <v>#N/A</v>
      </c>
      <c r="G12" s="100" t="e">
        <f ca="1">FLUID!K55</f>
        <v>#N/A</v>
      </c>
      <c r="H12" s="100" t="e">
        <f ca="1">FLUID!L55</f>
        <v>#N/A</v>
      </c>
      <c r="I12" s="100" t="e">
        <f ca="1">FLUID!M55</f>
        <v>#N/A</v>
      </c>
      <c r="J12" s="100" t="e">
        <f ca="1">FLUID!N55</f>
        <v>#N/A</v>
      </c>
      <c r="K12" s="100" t="e">
        <f ca="1">FLUID!O55</f>
        <v>#N/A</v>
      </c>
      <c r="L12" s="100" t="e">
        <f ca="1">FLUID!P55</f>
        <v>#N/A</v>
      </c>
      <c r="M12" s="100" t="e">
        <f ca="1">FLUID!Q55</f>
        <v>#N/A</v>
      </c>
      <c r="N12" s="100" t="e">
        <f ca="1">FLUID!R55</f>
        <v>#N/A</v>
      </c>
      <c r="O12" s="100" t="e">
        <f ca="1">FLUID!S55</f>
        <v>#N/A</v>
      </c>
      <c r="P12" s="100" t="e">
        <f ca="1">FLUID!T55</f>
        <v>#N/A</v>
      </c>
      <c r="Q12" s="100" t="e">
        <f ca="1">FLUID!U55</f>
        <v>#N/A</v>
      </c>
      <c r="R12" s="100" t="e">
        <f ca="1">FLUID!V55</f>
        <v>#N/A</v>
      </c>
      <c r="S12" s="100" t="e">
        <f ca="1">FLUID!W55</f>
        <v>#N/A</v>
      </c>
      <c r="T12" s="100" t="e">
        <f ca="1">FLUID!X55</f>
        <v>#N/A</v>
      </c>
      <c r="U12" s="100" t="e">
        <f ca="1">FLUID!Y55</f>
        <v>#N/A</v>
      </c>
      <c r="V12" s="100" t="e">
        <f ca="1">FLUID!Z55</f>
        <v>#N/A</v>
      </c>
      <c r="W12" s="100" t="e">
        <f ca="1">FLUID!AA55</f>
        <v>#N/A</v>
      </c>
      <c r="X12" s="100" t="e">
        <f ca="1">FLUID!AB55</f>
        <v>#N/A</v>
      </c>
      <c r="Y12" s="100" t="e">
        <f ca="1">FLUID!AC55</f>
        <v>#N/A</v>
      </c>
      <c r="Z12" s="100" t="e">
        <f ca="1">FLUID!AD55</f>
        <v>#N/A</v>
      </c>
      <c r="AA12" s="100" t="e">
        <f ca="1">FLUID!AE55</f>
        <v>#N/A</v>
      </c>
      <c r="AB12" s="100" t="e">
        <f ca="1">FLUID!AF55</f>
        <v>#N/A</v>
      </c>
      <c r="AC12" s="100" t="e">
        <f ca="1">FLUID!AG55</f>
        <v>#N/A</v>
      </c>
      <c r="AD12" s="100" t="e">
        <f ca="1">FLUID!AH55</f>
        <v>#N/A</v>
      </c>
      <c r="AE12" s="100" t="e">
        <f ca="1">FLUID!AI55</f>
        <v>#N/A</v>
      </c>
      <c r="AF12" s="100" t="e">
        <f ca="1">FLUID!AJ55</f>
        <v>#N/A</v>
      </c>
      <c r="AG12" s="100" t="e">
        <f ca="1">FLUID!AK55</f>
        <v>#N/A</v>
      </c>
      <c r="AH12" s="100" t="e">
        <f ca="1">FLUID!AL55</f>
        <v>#N/A</v>
      </c>
      <c r="AI12" s="100" t="e">
        <f ca="1">FLUID!AM55</f>
        <v>#N/A</v>
      </c>
      <c r="AJ12" s="100" t="e">
        <f ca="1">FLUID!AN55</f>
        <v>#N/A</v>
      </c>
      <c r="AK12" s="100" t="e">
        <f ca="1">FLUID!AO55</f>
        <v>#N/A</v>
      </c>
      <c r="AL12" s="100" t="e">
        <f ca="1">FLUID!AP55</f>
        <v>#N/A</v>
      </c>
      <c r="AM12" s="100" t="e">
        <f ca="1">FLUID!AQ55</f>
        <v>#N/A</v>
      </c>
      <c r="AN12" s="100" t="e">
        <f ca="1">FLUID!AR55</f>
        <v>#N/A</v>
      </c>
      <c r="AO12" s="100" t="e">
        <f ca="1">FLUID!AS55</f>
        <v>#N/A</v>
      </c>
      <c r="AP12" s="100" t="e">
        <f ca="1">FLUID!AT55</f>
        <v>#N/A</v>
      </c>
      <c r="AQ12" s="100" t="e">
        <f ca="1">FLUID!AU55</f>
        <v>#N/A</v>
      </c>
      <c r="AR12" s="100" t="e">
        <f ca="1">FLUID!AV55</f>
        <v>#N/A</v>
      </c>
      <c r="AS12" s="100" t="e">
        <f ca="1">FLUID!AW55</f>
        <v>#N/A</v>
      </c>
      <c r="AT12" s="100" t="e">
        <f ca="1">FLUID!AX55</f>
        <v>#N/A</v>
      </c>
      <c r="AU12" s="100" t="e">
        <f ca="1">FLUID!AY55</f>
        <v>#N/A</v>
      </c>
      <c r="AV12" s="100" t="e">
        <f ca="1">FLUID!AZ55</f>
        <v>#N/A</v>
      </c>
      <c r="AW12" s="100" t="e">
        <f ca="1">FLUID!BA55</f>
        <v>#N/A</v>
      </c>
      <c r="AX12" s="100" t="e">
        <f ca="1">FLUID!BB55</f>
        <v>#N/A</v>
      </c>
      <c r="AY12" s="100" t="e">
        <f ca="1">FLUID!BC55</f>
        <v>#N/A</v>
      </c>
      <c r="AZ12" s="100" t="e">
        <f ca="1">FLUID!BD55</f>
        <v>#N/A</v>
      </c>
      <c r="BA12" s="100" t="e">
        <f ca="1">FLUID!BE55</f>
        <v>#N/A</v>
      </c>
      <c r="BB12" s="100" t="e">
        <f ca="1">FLUID!BF55</f>
        <v>#N/A</v>
      </c>
      <c r="BC12" s="100" t="e">
        <f ca="1">FLUID!BG55</f>
        <v>#N/A</v>
      </c>
      <c r="BD12" s="100" t="e">
        <f ca="1">FLUID!BH55</f>
        <v>#N/A</v>
      </c>
      <c r="BE12" s="100" t="e">
        <f ca="1">FLUID!BI55</f>
        <v>#N/A</v>
      </c>
      <c r="BF12" s="100" t="e">
        <f ca="1">FLUID!BJ55</f>
        <v>#N/A</v>
      </c>
      <c r="BG12" s="100" t="e">
        <f ca="1">FLUID!BK55</f>
        <v>#N/A</v>
      </c>
      <c r="BH12" s="100" t="e">
        <f ca="1">FLUID!BL55</f>
        <v>#N/A</v>
      </c>
      <c r="BI12" s="100" t="e">
        <f ca="1">FLUID!BM55</f>
        <v>#N/A</v>
      </c>
      <c r="BJ12" s="100" t="e">
        <f ca="1">FLUID!BN55</f>
        <v>#N/A</v>
      </c>
      <c r="BK12" s="100" t="e">
        <f ca="1">FLUID!BO55</f>
        <v>#N/A</v>
      </c>
      <c r="BL12" s="100" t="e">
        <f ca="1">FLUID!BP55</f>
        <v>#N/A</v>
      </c>
      <c r="BM12" s="100" t="e">
        <f ca="1">FLUID!BQ55</f>
        <v>#N/A</v>
      </c>
      <c r="BN12" s="100" t="e">
        <f ca="1">FLUID!BR55</f>
        <v>#N/A</v>
      </c>
      <c r="BO12" s="100">
        <f>FLUID!BS55</f>
        <v>0</v>
      </c>
      <c r="BP12" s="100">
        <f>FLUID!BT55</f>
        <v>0</v>
      </c>
      <c r="BQ12" s="100">
        <f>FLUID!BU55</f>
        <v>0</v>
      </c>
      <c r="BR12" s="100">
        <f>FLUID!BV55</f>
        <v>0</v>
      </c>
      <c r="BS12" s="100">
        <f>FLUID!BW55</f>
        <v>0</v>
      </c>
      <c r="BT12" s="100">
        <f>FLUID!BX55</f>
        <v>0</v>
      </c>
    </row>
    <row r="13" spans="1:72" ht="21.75" hidden="1" outlineLevel="1" thickBot="1" x14ac:dyDescent="0.4">
      <c r="A13" s="87">
        <f>FLUID!E56</f>
        <v>0</v>
      </c>
      <c r="B13" s="100" t="e">
        <f ca="1">FLUID!F56</f>
        <v>#N/A</v>
      </c>
      <c r="C13" s="100" t="e">
        <f ca="1">FLUID!G56</f>
        <v>#N/A</v>
      </c>
      <c r="D13" s="100" t="e">
        <f ca="1">FLUID!H56</f>
        <v>#N/A</v>
      </c>
      <c r="E13" s="100" t="e">
        <f ca="1">FLUID!I56</f>
        <v>#N/A</v>
      </c>
      <c r="F13" s="100" t="e">
        <f ca="1">FLUID!J56</f>
        <v>#N/A</v>
      </c>
      <c r="G13" s="100" t="e">
        <f ca="1">FLUID!K56</f>
        <v>#N/A</v>
      </c>
      <c r="H13" s="100" t="e">
        <f ca="1">FLUID!L56</f>
        <v>#N/A</v>
      </c>
      <c r="I13" s="100" t="e">
        <f ca="1">FLUID!M56</f>
        <v>#N/A</v>
      </c>
      <c r="J13" s="100" t="e">
        <f ca="1">FLUID!N56</f>
        <v>#N/A</v>
      </c>
      <c r="K13" s="100" t="e">
        <f ca="1">FLUID!O56</f>
        <v>#N/A</v>
      </c>
      <c r="L13" s="100" t="e">
        <f ca="1">FLUID!P56</f>
        <v>#N/A</v>
      </c>
      <c r="M13" s="100" t="e">
        <f ca="1">FLUID!Q56</f>
        <v>#N/A</v>
      </c>
      <c r="N13" s="100" t="e">
        <f ca="1">FLUID!R56</f>
        <v>#N/A</v>
      </c>
      <c r="O13" s="100" t="e">
        <f ca="1">FLUID!S56</f>
        <v>#N/A</v>
      </c>
      <c r="P13" s="100" t="e">
        <f ca="1">FLUID!T56</f>
        <v>#N/A</v>
      </c>
      <c r="Q13" s="100" t="e">
        <f ca="1">FLUID!U56</f>
        <v>#N/A</v>
      </c>
      <c r="R13" s="100" t="e">
        <f ca="1">FLUID!V56</f>
        <v>#N/A</v>
      </c>
      <c r="S13" s="100" t="e">
        <f ca="1">FLUID!W56</f>
        <v>#N/A</v>
      </c>
      <c r="T13" s="100" t="e">
        <f ca="1">FLUID!X56</f>
        <v>#N/A</v>
      </c>
      <c r="U13" s="100" t="e">
        <f ca="1">FLUID!Y56</f>
        <v>#N/A</v>
      </c>
      <c r="V13" s="100" t="e">
        <f ca="1">FLUID!Z56</f>
        <v>#N/A</v>
      </c>
      <c r="W13" s="100" t="e">
        <f ca="1">FLUID!AA56</f>
        <v>#N/A</v>
      </c>
      <c r="X13" s="100" t="e">
        <f ca="1">FLUID!AB56</f>
        <v>#N/A</v>
      </c>
      <c r="Y13" s="100" t="e">
        <f ca="1">FLUID!AC56</f>
        <v>#N/A</v>
      </c>
      <c r="Z13" s="100" t="e">
        <f ca="1">FLUID!AD56</f>
        <v>#N/A</v>
      </c>
      <c r="AA13" s="100" t="e">
        <f ca="1">FLUID!AE56</f>
        <v>#N/A</v>
      </c>
      <c r="AB13" s="100" t="e">
        <f ca="1">FLUID!AF56</f>
        <v>#N/A</v>
      </c>
      <c r="AC13" s="100" t="e">
        <f ca="1">FLUID!AG56</f>
        <v>#N/A</v>
      </c>
      <c r="AD13" s="100" t="e">
        <f ca="1">FLUID!AH56</f>
        <v>#N/A</v>
      </c>
      <c r="AE13" s="100" t="e">
        <f ca="1">FLUID!AI56</f>
        <v>#N/A</v>
      </c>
      <c r="AF13" s="100" t="e">
        <f ca="1">FLUID!AJ56</f>
        <v>#N/A</v>
      </c>
      <c r="AG13" s="100" t="e">
        <f ca="1">FLUID!AK56</f>
        <v>#N/A</v>
      </c>
      <c r="AH13" s="100" t="e">
        <f ca="1">FLUID!AL56</f>
        <v>#N/A</v>
      </c>
      <c r="AI13" s="100" t="e">
        <f ca="1">FLUID!AM56</f>
        <v>#N/A</v>
      </c>
      <c r="AJ13" s="100" t="e">
        <f ca="1">FLUID!AN56</f>
        <v>#N/A</v>
      </c>
      <c r="AK13" s="100" t="e">
        <f ca="1">FLUID!AO56</f>
        <v>#N/A</v>
      </c>
      <c r="AL13" s="100" t="e">
        <f ca="1">FLUID!AP56</f>
        <v>#N/A</v>
      </c>
      <c r="AM13" s="100" t="e">
        <f ca="1">FLUID!AQ56</f>
        <v>#N/A</v>
      </c>
      <c r="AN13" s="100" t="e">
        <f ca="1">FLUID!AR56</f>
        <v>#N/A</v>
      </c>
      <c r="AO13" s="100" t="e">
        <f ca="1">FLUID!AS56</f>
        <v>#N/A</v>
      </c>
      <c r="AP13" s="100" t="e">
        <f ca="1">FLUID!AT56</f>
        <v>#N/A</v>
      </c>
      <c r="AQ13" s="100" t="e">
        <f ca="1">FLUID!AU56</f>
        <v>#N/A</v>
      </c>
      <c r="AR13" s="100" t="e">
        <f ca="1">FLUID!AV56</f>
        <v>#N/A</v>
      </c>
      <c r="AS13" s="100" t="e">
        <f ca="1">FLUID!AW56</f>
        <v>#N/A</v>
      </c>
      <c r="AT13" s="100" t="e">
        <f ca="1">FLUID!AX56</f>
        <v>#N/A</v>
      </c>
      <c r="AU13" s="100" t="e">
        <f ca="1">FLUID!AY56</f>
        <v>#N/A</v>
      </c>
      <c r="AV13" s="100" t="e">
        <f ca="1">FLUID!AZ56</f>
        <v>#N/A</v>
      </c>
      <c r="AW13" s="100" t="e">
        <f ca="1">FLUID!BA56</f>
        <v>#N/A</v>
      </c>
      <c r="AX13" s="100" t="e">
        <f ca="1">FLUID!BB56</f>
        <v>#N/A</v>
      </c>
      <c r="AY13" s="100" t="e">
        <f ca="1">FLUID!BC56</f>
        <v>#N/A</v>
      </c>
      <c r="AZ13" s="100" t="e">
        <f ca="1">FLUID!BD56</f>
        <v>#N/A</v>
      </c>
      <c r="BA13" s="100" t="e">
        <f ca="1">FLUID!BE56</f>
        <v>#N/A</v>
      </c>
      <c r="BB13" s="100" t="e">
        <f ca="1">FLUID!BF56</f>
        <v>#N/A</v>
      </c>
      <c r="BC13" s="100" t="e">
        <f ca="1">FLUID!BG56</f>
        <v>#N/A</v>
      </c>
      <c r="BD13" s="100" t="e">
        <f ca="1">FLUID!BH56</f>
        <v>#N/A</v>
      </c>
      <c r="BE13" s="100" t="e">
        <f ca="1">FLUID!BI56</f>
        <v>#N/A</v>
      </c>
      <c r="BF13" s="100" t="e">
        <f ca="1">FLUID!BJ56</f>
        <v>#N/A</v>
      </c>
      <c r="BG13" s="100" t="e">
        <f ca="1">FLUID!BK56</f>
        <v>#N/A</v>
      </c>
      <c r="BH13" s="100" t="e">
        <f ca="1">FLUID!BL56</f>
        <v>#N/A</v>
      </c>
      <c r="BI13" s="100" t="e">
        <f ca="1">FLUID!BM56</f>
        <v>#N/A</v>
      </c>
      <c r="BJ13" s="100" t="e">
        <f ca="1">FLUID!BN56</f>
        <v>#N/A</v>
      </c>
      <c r="BK13" s="100" t="e">
        <f ca="1">FLUID!BO56</f>
        <v>#N/A</v>
      </c>
      <c r="BL13" s="100" t="e">
        <f ca="1">FLUID!BP56</f>
        <v>#N/A</v>
      </c>
      <c r="BM13" s="100" t="e">
        <f ca="1">FLUID!BQ56</f>
        <v>#N/A</v>
      </c>
      <c r="BN13" s="100" t="e">
        <f ca="1">FLUID!BR56</f>
        <v>#N/A</v>
      </c>
      <c r="BO13" s="100">
        <f>FLUID!BS56</f>
        <v>0</v>
      </c>
      <c r="BP13" s="100">
        <f>FLUID!BT56</f>
        <v>0</v>
      </c>
      <c r="BQ13" s="100">
        <f>FLUID!BU56</f>
        <v>0</v>
      </c>
      <c r="BR13" s="100">
        <f>FLUID!BV56</f>
        <v>0</v>
      </c>
      <c r="BS13" s="100">
        <f>FLUID!BW56</f>
        <v>0</v>
      </c>
      <c r="BT13" s="100">
        <f>FLUID!BX56</f>
        <v>0</v>
      </c>
    </row>
    <row r="14" spans="1:72" ht="21.75" hidden="1" outlineLevel="1" thickBot="1" x14ac:dyDescent="0.4">
      <c r="A14" s="87">
        <f>FLUID!E57</f>
        <v>0</v>
      </c>
      <c r="B14" s="100" t="e">
        <f ca="1">FLUID!F57</f>
        <v>#N/A</v>
      </c>
      <c r="C14" s="100" t="e">
        <f ca="1">FLUID!G57</f>
        <v>#N/A</v>
      </c>
      <c r="D14" s="100" t="e">
        <f ca="1">FLUID!H57</f>
        <v>#N/A</v>
      </c>
      <c r="E14" s="100" t="e">
        <f ca="1">FLUID!I57</f>
        <v>#N/A</v>
      </c>
      <c r="F14" s="100" t="e">
        <f ca="1">FLUID!J57</f>
        <v>#N/A</v>
      </c>
      <c r="G14" s="100" t="e">
        <f ca="1">FLUID!K57</f>
        <v>#N/A</v>
      </c>
      <c r="H14" s="100" t="e">
        <f ca="1">FLUID!L57</f>
        <v>#N/A</v>
      </c>
      <c r="I14" s="100" t="e">
        <f ca="1">FLUID!M57</f>
        <v>#N/A</v>
      </c>
      <c r="J14" s="100" t="e">
        <f ca="1">FLUID!N57</f>
        <v>#N/A</v>
      </c>
      <c r="K14" s="100" t="e">
        <f ca="1">FLUID!O57</f>
        <v>#N/A</v>
      </c>
      <c r="L14" s="100" t="e">
        <f ca="1">FLUID!P57</f>
        <v>#N/A</v>
      </c>
      <c r="M14" s="100" t="e">
        <f ca="1">FLUID!Q57</f>
        <v>#N/A</v>
      </c>
      <c r="N14" s="100" t="e">
        <f ca="1">FLUID!R57</f>
        <v>#N/A</v>
      </c>
      <c r="O14" s="100" t="e">
        <f ca="1">FLUID!S57</f>
        <v>#N/A</v>
      </c>
      <c r="P14" s="100" t="e">
        <f ca="1">FLUID!T57</f>
        <v>#N/A</v>
      </c>
      <c r="Q14" s="100" t="e">
        <f ca="1">FLUID!U57</f>
        <v>#N/A</v>
      </c>
      <c r="R14" s="100" t="e">
        <f ca="1">FLUID!V57</f>
        <v>#N/A</v>
      </c>
      <c r="S14" s="100" t="e">
        <f ca="1">FLUID!W57</f>
        <v>#N/A</v>
      </c>
      <c r="T14" s="100" t="e">
        <f ca="1">FLUID!X57</f>
        <v>#N/A</v>
      </c>
      <c r="U14" s="100" t="e">
        <f ca="1">FLUID!Y57</f>
        <v>#N/A</v>
      </c>
      <c r="V14" s="100" t="e">
        <f ca="1">FLUID!Z57</f>
        <v>#N/A</v>
      </c>
      <c r="W14" s="100" t="e">
        <f ca="1">FLUID!AA57</f>
        <v>#N/A</v>
      </c>
      <c r="X14" s="100" t="e">
        <f ca="1">FLUID!AB57</f>
        <v>#N/A</v>
      </c>
      <c r="Y14" s="100" t="e">
        <f ca="1">FLUID!AC57</f>
        <v>#N/A</v>
      </c>
      <c r="Z14" s="100" t="e">
        <f ca="1">FLUID!AD57</f>
        <v>#N/A</v>
      </c>
      <c r="AA14" s="100" t="e">
        <f ca="1">FLUID!AE57</f>
        <v>#N/A</v>
      </c>
      <c r="AB14" s="100" t="e">
        <f ca="1">FLUID!AF57</f>
        <v>#N/A</v>
      </c>
      <c r="AC14" s="100" t="e">
        <f ca="1">FLUID!AG57</f>
        <v>#N/A</v>
      </c>
      <c r="AD14" s="100" t="e">
        <f ca="1">FLUID!AH57</f>
        <v>#N/A</v>
      </c>
      <c r="AE14" s="100" t="e">
        <f ca="1">FLUID!AI57</f>
        <v>#N/A</v>
      </c>
      <c r="AF14" s="100" t="e">
        <f ca="1">FLUID!AJ57</f>
        <v>#N/A</v>
      </c>
      <c r="AG14" s="100" t="e">
        <f ca="1">FLUID!AK57</f>
        <v>#N/A</v>
      </c>
      <c r="AH14" s="100" t="e">
        <f ca="1">FLUID!AL57</f>
        <v>#N/A</v>
      </c>
      <c r="AI14" s="100" t="e">
        <f ca="1">FLUID!AM57</f>
        <v>#N/A</v>
      </c>
      <c r="AJ14" s="100" t="e">
        <f ca="1">FLUID!AN57</f>
        <v>#N/A</v>
      </c>
      <c r="AK14" s="100" t="e">
        <f ca="1">FLUID!AO57</f>
        <v>#N/A</v>
      </c>
      <c r="AL14" s="100" t="e">
        <f ca="1">FLUID!AP57</f>
        <v>#N/A</v>
      </c>
      <c r="AM14" s="100" t="e">
        <f ca="1">FLUID!AQ57</f>
        <v>#N/A</v>
      </c>
      <c r="AN14" s="100" t="e">
        <f ca="1">FLUID!AR57</f>
        <v>#N/A</v>
      </c>
      <c r="AO14" s="100" t="e">
        <f ca="1">FLUID!AS57</f>
        <v>#N/A</v>
      </c>
      <c r="AP14" s="100" t="e">
        <f ca="1">FLUID!AT57</f>
        <v>#N/A</v>
      </c>
      <c r="AQ14" s="100" t="e">
        <f ca="1">FLUID!AU57</f>
        <v>#N/A</v>
      </c>
      <c r="AR14" s="100" t="e">
        <f ca="1">FLUID!AV57</f>
        <v>#N/A</v>
      </c>
      <c r="AS14" s="100" t="e">
        <f ca="1">FLUID!AW57</f>
        <v>#N/A</v>
      </c>
      <c r="AT14" s="100" t="e">
        <f ca="1">FLUID!AX57</f>
        <v>#N/A</v>
      </c>
      <c r="AU14" s="100" t="e">
        <f ca="1">FLUID!AY57</f>
        <v>#N/A</v>
      </c>
      <c r="AV14" s="100" t="e">
        <f ca="1">FLUID!AZ57</f>
        <v>#N/A</v>
      </c>
      <c r="AW14" s="100" t="e">
        <f ca="1">FLUID!BA57</f>
        <v>#N/A</v>
      </c>
      <c r="AX14" s="100" t="e">
        <f ca="1">FLUID!BB57</f>
        <v>#N/A</v>
      </c>
      <c r="AY14" s="100" t="e">
        <f ca="1">FLUID!BC57</f>
        <v>#N/A</v>
      </c>
      <c r="AZ14" s="100" t="e">
        <f ca="1">FLUID!BD57</f>
        <v>#N/A</v>
      </c>
      <c r="BA14" s="100" t="e">
        <f ca="1">FLUID!BE57</f>
        <v>#N/A</v>
      </c>
      <c r="BB14" s="100" t="e">
        <f ca="1">FLUID!BF57</f>
        <v>#N/A</v>
      </c>
      <c r="BC14" s="100" t="e">
        <f ca="1">FLUID!BG57</f>
        <v>#N/A</v>
      </c>
      <c r="BD14" s="100" t="e">
        <f ca="1">FLUID!BH57</f>
        <v>#N/A</v>
      </c>
      <c r="BE14" s="100" t="e">
        <f ca="1">FLUID!BI57</f>
        <v>#N/A</v>
      </c>
      <c r="BF14" s="100" t="e">
        <f ca="1">FLUID!BJ57</f>
        <v>#N/A</v>
      </c>
      <c r="BG14" s="100" t="e">
        <f ca="1">FLUID!BK57</f>
        <v>#N/A</v>
      </c>
      <c r="BH14" s="100" t="e">
        <f ca="1">FLUID!BL57</f>
        <v>#N/A</v>
      </c>
      <c r="BI14" s="100" t="e">
        <f ca="1">FLUID!BM57</f>
        <v>#N/A</v>
      </c>
      <c r="BJ14" s="100" t="e">
        <f ca="1">FLUID!BN57</f>
        <v>#N/A</v>
      </c>
      <c r="BK14" s="100" t="e">
        <f ca="1">FLUID!BO57</f>
        <v>#N/A</v>
      </c>
      <c r="BL14" s="100" t="e">
        <f ca="1">FLUID!BP57</f>
        <v>#N/A</v>
      </c>
      <c r="BM14" s="100" t="e">
        <f ca="1">FLUID!BQ57</f>
        <v>#N/A</v>
      </c>
      <c r="BN14" s="100" t="e">
        <f ca="1">FLUID!BR57</f>
        <v>#N/A</v>
      </c>
      <c r="BO14" s="100">
        <f>FLUID!BS57</f>
        <v>0</v>
      </c>
      <c r="BP14" s="100">
        <f>FLUID!BT57</f>
        <v>0</v>
      </c>
      <c r="BQ14" s="100">
        <f>FLUID!BU57</f>
        <v>0</v>
      </c>
      <c r="BR14" s="100">
        <f>FLUID!BV57</f>
        <v>0</v>
      </c>
      <c r="BS14" s="100">
        <f>FLUID!BW57</f>
        <v>0</v>
      </c>
      <c r="BT14" s="100">
        <f>FLUID!BX57</f>
        <v>0</v>
      </c>
    </row>
    <row r="15" spans="1:72" ht="21.75" hidden="1" outlineLevel="1" thickBot="1" x14ac:dyDescent="0.4">
      <c r="A15" s="87">
        <f>FLUID!E58</f>
        <v>0</v>
      </c>
      <c r="B15" s="100" t="e">
        <f ca="1">FLUID!F58</f>
        <v>#N/A</v>
      </c>
      <c r="C15" s="100" t="e">
        <f ca="1">FLUID!G58</f>
        <v>#N/A</v>
      </c>
      <c r="D15" s="100" t="e">
        <f ca="1">FLUID!H58</f>
        <v>#N/A</v>
      </c>
      <c r="E15" s="100" t="e">
        <f ca="1">FLUID!I58</f>
        <v>#N/A</v>
      </c>
      <c r="F15" s="100" t="e">
        <f ca="1">FLUID!J58</f>
        <v>#N/A</v>
      </c>
      <c r="G15" s="100" t="e">
        <f ca="1">FLUID!K58</f>
        <v>#N/A</v>
      </c>
      <c r="H15" s="100" t="e">
        <f ca="1">FLUID!L58</f>
        <v>#N/A</v>
      </c>
      <c r="I15" s="100" t="e">
        <f ca="1">FLUID!M58</f>
        <v>#N/A</v>
      </c>
      <c r="J15" s="100" t="e">
        <f ca="1">FLUID!N58</f>
        <v>#N/A</v>
      </c>
      <c r="K15" s="100" t="e">
        <f ca="1">FLUID!O58</f>
        <v>#N/A</v>
      </c>
      <c r="L15" s="100" t="e">
        <f ca="1">FLUID!P58</f>
        <v>#N/A</v>
      </c>
      <c r="M15" s="100" t="e">
        <f ca="1">FLUID!Q58</f>
        <v>#N/A</v>
      </c>
      <c r="N15" s="100" t="e">
        <f ca="1">FLUID!R58</f>
        <v>#N/A</v>
      </c>
      <c r="O15" s="100" t="e">
        <f ca="1">FLUID!S58</f>
        <v>#N/A</v>
      </c>
      <c r="P15" s="100" t="e">
        <f ca="1">FLUID!T58</f>
        <v>#N/A</v>
      </c>
      <c r="Q15" s="100" t="e">
        <f ca="1">FLUID!U58</f>
        <v>#N/A</v>
      </c>
      <c r="R15" s="100" t="e">
        <f ca="1">FLUID!V58</f>
        <v>#N/A</v>
      </c>
      <c r="S15" s="100" t="e">
        <f ca="1">FLUID!W58</f>
        <v>#N/A</v>
      </c>
      <c r="T15" s="100" t="e">
        <f ca="1">FLUID!X58</f>
        <v>#N/A</v>
      </c>
      <c r="U15" s="100" t="e">
        <f ca="1">FLUID!Y58</f>
        <v>#N/A</v>
      </c>
      <c r="V15" s="100" t="e">
        <f ca="1">FLUID!Z58</f>
        <v>#N/A</v>
      </c>
      <c r="W15" s="100" t="e">
        <f ca="1">FLUID!AA58</f>
        <v>#N/A</v>
      </c>
      <c r="X15" s="100" t="e">
        <f ca="1">FLUID!AB58</f>
        <v>#N/A</v>
      </c>
      <c r="Y15" s="100" t="e">
        <f ca="1">FLUID!AC58</f>
        <v>#N/A</v>
      </c>
      <c r="Z15" s="100" t="e">
        <f ca="1">FLUID!AD58</f>
        <v>#N/A</v>
      </c>
      <c r="AA15" s="100" t="e">
        <f ca="1">FLUID!AE58</f>
        <v>#N/A</v>
      </c>
      <c r="AB15" s="100" t="e">
        <f ca="1">FLUID!AF58</f>
        <v>#N/A</v>
      </c>
      <c r="AC15" s="100" t="e">
        <f ca="1">FLUID!AG58</f>
        <v>#N/A</v>
      </c>
      <c r="AD15" s="100" t="e">
        <f ca="1">FLUID!AH58</f>
        <v>#N/A</v>
      </c>
      <c r="AE15" s="100" t="e">
        <f ca="1">FLUID!AI58</f>
        <v>#N/A</v>
      </c>
      <c r="AF15" s="100" t="e">
        <f ca="1">FLUID!AJ58</f>
        <v>#N/A</v>
      </c>
      <c r="AG15" s="100" t="e">
        <f ca="1">FLUID!AK58</f>
        <v>#N/A</v>
      </c>
      <c r="AH15" s="100" t="e">
        <f ca="1">FLUID!AL58</f>
        <v>#N/A</v>
      </c>
      <c r="AI15" s="100" t="e">
        <f ca="1">FLUID!AM58</f>
        <v>#N/A</v>
      </c>
      <c r="AJ15" s="100" t="e">
        <f ca="1">FLUID!AN58</f>
        <v>#N/A</v>
      </c>
      <c r="AK15" s="100" t="e">
        <f ca="1">FLUID!AO58</f>
        <v>#N/A</v>
      </c>
      <c r="AL15" s="100" t="e">
        <f ca="1">FLUID!AP58</f>
        <v>#N/A</v>
      </c>
      <c r="AM15" s="100" t="e">
        <f ca="1">FLUID!AQ58</f>
        <v>#N/A</v>
      </c>
      <c r="AN15" s="100" t="e">
        <f ca="1">FLUID!AR58</f>
        <v>#N/A</v>
      </c>
      <c r="AO15" s="100" t="e">
        <f ca="1">FLUID!AS58</f>
        <v>#N/A</v>
      </c>
      <c r="AP15" s="100" t="e">
        <f ca="1">FLUID!AT58</f>
        <v>#N/A</v>
      </c>
      <c r="AQ15" s="100" t="e">
        <f ca="1">FLUID!AU58</f>
        <v>#N/A</v>
      </c>
      <c r="AR15" s="100" t="e">
        <f ca="1">FLUID!AV58</f>
        <v>#N/A</v>
      </c>
      <c r="AS15" s="100" t="e">
        <f ca="1">FLUID!AW58</f>
        <v>#N/A</v>
      </c>
      <c r="AT15" s="100" t="e">
        <f ca="1">FLUID!AX58</f>
        <v>#N/A</v>
      </c>
      <c r="AU15" s="100" t="e">
        <f ca="1">FLUID!AY58</f>
        <v>#N/A</v>
      </c>
      <c r="AV15" s="100" t="e">
        <f ca="1">FLUID!AZ58</f>
        <v>#N/A</v>
      </c>
      <c r="AW15" s="100" t="e">
        <f ca="1">FLUID!BA58</f>
        <v>#N/A</v>
      </c>
      <c r="AX15" s="100" t="e">
        <f ca="1">FLUID!BB58</f>
        <v>#N/A</v>
      </c>
      <c r="AY15" s="100" t="e">
        <f ca="1">FLUID!BC58</f>
        <v>#N/A</v>
      </c>
      <c r="AZ15" s="100" t="e">
        <f ca="1">FLUID!BD58</f>
        <v>#N/A</v>
      </c>
      <c r="BA15" s="100" t="e">
        <f ca="1">FLUID!BE58</f>
        <v>#N/A</v>
      </c>
      <c r="BB15" s="100" t="e">
        <f ca="1">FLUID!BF58</f>
        <v>#N/A</v>
      </c>
      <c r="BC15" s="100" t="e">
        <f ca="1">FLUID!BG58</f>
        <v>#N/A</v>
      </c>
      <c r="BD15" s="100" t="e">
        <f ca="1">FLUID!BH58</f>
        <v>#N/A</v>
      </c>
      <c r="BE15" s="100" t="e">
        <f ca="1">FLUID!BI58</f>
        <v>#N/A</v>
      </c>
      <c r="BF15" s="100" t="e">
        <f ca="1">FLUID!BJ58</f>
        <v>#N/A</v>
      </c>
      <c r="BG15" s="100" t="e">
        <f ca="1">FLUID!BK58</f>
        <v>#N/A</v>
      </c>
      <c r="BH15" s="100" t="e">
        <f ca="1">FLUID!BL58</f>
        <v>#N/A</v>
      </c>
      <c r="BI15" s="100" t="e">
        <f ca="1">FLUID!BM58</f>
        <v>#N/A</v>
      </c>
      <c r="BJ15" s="100" t="e">
        <f ca="1">FLUID!BN58</f>
        <v>#N/A</v>
      </c>
      <c r="BK15" s="100" t="e">
        <f ca="1">FLUID!BO58</f>
        <v>#N/A</v>
      </c>
      <c r="BL15" s="100" t="e">
        <f ca="1">FLUID!BP58</f>
        <v>#N/A</v>
      </c>
      <c r="BM15" s="100" t="e">
        <f ca="1">FLUID!BQ58</f>
        <v>#N/A</v>
      </c>
      <c r="BN15" s="100" t="e">
        <f ca="1">FLUID!BR58</f>
        <v>#N/A</v>
      </c>
      <c r="BO15" s="100">
        <f>FLUID!BS58</f>
        <v>0</v>
      </c>
      <c r="BP15" s="100">
        <f>FLUID!BT58</f>
        <v>0</v>
      </c>
      <c r="BQ15" s="100">
        <f>FLUID!BU58</f>
        <v>0</v>
      </c>
      <c r="BR15" s="100">
        <f>FLUID!BV58</f>
        <v>0</v>
      </c>
      <c r="BS15" s="100">
        <f>FLUID!BW58</f>
        <v>0</v>
      </c>
      <c r="BT15" s="100">
        <f>FLUID!BX58</f>
        <v>0</v>
      </c>
    </row>
    <row r="16" spans="1:72" ht="21.75" hidden="1" outlineLevel="1" thickBot="1" x14ac:dyDescent="0.4">
      <c r="A16" s="87">
        <f>FLUID!E59</f>
        <v>0</v>
      </c>
      <c r="B16" s="100" t="e">
        <f ca="1">FLUID!F59</f>
        <v>#N/A</v>
      </c>
      <c r="C16" s="100" t="e">
        <f ca="1">FLUID!G59</f>
        <v>#N/A</v>
      </c>
      <c r="D16" s="100" t="e">
        <f ca="1">FLUID!H59</f>
        <v>#N/A</v>
      </c>
      <c r="E16" s="100" t="e">
        <f ca="1">FLUID!I59</f>
        <v>#N/A</v>
      </c>
      <c r="F16" s="100" t="e">
        <f ca="1">FLUID!J59</f>
        <v>#N/A</v>
      </c>
      <c r="G16" s="100" t="e">
        <f ca="1">FLUID!K59</f>
        <v>#N/A</v>
      </c>
      <c r="H16" s="100" t="e">
        <f ca="1">FLUID!L59</f>
        <v>#N/A</v>
      </c>
      <c r="I16" s="100" t="e">
        <f ca="1">FLUID!M59</f>
        <v>#N/A</v>
      </c>
      <c r="J16" s="100" t="e">
        <f ca="1">FLUID!N59</f>
        <v>#N/A</v>
      </c>
      <c r="K16" s="100" t="e">
        <f ca="1">FLUID!O59</f>
        <v>#N/A</v>
      </c>
      <c r="L16" s="100" t="e">
        <f ca="1">FLUID!P59</f>
        <v>#N/A</v>
      </c>
      <c r="M16" s="100" t="e">
        <f ca="1">FLUID!Q59</f>
        <v>#N/A</v>
      </c>
      <c r="N16" s="100" t="e">
        <f ca="1">FLUID!R59</f>
        <v>#N/A</v>
      </c>
      <c r="O16" s="100" t="e">
        <f ca="1">FLUID!S59</f>
        <v>#N/A</v>
      </c>
      <c r="P16" s="100" t="e">
        <f ca="1">FLUID!T59</f>
        <v>#N/A</v>
      </c>
      <c r="Q16" s="100" t="e">
        <f ca="1">FLUID!U59</f>
        <v>#N/A</v>
      </c>
      <c r="R16" s="100" t="e">
        <f ca="1">FLUID!V59</f>
        <v>#N/A</v>
      </c>
      <c r="S16" s="100" t="e">
        <f ca="1">FLUID!W59</f>
        <v>#N/A</v>
      </c>
      <c r="T16" s="100" t="e">
        <f ca="1">FLUID!X59</f>
        <v>#N/A</v>
      </c>
      <c r="U16" s="100" t="e">
        <f ca="1">FLUID!Y59</f>
        <v>#N/A</v>
      </c>
      <c r="V16" s="100" t="e">
        <f ca="1">FLUID!Z59</f>
        <v>#N/A</v>
      </c>
      <c r="W16" s="100" t="e">
        <f ca="1">FLUID!AA59</f>
        <v>#N/A</v>
      </c>
      <c r="X16" s="100" t="e">
        <f ca="1">FLUID!AB59</f>
        <v>#N/A</v>
      </c>
      <c r="Y16" s="100" t="e">
        <f ca="1">FLUID!AC59</f>
        <v>#N/A</v>
      </c>
      <c r="Z16" s="100" t="e">
        <f ca="1">FLUID!AD59</f>
        <v>#N/A</v>
      </c>
      <c r="AA16" s="100" t="e">
        <f ca="1">FLUID!AE59</f>
        <v>#N/A</v>
      </c>
      <c r="AB16" s="100" t="e">
        <f ca="1">FLUID!AF59</f>
        <v>#N/A</v>
      </c>
      <c r="AC16" s="100" t="e">
        <f ca="1">FLUID!AG59</f>
        <v>#N/A</v>
      </c>
      <c r="AD16" s="100" t="e">
        <f ca="1">FLUID!AH59</f>
        <v>#N/A</v>
      </c>
      <c r="AE16" s="100" t="e">
        <f ca="1">FLUID!AI59</f>
        <v>#N/A</v>
      </c>
      <c r="AF16" s="100" t="e">
        <f ca="1">FLUID!AJ59</f>
        <v>#N/A</v>
      </c>
      <c r="AG16" s="100" t="e">
        <f ca="1">FLUID!AK59</f>
        <v>#N/A</v>
      </c>
      <c r="AH16" s="100" t="e">
        <f ca="1">FLUID!AL59</f>
        <v>#N/A</v>
      </c>
      <c r="AI16" s="100" t="e">
        <f ca="1">FLUID!AM59</f>
        <v>#N/A</v>
      </c>
      <c r="AJ16" s="100" t="e">
        <f ca="1">FLUID!AN59</f>
        <v>#N/A</v>
      </c>
      <c r="AK16" s="100" t="e">
        <f ca="1">FLUID!AO59</f>
        <v>#N/A</v>
      </c>
      <c r="AL16" s="100" t="e">
        <f ca="1">FLUID!AP59</f>
        <v>#N/A</v>
      </c>
      <c r="AM16" s="100" t="e">
        <f ca="1">FLUID!AQ59</f>
        <v>#N/A</v>
      </c>
      <c r="AN16" s="100" t="e">
        <f ca="1">FLUID!AR59</f>
        <v>#N/A</v>
      </c>
      <c r="AO16" s="100" t="e">
        <f ca="1">FLUID!AS59</f>
        <v>#N/A</v>
      </c>
      <c r="AP16" s="100" t="e">
        <f ca="1">FLUID!AT59</f>
        <v>#N/A</v>
      </c>
      <c r="AQ16" s="100" t="e">
        <f ca="1">FLUID!AU59</f>
        <v>#N/A</v>
      </c>
      <c r="AR16" s="100" t="e">
        <f ca="1">FLUID!AV59</f>
        <v>#N/A</v>
      </c>
      <c r="AS16" s="100" t="e">
        <f ca="1">FLUID!AW59</f>
        <v>#N/A</v>
      </c>
      <c r="AT16" s="100" t="e">
        <f ca="1">FLUID!AX59</f>
        <v>#N/A</v>
      </c>
      <c r="AU16" s="100" t="e">
        <f ca="1">FLUID!AY59</f>
        <v>#N/A</v>
      </c>
      <c r="AV16" s="100" t="e">
        <f ca="1">FLUID!AZ59</f>
        <v>#N/A</v>
      </c>
      <c r="AW16" s="100" t="e">
        <f ca="1">FLUID!BA59</f>
        <v>#N/A</v>
      </c>
      <c r="AX16" s="100" t="e">
        <f ca="1">FLUID!BB59</f>
        <v>#N/A</v>
      </c>
      <c r="AY16" s="100" t="e">
        <f ca="1">FLUID!BC59</f>
        <v>#N/A</v>
      </c>
      <c r="AZ16" s="100" t="e">
        <f ca="1">FLUID!BD59</f>
        <v>#N/A</v>
      </c>
      <c r="BA16" s="100" t="e">
        <f ca="1">FLUID!BE59</f>
        <v>#N/A</v>
      </c>
      <c r="BB16" s="100" t="e">
        <f ca="1">FLUID!BF59</f>
        <v>#N/A</v>
      </c>
      <c r="BC16" s="100" t="e">
        <f ca="1">FLUID!BG59</f>
        <v>#N/A</v>
      </c>
      <c r="BD16" s="100" t="e">
        <f ca="1">FLUID!BH59</f>
        <v>#N/A</v>
      </c>
      <c r="BE16" s="100" t="e">
        <f ca="1">FLUID!BI59</f>
        <v>#N/A</v>
      </c>
      <c r="BF16" s="100" t="e">
        <f ca="1">FLUID!BJ59</f>
        <v>#N/A</v>
      </c>
      <c r="BG16" s="100" t="e">
        <f ca="1">FLUID!BK59</f>
        <v>#N/A</v>
      </c>
      <c r="BH16" s="100" t="e">
        <f ca="1">FLUID!BL59</f>
        <v>#N/A</v>
      </c>
      <c r="BI16" s="100" t="e">
        <f ca="1">FLUID!BM59</f>
        <v>#N/A</v>
      </c>
      <c r="BJ16" s="100" t="e">
        <f ca="1">FLUID!BN59</f>
        <v>#N/A</v>
      </c>
      <c r="BK16" s="100" t="e">
        <f ca="1">FLUID!BO59</f>
        <v>#N/A</v>
      </c>
      <c r="BL16" s="100" t="e">
        <f ca="1">FLUID!BP59</f>
        <v>#N/A</v>
      </c>
      <c r="BM16" s="100" t="e">
        <f ca="1">FLUID!BQ59</f>
        <v>#N/A</v>
      </c>
      <c r="BN16" s="100" t="e">
        <f ca="1">FLUID!BR59</f>
        <v>#N/A</v>
      </c>
      <c r="BO16" s="100">
        <f>FLUID!BS59</f>
        <v>0</v>
      </c>
      <c r="BP16" s="100">
        <f>FLUID!BT59</f>
        <v>0</v>
      </c>
      <c r="BQ16" s="100">
        <f>FLUID!BU59</f>
        <v>0</v>
      </c>
      <c r="BR16" s="100">
        <f>FLUID!BV59</f>
        <v>0</v>
      </c>
      <c r="BS16" s="100">
        <f>FLUID!BW59</f>
        <v>0</v>
      </c>
      <c r="BT16" s="100">
        <f>FLUID!BX59</f>
        <v>0</v>
      </c>
    </row>
    <row r="17" spans="1:72" ht="21.75" hidden="1" outlineLevel="1" thickBot="1" x14ac:dyDescent="0.4">
      <c r="A17" s="87">
        <f>FLUID!E60</f>
        <v>0</v>
      </c>
      <c r="B17" s="100" t="e">
        <f ca="1">FLUID!F60</f>
        <v>#N/A</v>
      </c>
      <c r="C17" s="100" t="e">
        <f ca="1">FLUID!G60</f>
        <v>#N/A</v>
      </c>
      <c r="D17" s="100" t="e">
        <f ca="1">FLUID!H60</f>
        <v>#N/A</v>
      </c>
      <c r="E17" s="100" t="e">
        <f ca="1">FLUID!I60</f>
        <v>#N/A</v>
      </c>
      <c r="F17" s="100" t="e">
        <f ca="1">FLUID!J60</f>
        <v>#N/A</v>
      </c>
      <c r="G17" s="100" t="e">
        <f ca="1">FLUID!K60</f>
        <v>#N/A</v>
      </c>
      <c r="H17" s="100" t="e">
        <f ca="1">FLUID!L60</f>
        <v>#N/A</v>
      </c>
      <c r="I17" s="100" t="e">
        <f ca="1">FLUID!M60</f>
        <v>#N/A</v>
      </c>
      <c r="J17" s="100" t="e">
        <f ca="1">FLUID!N60</f>
        <v>#N/A</v>
      </c>
      <c r="K17" s="100" t="e">
        <f ca="1">FLUID!O60</f>
        <v>#N/A</v>
      </c>
      <c r="L17" s="100" t="e">
        <f ca="1">FLUID!P60</f>
        <v>#N/A</v>
      </c>
      <c r="M17" s="100" t="e">
        <f ca="1">FLUID!Q60</f>
        <v>#N/A</v>
      </c>
      <c r="N17" s="100" t="e">
        <f ca="1">FLUID!R60</f>
        <v>#N/A</v>
      </c>
      <c r="O17" s="100" t="e">
        <f ca="1">FLUID!S60</f>
        <v>#N/A</v>
      </c>
      <c r="P17" s="100" t="e">
        <f ca="1">FLUID!T60</f>
        <v>#N/A</v>
      </c>
      <c r="Q17" s="100" t="e">
        <f ca="1">FLUID!U60</f>
        <v>#N/A</v>
      </c>
      <c r="R17" s="100" t="e">
        <f ca="1">FLUID!V60</f>
        <v>#N/A</v>
      </c>
      <c r="S17" s="100" t="e">
        <f ca="1">FLUID!W60</f>
        <v>#N/A</v>
      </c>
      <c r="T17" s="100" t="e">
        <f ca="1">FLUID!X60</f>
        <v>#N/A</v>
      </c>
      <c r="U17" s="100" t="e">
        <f ca="1">FLUID!Y60</f>
        <v>#N/A</v>
      </c>
      <c r="V17" s="100" t="e">
        <f ca="1">FLUID!Z60</f>
        <v>#N/A</v>
      </c>
      <c r="W17" s="100" t="e">
        <f ca="1">FLUID!AA60</f>
        <v>#N/A</v>
      </c>
      <c r="X17" s="100" t="e">
        <f ca="1">FLUID!AB60</f>
        <v>#N/A</v>
      </c>
      <c r="Y17" s="100" t="e">
        <f ca="1">FLUID!AC60</f>
        <v>#N/A</v>
      </c>
      <c r="Z17" s="100" t="e">
        <f ca="1">FLUID!AD60</f>
        <v>#N/A</v>
      </c>
      <c r="AA17" s="100" t="e">
        <f ca="1">FLUID!AE60</f>
        <v>#N/A</v>
      </c>
      <c r="AB17" s="100" t="e">
        <f ca="1">FLUID!AF60</f>
        <v>#N/A</v>
      </c>
      <c r="AC17" s="100" t="e">
        <f ca="1">FLUID!AG60</f>
        <v>#N/A</v>
      </c>
      <c r="AD17" s="100" t="e">
        <f ca="1">FLUID!AH60</f>
        <v>#N/A</v>
      </c>
      <c r="AE17" s="100" t="e">
        <f ca="1">FLUID!AI60</f>
        <v>#N/A</v>
      </c>
      <c r="AF17" s="100" t="e">
        <f ca="1">FLUID!AJ60</f>
        <v>#N/A</v>
      </c>
      <c r="AG17" s="100" t="e">
        <f ca="1">FLUID!AK60</f>
        <v>#N/A</v>
      </c>
      <c r="AH17" s="100" t="e">
        <f ca="1">FLUID!AL60</f>
        <v>#N/A</v>
      </c>
      <c r="AI17" s="100" t="e">
        <f ca="1">FLUID!AM60</f>
        <v>#N/A</v>
      </c>
      <c r="AJ17" s="100" t="e">
        <f ca="1">FLUID!AN60</f>
        <v>#N/A</v>
      </c>
      <c r="AK17" s="100" t="e">
        <f ca="1">FLUID!AO60</f>
        <v>#N/A</v>
      </c>
      <c r="AL17" s="100" t="e">
        <f ca="1">FLUID!AP60</f>
        <v>#N/A</v>
      </c>
      <c r="AM17" s="100" t="e">
        <f ca="1">FLUID!AQ60</f>
        <v>#N/A</v>
      </c>
      <c r="AN17" s="100" t="e">
        <f ca="1">FLUID!AR60</f>
        <v>#N/A</v>
      </c>
      <c r="AO17" s="100" t="e">
        <f ca="1">FLUID!AS60</f>
        <v>#N/A</v>
      </c>
      <c r="AP17" s="100" t="e">
        <f ca="1">FLUID!AT60</f>
        <v>#N/A</v>
      </c>
      <c r="AQ17" s="100" t="e">
        <f ca="1">FLUID!AU60</f>
        <v>#N/A</v>
      </c>
      <c r="AR17" s="100" t="e">
        <f ca="1">FLUID!AV60</f>
        <v>#N/A</v>
      </c>
      <c r="AS17" s="100" t="e">
        <f ca="1">FLUID!AW60</f>
        <v>#N/A</v>
      </c>
      <c r="AT17" s="100" t="e">
        <f ca="1">FLUID!AX60</f>
        <v>#N/A</v>
      </c>
      <c r="AU17" s="100" t="e">
        <f ca="1">FLUID!AY60</f>
        <v>#N/A</v>
      </c>
      <c r="AV17" s="100" t="e">
        <f ca="1">FLUID!AZ60</f>
        <v>#N/A</v>
      </c>
      <c r="AW17" s="100" t="e">
        <f ca="1">FLUID!BA60</f>
        <v>#N/A</v>
      </c>
      <c r="AX17" s="100" t="e">
        <f ca="1">FLUID!BB60</f>
        <v>#N/A</v>
      </c>
      <c r="AY17" s="100" t="e">
        <f ca="1">FLUID!BC60</f>
        <v>#N/A</v>
      </c>
      <c r="AZ17" s="100" t="e">
        <f ca="1">FLUID!BD60</f>
        <v>#N/A</v>
      </c>
      <c r="BA17" s="100" t="e">
        <f ca="1">FLUID!BE60</f>
        <v>#N/A</v>
      </c>
      <c r="BB17" s="100" t="e">
        <f ca="1">FLUID!BF60</f>
        <v>#N/A</v>
      </c>
      <c r="BC17" s="100" t="e">
        <f ca="1">FLUID!BG60</f>
        <v>#N/A</v>
      </c>
      <c r="BD17" s="100" t="e">
        <f ca="1">FLUID!BH60</f>
        <v>#N/A</v>
      </c>
      <c r="BE17" s="100" t="e">
        <f ca="1">FLUID!BI60</f>
        <v>#N/A</v>
      </c>
      <c r="BF17" s="100" t="e">
        <f ca="1">FLUID!BJ60</f>
        <v>#N/A</v>
      </c>
      <c r="BG17" s="100" t="e">
        <f ca="1">FLUID!BK60</f>
        <v>#N/A</v>
      </c>
      <c r="BH17" s="100" t="e">
        <f ca="1">FLUID!BL60</f>
        <v>#N/A</v>
      </c>
      <c r="BI17" s="100" t="e">
        <f ca="1">FLUID!BM60</f>
        <v>#N/A</v>
      </c>
      <c r="BJ17" s="100" t="e">
        <f ca="1">FLUID!BN60</f>
        <v>#N/A</v>
      </c>
      <c r="BK17" s="100" t="e">
        <f ca="1">FLUID!BO60</f>
        <v>#N/A</v>
      </c>
      <c r="BL17" s="100" t="e">
        <f ca="1">FLUID!BP60</f>
        <v>#N/A</v>
      </c>
      <c r="BM17" s="100" t="e">
        <f ca="1">FLUID!BQ60</f>
        <v>#N/A</v>
      </c>
      <c r="BN17" s="100" t="e">
        <f ca="1">FLUID!BR60</f>
        <v>#N/A</v>
      </c>
      <c r="BO17" s="100">
        <f>FLUID!BS60</f>
        <v>0</v>
      </c>
      <c r="BP17" s="100">
        <f>FLUID!BT60</f>
        <v>0</v>
      </c>
      <c r="BQ17" s="100">
        <f>FLUID!BU60</f>
        <v>0</v>
      </c>
      <c r="BR17" s="100">
        <f>FLUID!BV60</f>
        <v>0</v>
      </c>
      <c r="BS17" s="100">
        <f>FLUID!BW60</f>
        <v>0</v>
      </c>
      <c r="BT17" s="100">
        <f>FLUID!BX60</f>
        <v>0</v>
      </c>
    </row>
    <row r="18" spans="1:72" ht="21.75" hidden="1" outlineLevel="1" thickBot="1" x14ac:dyDescent="0.4">
      <c r="A18" s="87">
        <f>FLUID!E61</f>
        <v>0</v>
      </c>
      <c r="B18" s="100" t="e">
        <f ca="1">FLUID!F61</f>
        <v>#N/A</v>
      </c>
      <c r="C18" s="100" t="e">
        <f ca="1">FLUID!G61</f>
        <v>#N/A</v>
      </c>
      <c r="D18" s="100" t="e">
        <f ca="1">FLUID!H61</f>
        <v>#N/A</v>
      </c>
      <c r="E18" s="100" t="e">
        <f ca="1">FLUID!I61</f>
        <v>#N/A</v>
      </c>
      <c r="F18" s="100" t="e">
        <f ca="1">FLUID!J61</f>
        <v>#N/A</v>
      </c>
      <c r="G18" s="100" t="e">
        <f ca="1">FLUID!K61</f>
        <v>#N/A</v>
      </c>
      <c r="H18" s="100" t="e">
        <f ca="1">FLUID!L61</f>
        <v>#N/A</v>
      </c>
      <c r="I18" s="100" t="e">
        <f ca="1">FLUID!M61</f>
        <v>#N/A</v>
      </c>
      <c r="J18" s="100" t="e">
        <f ca="1">FLUID!N61</f>
        <v>#N/A</v>
      </c>
      <c r="K18" s="100" t="e">
        <f ca="1">FLUID!O61</f>
        <v>#N/A</v>
      </c>
      <c r="L18" s="100" t="e">
        <f ca="1">FLUID!P61</f>
        <v>#N/A</v>
      </c>
      <c r="M18" s="100" t="e">
        <f ca="1">FLUID!Q61</f>
        <v>#N/A</v>
      </c>
      <c r="N18" s="100" t="e">
        <f ca="1">FLUID!R61</f>
        <v>#N/A</v>
      </c>
      <c r="O18" s="100" t="e">
        <f ca="1">FLUID!S61</f>
        <v>#N/A</v>
      </c>
      <c r="P18" s="100" t="e">
        <f ca="1">FLUID!T61</f>
        <v>#N/A</v>
      </c>
      <c r="Q18" s="100" t="e">
        <f ca="1">FLUID!U61</f>
        <v>#N/A</v>
      </c>
      <c r="R18" s="100" t="e">
        <f ca="1">FLUID!V61</f>
        <v>#N/A</v>
      </c>
      <c r="S18" s="100" t="e">
        <f ca="1">FLUID!W61</f>
        <v>#N/A</v>
      </c>
      <c r="T18" s="100" t="e">
        <f ca="1">FLUID!X61</f>
        <v>#N/A</v>
      </c>
      <c r="U18" s="100" t="e">
        <f ca="1">FLUID!Y61</f>
        <v>#N/A</v>
      </c>
      <c r="V18" s="100" t="e">
        <f ca="1">FLUID!Z61</f>
        <v>#N/A</v>
      </c>
      <c r="W18" s="100" t="e">
        <f ca="1">FLUID!AA61</f>
        <v>#N/A</v>
      </c>
      <c r="X18" s="100" t="e">
        <f ca="1">FLUID!AB61</f>
        <v>#N/A</v>
      </c>
      <c r="Y18" s="100" t="e">
        <f ca="1">FLUID!AC61</f>
        <v>#N/A</v>
      </c>
      <c r="Z18" s="100" t="e">
        <f ca="1">FLUID!AD61</f>
        <v>#N/A</v>
      </c>
      <c r="AA18" s="100" t="e">
        <f ca="1">FLUID!AE61</f>
        <v>#N/A</v>
      </c>
      <c r="AB18" s="100" t="e">
        <f ca="1">FLUID!AF61</f>
        <v>#N/A</v>
      </c>
      <c r="AC18" s="100" t="e">
        <f ca="1">FLUID!AG61</f>
        <v>#N/A</v>
      </c>
      <c r="AD18" s="100" t="e">
        <f ca="1">FLUID!AH61</f>
        <v>#N/A</v>
      </c>
      <c r="AE18" s="100" t="e">
        <f ca="1">FLUID!AI61</f>
        <v>#N/A</v>
      </c>
      <c r="AF18" s="100" t="e">
        <f ca="1">FLUID!AJ61</f>
        <v>#N/A</v>
      </c>
      <c r="AG18" s="100" t="e">
        <f ca="1">FLUID!AK61</f>
        <v>#N/A</v>
      </c>
      <c r="AH18" s="100" t="e">
        <f ca="1">FLUID!AL61</f>
        <v>#N/A</v>
      </c>
      <c r="AI18" s="100" t="e">
        <f ca="1">FLUID!AM61</f>
        <v>#N/A</v>
      </c>
      <c r="AJ18" s="100" t="e">
        <f ca="1">FLUID!AN61</f>
        <v>#N/A</v>
      </c>
      <c r="AK18" s="100" t="e">
        <f ca="1">FLUID!AO61</f>
        <v>#N/A</v>
      </c>
      <c r="AL18" s="100" t="e">
        <f ca="1">FLUID!AP61</f>
        <v>#N/A</v>
      </c>
      <c r="AM18" s="100" t="e">
        <f ca="1">FLUID!AQ61</f>
        <v>#N/A</v>
      </c>
      <c r="AN18" s="100" t="e">
        <f ca="1">FLUID!AR61</f>
        <v>#N/A</v>
      </c>
      <c r="AO18" s="100" t="e">
        <f ca="1">FLUID!AS61</f>
        <v>#N/A</v>
      </c>
      <c r="AP18" s="100" t="e">
        <f ca="1">FLUID!AT61</f>
        <v>#N/A</v>
      </c>
      <c r="AQ18" s="100" t="e">
        <f ca="1">FLUID!AU61</f>
        <v>#N/A</v>
      </c>
      <c r="AR18" s="100" t="e">
        <f ca="1">FLUID!AV61</f>
        <v>#N/A</v>
      </c>
      <c r="AS18" s="100" t="e">
        <f ca="1">FLUID!AW61</f>
        <v>#N/A</v>
      </c>
      <c r="AT18" s="100" t="e">
        <f ca="1">FLUID!AX61</f>
        <v>#N/A</v>
      </c>
      <c r="AU18" s="100" t="e">
        <f ca="1">FLUID!AY61</f>
        <v>#N/A</v>
      </c>
      <c r="AV18" s="100" t="e">
        <f ca="1">FLUID!AZ61</f>
        <v>#N/A</v>
      </c>
      <c r="AW18" s="100" t="e">
        <f ca="1">FLUID!BA61</f>
        <v>#N/A</v>
      </c>
      <c r="AX18" s="100" t="e">
        <f ca="1">FLUID!BB61</f>
        <v>#N/A</v>
      </c>
      <c r="AY18" s="100" t="e">
        <f ca="1">FLUID!BC61</f>
        <v>#N/A</v>
      </c>
      <c r="AZ18" s="100" t="e">
        <f ca="1">FLUID!BD61</f>
        <v>#N/A</v>
      </c>
      <c r="BA18" s="100" t="e">
        <f ca="1">FLUID!BE61</f>
        <v>#N/A</v>
      </c>
      <c r="BB18" s="100" t="e">
        <f ca="1">FLUID!BF61</f>
        <v>#N/A</v>
      </c>
      <c r="BC18" s="100" t="e">
        <f ca="1">FLUID!BG61</f>
        <v>#N/A</v>
      </c>
      <c r="BD18" s="100" t="e">
        <f ca="1">FLUID!BH61</f>
        <v>#N/A</v>
      </c>
      <c r="BE18" s="100" t="e">
        <f ca="1">FLUID!BI61</f>
        <v>#N/A</v>
      </c>
      <c r="BF18" s="100" t="e">
        <f ca="1">FLUID!BJ61</f>
        <v>#N/A</v>
      </c>
      <c r="BG18" s="100" t="e">
        <f ca="1">FLUID!BK61</f>
        <v>#N/A</v>
      </c>
      <c r="BH18" s="100" t="e">
        <f ca="1">FLUID!BL61</f>
        <v>#N/A</v>
      </c>
      <c r="BI18" s="100" t="e">
        <f ca="1">FLUID!BM61</f>
        <v>#N/A</v>
      </c>
      <c r="BJ18" s="100" t="e">
        <f ca="1">FLUID!BN61</f>
        <v>#N/A</v>
      </c>
      <c r="BK18" s="100" t="e">
        <f ca="1">FLUID!BO61</f>
        <v>#N/A</v>
      </c>
      <c r="BL18" s="100" t="e">
        <f ca="1">FLUID!BP61</f>
        <v>#N/A</v>
      </c>
      <c r="BM18" s="100" t="e">
        <f ca="1">FLUID!BQ61</f>
        <v>#N/A</v>
      </c>
      <c r="BN18" s="100" t="e">
        <f ca="1">FLUID!BR61</f>
        <v>#N/A</v>
      </c>
      <c r="BO18" s="100">
        <f>FLUID!BS61</f>
        <v>0</v>
      </c>
      <c r="BP18" s="100">
        <f>FLUID!BT61</f>
        <v>0</v>
      </c>
      <c r="BQ18" s="100">
        <f>FLUID!BU61</f>
        <v>0</v>
      </c>
      <c r="BR18" s="100">
        <f>FLUID!BV61</f>
        <v>0</v>
      </c>
      <c r="BS18" s="100">
        <f>FLUID!BW61</f>
        <v>0</v>
      </c>
      <c r="BT18" s="100">
        <f>FLUID!BX61</f>
        <v>0</v>
      </c>
    </row>
    <row r="19" spans="1:72" ht="22.5" hidden="1" customHeight="1" outlineLevel="1" thickBot="1" x14ac:dyDescent="0.4">
      <c r="A19" s="87">
        <f>FLUID!E62</f>
        <v>0</v>
      </c>
      <c r="B19" s="100" t="e">
        <f ca="1">FLUID!F62</f>
        <v>#N/A</v>
      </c>
      <c r="C19" s="100" t="e">
        <f ca="1">FLUID!G62</f>
        <v>#N/A</v>
      </c>
      <c r="D19" s="100" t="e">
        <f ca="1">FLUID!H62</f>
        <v>#N/A</v>
      </c>
      <c r="E19" s="100" t="e">
        <f ca="1">FLUID!I62</f>
        <v>#N/A</v>
      </c>
      <c r="F19" s="100" t="e">
        <f ca="1">FLUID!J62</f>
        <v>#N/A</v>
      </c>
      <c r="G19" s="100" t="e">
        <f ca="1">FLUID!K62</f>
        <v>#N/A</v>
      </c>
      <c r="H19" s="100" t="e">
        <f ca="1">FLUID!L62</f>
        <v>#N/A</v>
      </c>
      <c r="I19" s="100" t="e">
        <f ca="1">FLUID!M62</f>
        <v>#N/A</v>
      </c>
      <c r="J19" s="100" t="e">
        <f ca="1">FLUID!N62</f>
        <v>#N/A</v>
      </c>
      <c r="K19" s="100" t="e">
        <f ca="1">FLUID!O62</f>
        <v>#N/A</v>
      </c>
      <c r="L19" s="100" t="e">
        <f ca="1">FLUID!P62</f>
        <v>#N/A</v>
      </c>
      <c r="M19" s="100" t="e">
        <f ca="1">FLUID!Q62</f>
        <v>#N/A</v>
      </c>
      <c r="N19" s="100" t="e">
        <f ca="1">FLUID!R62</f>
        <v>#N/A</v>
      </c>
      <c r="O19" s="100" t="e">
        <f ca="1">FLUID!S62</f>
        <v>#N/A</v>
      </c>
      <c r="P19" s="100" t="e">
        <f ca="1">FLUID!T62</f>
        <v>#N/A</v>
      </c>
      <c r="Q19" s="100" t="e">
        <f ca="1">FLUID!U62</f>
        <v>#N/A</v>
      </c>
      <c r="R19" s="100" t="e">
        <f ca="1">FLUID!V62</f>
        <v>#N/A</v>
      </c>
      <c r="S19" s="100" t="e">
        <f ca="1">FLUID!W62</f>
        <v>#N/A</v>
      </c>
      <c r="T19" s="100" t="e">
        <f ca="1">FLUID!X62</f>
        <v>#N/A</v>
      </c>
      <c r="U19" s="100" t="e">
        <f ca="1">FLUID!Y62</f>
        <v>#N/A</v>
      </c>
      <c r="V19" s="100" t="e">
        <f ca="1">FLUID!Z62</f>
        <v>#N/A</v>
      </c>
      <c r="W19" s="100" t="e">
        <f ca="1">FLUID!AA62</f>
        <v>#N/A</v>
      </c>
      <c r="X19" s="100" t="e">
        <f ca="1">FLUID!AB62</f>
        <v>#N/A</v>
      </c>
      <c r="Y19" s="100" t="e">
        <f ca="1">FLUID!AC62</f>
        <v>#N/A</v>
      </c>
      <c r="Z19" s="100" t="e">
        <f ca="1">FLUID!AD62</f>
        <v>#N/A</v>
      </c>
      <c r="AA19" s="100" t="e">
        <f ca="1">FLUID!AE62</f>
        <v>#N/A</v>
      </c>
      <c r="AB19" s="100" t="e">
        <f ca="1">FLUID!AF62</f>
        <v>#N/A</v>
      </c>
      <c r="AC19" s="100" t="e">
        <f ca="1">FLUID!AG62</f>
        <v>#N/A</v>
      </c>
      <c r="AD19" s="100" t="e">
        <f ca="1">FLUID!AH62</f>
        <v>#N/A</v>
      </c>
      <c r="AE19" s="100" t="e">
        <f ca="1">FLUID!AI62</f>
        <v>#N/A</v>
      </c>
      <c r="AF19" s="100" t="e">
        <f ca="1">FLUID!AJ62</f>
        <v>#N/A</v>
      </c>
      <c r="AG19" s="100" t="e">
        <f ca="1">FLUID!AK62</f>
        <v>#N/A</v>
      </c>
      <c r="AH19" s="100" t="e">
        <f ca="1">FLUID!AL62</f>
        <v>#N/A</v>
      </c>
      <c r="AI19" s="100" t="e">
        <f ca="1">FLUID!AM62</f>
        <v>#N/A</v>
      </c>
      <c r="AJ19" s="100" t="e">
        <f ca="1">FLUID!AN62</f>
        <v>#N/A</v>
      </c>
      <c r="AK19" s="100" t="e">
        <f ca="1">FLUID!AO62</f>
        <v>#N/A</v>
      </c>
      <c r="AL19" s="100" t="e">
        <f ca="1">FLUID!AP62</f>
        <v>#N/A</v>
      </c>
      <c r="AM19" s="100" t="e">
        <f ca="1">FLUID!AQ62</f>
        <v>#N/A</v>
      </c>
      <c r="AN19" s="100" t="e">
        <f ca="1">FLUID!AR62</f>
        <v>#N/A</v>
      </c>
      <c r="AO19" s="100" t="e">
        <f ca="1">FLUID!AS62</f>
        <v>#N/A</v>
      </c>
      <c r="AP19" s="100" t="e">
        <f ca="1">FLUID!AT62</f>
        <v>#N/A</v>
      </c>
      <c r="AQ19" s="100" t="e">
        <f ca="1">FLUID!AU62</f>
        <v>#N/A</v>
      </c>
      <c r="AR19" s="100" t="e">
        <f ca="1">FLUID!AV62</f>
        <v>#N/A</v>
      </c>
      <c r="AS19" s="100" t="e">
        <f ca="1">FLUID!AW62</f>
        <v>#N/A</v>
      </c>
      <c r="AT19" s="100" t="e">
        <f ca="1">FLUID!AX62</f>
        <v>#N/A</v>
      </c>
      <c r="AU19" s="100" t="e">
        <f ca="1">FLUID!AY62</f>
        <v>#N/A</v>
      </c>
      <c r="AV19" s="100" t="e">
        <f ca="1">FLUID!AZ62</f>
        <v>#N/A</v>
      </c>
      <c r="AW19" s="100" t="e">
        <f ca="1">FLUID!BA62</f>
        <v>#N/A</v>
      </c>
      <c r="AX19" s="100" t="e">
        <f ca="1">FLUID!BB62</f>
        <v>#N/A</v>
      </c>
      <c r="AY19" s="100" t="e">
        <f ca="1">FLUID!BC62</f>
        <v>#N/A</v>
      </c>
      <c r="AZ19" s="100" t="e">
        <f ca="1">FLUID!BD62</f>
        <v>#N/A</v>
      </c>
      <c r="BA19" s="100" t="e">
        <f ca="1">FLUID!BE62</f>
        <v>#N/A</v>
      </c>
      <c r="BB19" s="100" t="e">
        <f ca="1">FLUID!BF62</f>
        <v>#N/A</v>
      </c>
      <c r="BC19" s="100" t="e">
        <f ca="1">FLUID!BG62</f>
        <v>#N/A</v>
      </c>
      <c r="BD19" s="100" t="e">
        <f ca="1">FLUID!BH62</f>
        <v>#N/A</v>
      </c>
      <c r="BE19" s="100" t="e">
        <f ca="1">FLUID!BI62</f>
        <v>#N/A</v>
      </c>
      <c r="BF19" s="100" t="e">
        <f ca="1">FLUID!BJ62</f>
        <v>#N/A</v>
      </c>
      <c r="BG19" s="100" t="e">
        <f ca="1">FLUID!BK62</f>
        <v>#N/A</v>
      </c>
      <c r="BH19" s="100" t="e">
        <f ca="1">FLUID!BL62</f>
        <v>#N/A</v>
      </c>
      <c r="BI19" s="100" t="e">
        <f ca="1">FLUID!BM62</f>
        <v>#N/A</v>
      </c>
      <c r="BJ19" s="100" t="e">
        <f ca="1">FLUID!BN62</f>
        <v>#N/A</v>
      </c>
      <c r="BK19" s="100" t="e">
        <f ca="1">FLUID!BO62</f>
        <v>#N/A</v>
      </c>
      <c r="BL19" s="100" t="e">
        <f ca="1">FLUID!BP62</f>
        <v>#N/A</v>
      </c>
      <c r="BM19" s="100" t="e">
        <f ca="1">FLUID!BQ62</f>
        <v>#N/A</v>
      </c>
      <c r="BN19" s="100" t="e">
        <f ca="1">FLUID!BR62</f>
        <v>#N/A</v>
      </c>
      <c r="BO19" s="100">
        <f>FLUID!BS62</f>
        <v>0</v>
      </c>
      <c r="BP19" s="100">
        <f>FLUID!BT62</f>
        <v>0</v>
      </c>
      <c r="BQ19" s="100">
        <f>FLUID!BU62</f>
        <v>0</v>
      </c>
      <c r="BR19" s="100">
        <f>FLUID!BV62</f>
        <v>0</v>
      </c>
      <c r="BS19" s="100">
        <f>FLUID!BW62</f>
        <v>0</v>
      </c>
      <c r="BT19" s="100">
        <f>FLUID!BX62</f>
        <v>0</v>
      </c>
    </row>
    <row r="20" spans="1:72" ht="22.5" hidden="1" customHeight="1" outlineLevel="1" thickBot="1" x14ac:dyDescent="0.4">
      <c r="A20" s="87">
        <f>FLUID!E63</f>
        <v>0</v>
      </c>
      <c r="B20" s="100" t="e">
        <f ca="1">FLUID!F63</f>
        <v>#N/A</v>
      </c>
      <c r="C20" s="100" t="e">
        <f ca="1">FLUID!G63</f>
        <v>#N/A</v>
      </c>
      <c r="D20" s="100" t="e">
        <f ca="1">FLUID!H63</f>
        <v>#N/A</v>
      </c>
      <c r="E20" s="100" t="e">
        <f ca="1">FLUID!I63</f>
        <v>#N/A</v>
      </c>
      <c r="F20" s="100" t="e">
        <f ca="1">FLUID!J63</f>
        <v>#N/A</v>
      </c>
      <c r="G20" s="100" t="e">
        <f ca="1">FLUID!K63</f>
        <v>#N/A</v>
      </c>
      <c r="H20" s="100" t="e">
        <f ca="1">FLUID!L63</f>
        <v>#N/A</v>
      </c>
      <c r="I20" s="100" t="e">
        <f ca="1">FLUID!M63</f>
        <v>#N/A</v>
      </c>
      <c r="J20" s="100" t="e">
        <f ca="1">FLUID!N63</f>
        <v>#N/A</v>
      </c>
      <c r="K20" s="100" t="e">
        <f ca="1">FLUID!O63</f>
        <v>#N/A</v>
      </c>
      <c r="L20" s="100" t="e">
        <f ca="1">FLUID!P63</f>
        <v>#N/A</v>
      </c>
      <c r="M20" s="100" t="e">
        <f ca="1">FLUID!Q63</f>
        <v>#N/A</v>
      </c>
      <c r="N20" s="100" t="e">
        <f ca="1">FLUID!R63</f>
        <v>#N/A</v>
      </c>
      <c r="O20" s="100" t="e">
        <f ca="1">FLUID!S63</f>
        <v>#N/A</v>
      </c>
      <c r="P20" s="100" t="e">
        <f ca="1">FLUID!T63</f>
        <v>#N/A</v>
      </c>
      <c r="Q20" s="100" t="e">
        <f ca="1">FLUID!U63</f>
        <v>#N/A</v>
      </c>
      <c r="R20" s="100" t="e">
        <f ca="1">FLUID!V63</f>
        <v>#N/A</v>
      </c>
      <c r="S20" s="100" t="e">
        <f ca="1">FLUID!W63</f>
        <v>#N/A</v>
      </c>
      <c r="T20" s="100" t="e">
        <f ca="1">FLUID!X63</f>
        <v>#N/A</v>
      </c>
      <c r="U20" s="100" t="e">
        <f ca="1">FLUID!Y63</f>
        <v>#N/A</v>
      </c>
      <c r="V20" s="100" t="e">
        <f ca="1">FLUID!Z63</f>
        <v>#N/A</v>
      </c>
      <c r="W20" s="100" t="e">
        <f ca="1">FLUID!AA63</f>
        <v>#N/A</v>
      </c>
      <c r="X20" s="100" t="e">
        <f ca="1">FLUID!AB63</f>
        <v>#N/A</v>
      </c>
      <c r="Y20" s="100" t="e">
        <f ca="1">FLUID!AC63</f>
        <v>#N/A</v>
      </c>
      <c r="Z20" s="100" t="e">
        <f ca="1">FLUID!AD63</f>
        <v>#N/A</v>
      </c>
      <c r="AA20" s="100" t="e">
        <f ca="1">FLUID!AE63</f>
        <v>#N/A</v>
      </c>
      <c r="AB20" s="100" t="e">
        <f ca="1">FLUID!AF63</f>
        <v>#N/A</v>
      </c>
      <c r="AC20" s="100" t="e">
        <f ca="1">FLUID!AG63</f>
        <v>#N/A</v>
      </c>
      <c r="AD20" s="100" t="e">
        <f ca="1">FLUID!AH63</f>
        <v>#N/A</v>
      </c>
      <c r="AE20" s="100" t="e">
        <f ca="1">FLUID!AI63</f>
        <v>#N/A</v>
      </c>
      <c r="AF20" s="100" t="e">
        <f ca="1">FLUID!AJ63</f>
        <v>#N/A</v>
      </c>
      <c r="AG20" s="100" t="e">
        <f ca="1">FLUID!AK63</f>
        <v>#N/A</v>
      </c>
      <c r="AH20" s="100" t="e">
        <f ca="1">FLUID!AL63</f>
        <v>#N/A</v>
      </c>
      <c r="AI20" s="100" t="e">
        <f ca="1">FLUID!AM63</f>
        <v>#N/A</v>
      </c>
      <c r="AJ20" s="100" t="e">
        <f ca="1">FLUID!AN63</f>
        <v>#N/A</v>
      </c>
      <c r="AK20" s="100" t="e">
        <f ca="1">FLUID!AO63</f>
        <v>#N/A</v>
      </c>
      <c r="AL20" s="100" t="e">
        <f ca="1">FLUID!AP63</f>
        <v>#N/A</v>
      </c>
      <c r="AM20" s="100" t="e">
        <f ca="1">FLUID!AQ63</f>
        <v>#N/A</v>
      </c>
      <c r="AN20" s="100" t="e">
        <f ca="1">FLUID!AR63</f>
        <v>#N/A</v>
      </c>
      <c r="AO20" s="100" t="e">
        <f ca="1">FLUID!AS63</f>
        <v>#N/A</v>
      </c>
      <c r="AP20" s="100" t="e">
        <f ca="1">FLUID!AT63</f>
        <v>#N/A</v>
      </c>
      <c r="AQ20" s="100" t="e">
        <f ca="1">FLUID!AU63</f>
        <v>#N/A</v>
      </c>
      <c r="AR20" s="100" t="e">
        <f ca="1">FLUID!AV63</f>
        <v>#N/A</v>
      </c>
      <c r="AS20" s="100" t="e">
        <f ca="1">FLUID!AW63</f>
        <v>#N/A</v>
      </c>
      <c r="AT20" s="100" t="e">
        <f ca="1">FLUID!AX63</f>
        <v>#N/A</v>
      </c>
      <c r="AU20" s="100" t="e">
        <f ca="1">FLUID!AY63</f>
        <v>#N/A</v>
      </c>
      <c r="AV20" s="100" t="e">
        <f ca="1">FLUID!AZ63</f>
        <v>#N/A</v>
      </c>
      <c r="AW20" s="100" t="e">
        <f ca="1">FLUID!BA63</f>
        <v>#N/A</v>
      </c>
      <c r="AX20" s="100" t="e">
        <f ca="1">FLUID!BB63</f>
        <v>#N/A</v>
      </c>
      <c r="AY20" s="100" t="e">
        <f ca="1">FLUID!BC63</f>
        <v>#N/A</v>
      </c>
      <c r="AZ20" s="100" t="e">
        <f ca="1">FLUID!BD63</f>
        <v>#N/A</v>
      </c>
      <c r="BA20" s="100" t="e">
        <f ca="1">FLUID!BE63</f>
        <v>#N/A</v>
      </c>
      <c r="BB20" s="100" t="e">
        <f ca="1">FLUID!BF63</f>
        <v>#N/A</v>
      </c>
      <c r="BC20" s="100" t="e">
        <f ca="1">FLUID!BG63</f>
        <v>#N/A</v>
      </c>
      <c r="BD20" s="100" t="e">
        <f ca="1">FLUID!BH63</f>
        <v>#N/A</v>
      </c>
      <c r="BE20" s="100" t="e">
        <f ca="1">FLUID!BI63</f>
        <v>#N/A</v>
      </c>
      <c r="BF20" s="100" t="e">
        <f ca="1">FLUID!BJ63</f>
        <v>#N/A</v>
      </c>
      <c r="BG20" s="100" t="e">
        <f ca="1">FLUID!BK63</f>
        <v>#N/A</v>
      </c>
      <c r="BH20" s="100" t="e">
        <f ca="1">FLUID!BL63</f>
        <v>#N/A</v>
      </c>
      <c r="BI20" s="100" t="e">
        <f ca="1">FLUID!BM63</f>
        <v>#N/A</v>
      </c>
      <c r="BJ20" s="100" t="e">
        <f ca="1">FLUID!BN63</f>
        <v>#N/A</v>
      </c>
      <c r="BK20" s="100" t="e">
        <f ca="1">FLUID!BO63</f>
        <v>#N/A</v>
      </c>
      <c r="BL20" s="100" t="e">
        <f ca="1">FLUID!BP63</f>
        <v>#N/A</v>
      </c>
      <c r="BM20" s="100" t="e">
        <f ca="1">FLUID!BQ63</f>
        <v>#N/A</v>
      </c>
      <c r="BN20" s="100" t="e">
        <f ca="1">FLUID!BR63</f>
        <v>#N/A</v>
      </c>
      <c r="BO20" s="100">
        <f>FLUID!BS63</f>
        <v>0</v>
      </c>
      <c r="BP20" s="100">
        <f>FLUID!BT63</f>
        <v>0</v>
      </c>
      <c r="BQ20" s="100">
        <f>FLUID!BU63</f>
        <v>0</v>
      </c>
      <c r="BR20" s="100">
        <f>FLUID!BV63</f>
        <v>0</v>
      </c>
      <c r="BS20" s="100">
        <f>FLUID!BW63</f>
        <v>0</v>
      </c>
      <c r="BT20" s="100">
        <f>FLUID!BX63</f>
        <v>0</v>
      </c>
    </row>
    <row r="21" spans="1:72" ht="22.5" hidden="1" customHeight="1" outlineLevel="1" thickBot="1" x14ac:dyDescent="0.4">
      <c r="A21" s="87">
        <f>FLUID!E64</f>
        <v>0</v>
      </c>
      <c r="B21" s="100" t="e">
        <f ca="1">FLUID!F64</f>
        <v>#N/A</v>
      </c>
      <c r="C21" s="100" t="e">
        <f ca="1">FLUID!G64</f>
        <v>#N/A</v>
      </c>
      <c r="D21" s="100" t="e">
        <f ca="1">FLUID!H64</f>
        <v>#N/A</v>
      </c>
      <c r="E21" s="100" t="e">
        <f ca="1">FLUID!I64</f>
        <v>#N/A</v>
      </c>
      <c r="F21" s="100" t="e">
        <f ca="1">FLUID!J64</f>
        <v>#N/A</v>
      </c>
      <c r="G21" s="100" t="e">
        <f ca="1">FLUID!K64</f>
        <v>#N/A</v>
      </c>
      <c r="H21" s="100" t="e">
        <f ca="1">FLUID!L64</f>
        <v>#N/A</v>
      </c>
      <c r="I21" s="100" t="e">
        <f ca="1">FLUID!M64</f>
        <v>#N/A</v>
      </c>
      <c r="J21" s="100" t="e">
        <f ca="1">FLUID!N64</f>
        <v>#N/A</v>
      </c>
      <c r="K21" s="100" t="e">
        <f ca="1">FLUID!O64</f>
        <v>#N/A</v>
      </c>
      <c r="L21" s="100" t="e">
        <f ca="1">FLUID!P64</f>
        <v>#N/A</v>
      </c>
      <c r="M21" s="100" t="e">
        <f ca="1">FLUID!Q64</f>
        <v>#N/A</v>
      </c>
      <c r="N21" s="100" t="e">
        <f ca="1">FLUID!R64</f>
        <v>#N/A</v>
      </c>
      <c r="O21" s="100" t="e">
        <f ca="1">FLUID!S64</f>
        <v>#N/A</v>
      </c>
      <c r="P21" s="100" t="e">
        <f ca="1">FLUID!T64</f>
        <v>#N/A</v>
      </c>
      <c r="Q21" s="100" t="e">
        <f ca="1">FLUID!U64</f>
        <v>#N/A</v>
      </c>
      <c r="R21" s="100" t="e">
        <f ca="1">FLUID!V64</f>
        <v>#N/A</v>
      </c>
      <c r="S21" s="100" t="e">
        <f ca="1">FLUID!W64</f>
        <v>#N/A</v>
      </c>
      <c r="T21" s="100" t="e">
        <f ca="1">FLUID!X64</f>
        <v>#N/A</v>
      </c>
      <c r="U21" s="100" t="e">
        <f ca="1">FLUID!Y64</f>
        <v>#N/A</v>
      </c>
      <c r="V21" s="100" t="e">
        <f ca="1">FLUID!Z64</f>
        <v>#N/A</v>
      </c>
      <c r="W21" s="100" t="e">
        <f ca="1">FLUID!AA64</f>
        <v>#N/A</v>
      </c>
      <c r="X21" s="100" t="e">
        <f ca="1">FLUID!AB64</f>
        <v>#N/A</v>
      </c>
      <c r="Y21" s="100" t="e">
        <f ca="1">FLUID!AC64</f>
        <v>#N/A</v>
      </c>
      <c r="Z21" s="100" t="e">
        <f ca="1">FLUID!AD64</f>
        <v>#N/A</v>
      </c>
      <c r="AA21" s="100" t="e">
        <f ca="1">FLUID!AE64</f>
        <v>#N/A</v>
      </c>
      <c r="AB21" s="100" t="e">
        <f ca="1">FLUID!AF64</f>
        <v>#N/A</v>
      </c>
      <c r="AC21" s="100" t="e">
        <f ca="1">FLUID!AG64</f>
        <v>#N/A</v>
      </c>
      <c r="AD21" s="100" t="e">
        <f ca="1">FLUID!AH64</f>
        <v>#N/A</v>
      </c>
      <c r="AE21" s="100" t="e">
        <f ca="1">FLUID!AI64</f>
        <v>#N/A</v>
      </c>
      <c r="AF21" s="100" t="e">
        <f ca="1">FLUID!AJ64</f>
        <v>#N/A</v>
      </c>
      <c r="AG21" s="100" t="e">
        <f ca="1">FLUID!AK64</f>
        <v>#N/A</v>
      </c>
      <c r="AH21" s="100" t="e">
        <f ca="1">FLUID!AL64</f>
        <v>#N/A</v>
      </c>
      <c r="AI21" s="100" t="e">
        <f ca="1">FLUID!AM64</f>
        <v>#N/A</v>
      </c>
      <c r="AJ21" s="100" t="e">
        <f ca="1">FLUID!AN64</f>
        <v>#N/A</v>
      </c>
      <c r="AK21" s="100" t="e">
        <f ca="1">FLUID!AO64</f>
        <v>#N/A</v>
      </c>
      <c r="AL21" s="100" t="e">
        <f ca="1">FLUID!AP64</f>
        <v>#N/A</v>
      </c>
      <c r="AM21" s="100" t="e">
        <f ca="1">FLUID!AQ64</f>
        <v>#N/A</v>
      </c>
      <c r="AN21" s="100" t="e">
        <f ca="1">FLUID!AR64</f>
        <v>#N/A</v>
      </c>
      <c r="AO21" s="100" t="e">
        <f ca="1">FLUID!AS64</f>
        <v>#N/A</v>
      </c>
      <c r="AP21" s="100" t="e">
        <f ca="1">FLUID!AT64</f>
        <v>#N/A</v>
      </c>
      <c r="AQ21" s="100" t="e">
        <f ca="1">FLUID!AU64</f>
        <v>#N/A</v>
      </c>
      <c r="AR21" s="100" t="e">
        <f ca="1">FLUID!AV64</f>
        <v>#N/A</v>
      </c>
      <c r="AS21" s="100" t="e">
        <f ca="1">FLUID!AW64</f>
        <v>#N/A</v>
      </c>
      <c r="AT21" s="100" t="e">
        <f ca="1">FLUID!AX64</f>
        <v>#N/A</v>
      </c>
      <c r="AU21" s="100" t="e">
        <f ca="1">FLUID!AY64</f>
        <v>#N/A</v>
      </c>
      <c r="AV21" s="100" t="e">
        <f ca="1">FLUID!AZ64</f>
        <v>#N/A</v>
      </c>
      <c r="AW21" s="100" t="e">
        <f ca="1">FLUID!BA64</f>
        <v>#N/A</v>
      </c>
      <c r="AX21" s="100" t="e">
        <f ca="1">FLUID!BB64</f>
        <v>#N/A</v>
      </c>
      <c r="AY21" s="100" t="e">
        <f ca="1">FLUID!BC64</f>
        <v>#N/A</v>
      </c>
      <c r="AZ21" s="100" t="e">
        <f ca="1">FLUID!BD64</f>
        <v>#N/A</v>
      </c>
      <c r="BA21" s="100" t="e">
        <f ca="1">FLUID!BE64</f>
        <v>#N/A</v>
      </c>
      <c r="BB21" s="100" t="e">
        <f ca="1">FLUID!BF64</f>
        <v>#N/A</v>
      </c>
      <c r="BC21" s="100" t="e">
        <f ca="1">FLUID!BG64</f>
        <v>#N/A</v>
      </c>
      <c r="BD21" s="100" t="e">
        <f ca="1">FLUID!BH64</f>
        <v>#N/A</v>
      </c>
      <c r="BE21" s="100" t="e">
        <f ca="1">FLUID!BI64</f>
        <v>#N/A</v>
      </c>
      <c r="BF21" s="100" t="e">
        <f ca="1">FLUID!BJ64</f>
        <v>#N/A</v>
      </c>
      <c r="BG21" s="100" t="e">
        <f ca="1">FLUID!BK64</f>
        <v>#N/A</v>
      </c>
      <c r="BH21" s="100" t="e">
        <f ca="1">FLUID!BL64</f>
        <v>#N/A</v>
      </c>
      <c r="BI21" s="100" t="e">
        <f ca="1">FLUID!BM64</f>
        <v>#N/A</v>
      </c>
      <c r="BJ21" s="100" t="e">
        <f ca="1">FLUID!BN64</f>
        <v>#N/A</v>
      </c>
      <c r="BK21" s="100" t="e">
        <f ca="1">FLUID!BO64</f>
        <v>#N/A</v>
      </c>
      <c r="BL21" s="100" t="e">
        <f ca="1">FLUID!BP64</f>
        <v>#N/A</v>
      </c>
      <c r="BM21" s="100" t="e">
        <f ca="1">FLUID!BQ64</f>
        <v>#N/A</v>
      </c>
      <c r="BN21" s="100" t="e">
        <f ca="1">FLUID!BR64</f>
        <v>#N/A</v>
      </c>
      <c r="BO21" s="100">
        <f>FLUID!BS64</f>
        <v>0</v>
      </c>
      <c r="BP21" s="100">
        <f>FLUID!BT64</f>
        <v>0</v>
      </c>
      <c r="BQ21" s="100">
        <f>FLUID!BU64</f>
        <v>0</v>
      </c>
      <c r="BR21" s="100">
        <f>FLUID!BV64</f>
        <v>0</v>
      </c>
      <c r="BS21" s="100">
        <f>FLUID!BW64</f>
        <v>0</v>
      </c>
      <c r="BT21" s="100">
        <f>FLUID!BX64</f>
        <v>0</v>
      </c>
    </row>
    <row r="22" spans="1:72" ht="22.5" hidden="1" customHeight="1" outlineLevel="1" thickBot="1" x14ac:dyDescent="0.4">
      <c r="A22" s="87">
        <f>FLUID!E65</f>
        <v>0</v>
      </c>
      <c r="B22" s="100" t="e">
        <f ca="1">FLUID!F65</f>
        <v>#N/A</v>
      </c>
      <c r="C22" s="100" t="e">
        <f ca="1">FLUID!G65</f>
        <v>#N/A</v>
      </c>
      <c r="D22" s="100" t="e">
        <f ca="1">FLUID!H65</f>
        <v>#N/A</v>
      </c>
      <c r="E22" s="100" t="e">
        <f ca="1">FLUID!I65</f>
        <v>#N/A</v>
      </c>
      <c r="F22" s="100" t="e">
        <f ca="1">FLUID!J65</f>
        <v>#N/A</v>
      </c>
      <c r="G22" s="100" t="e">
        <f ca="1">FLUID!K65</f>
        <v>#N/A</v>
      </c>
      <c r="H22" s="100" t="e">
        <f ca="1">FLUID!L65</f>
        <v>#N/A</v>
      </c>
      <c r="I22" s="100" t="e">
        <f ca="1">FLUID!M65</f>
        <v>#N/A</v>
      </c>
      <c r="J22" s="100" t="e">
        <f ca="1">FLUID!N65</f>
        <v>#N/A</v>
      </c>
      <c r="K22" s="100" t="e">
        <f ca="1">FLUID!O65</f>
        <v>#N/A</v>
      </c>
      <c r="L22" s="100" t="e">
        <f ca="1">FLUID!P65</f>
        <v>#N/A</v>
      </c>
      <c r="M22" s="100" t="e">
        <f ca="1">FLUID!Q65</f>
        <v>#N/A</v>
      </c>
      <c r="N22" s="100" t="e">
        <f ca="1">FLUID!R65</f>
        <v>#N/A</v>
      </c>
      <c r="O22" s="100" t="e">
        <f ca="1">FLUID!S65</f>
        <v>#N/A</v>
      </c>
      <c r="P22" s="100" t="e">
        <f ca="1">FLUID!T65</f>
        <v>#N/A</v>
      </c>
      <c r="Q22" s="100" t="e">
        <f ca="1">FLUID!U65</f>
        <v>#N/A</v>
      </c>
      <c r="R22" s="100" t="e">
        <f ca="1">FLUID!V65</f>
        <v>#N/A</v>
      </c>
      <c r="S22" s="100" t="e">
        <f ca="1">FLUID!W65</f>
        <v>#N/A</v>
      </c>
      <c r="T22" s="100" t="e">
        <f ca="1">FLUID!X65</f>
        <v>#N/A</v>
      </c>
      <c r="U22" s="100" t="e">
        <f ca="1">FLUID!Y65</f>
        <v>#N/A</v>
      </c>
      <c r="V22" s="100" t="e">
        <f ca="1">FLUID!Z65</f>
        <v>#N/A</v>
      </c>
      <c r="W22" s="100" t="e">
        <f ca="1">FLUID!AA65</f>
        <v>#N/A</v>
      </c>
      <c r="X22" s="100" t="e">
        <f ca="1">FLUID!AB65</f>
        <v>#N/A</v>
      </c>
      <c r="Y22" s="100" t="e">
        <f ca="1">FLUID!AC65</f>
        <v>#N/A</v>
      </c>
      <c r="Z22" s="100" t="e">
        <f ca="1">FLUID!AD65</f>
        <v>#N/A</v>
      </c>
      <c r="AA22" s="100" t="e">
        <f ca="1">FLUID!AE65</f>
        <v>#N/A</v>
      </c>
      <c r="AB22" s="100" t="e">
        <f ca="1">FLUID!AF65</f>
        <v>#N/A</v>
      </c>
      <c r="AC22" s="100" t="e">
        <f ca="1">FLUID!AG65</f>
        <v>#N/A</v>
      </c>
      <c r="AD22" s="100" t="e">
        <f ca="1">FLUID!AH65</f>
        <v>#N/A</v>
      </c>
      <c r="AE22" s="100" t="e">
        <f ca="1">FLUID!AI65</f>
        <v>#N/A</v>
      </c>
      <c r="AF22" s="100" t="e">
        <f ca="1">FLUID!AJ65</f>
        <v>#N/A</v>
      </c>
      <c r="AG22" s="100" t="e">
        <f ca="1">FLUID!AK65</f>
        <v>#N/A</v>
      </c>
      <c r="AH22" s="100" t="e">
        <f ca="1">FLUID!AL65</f>
        <v>#N/A</v>
      </c>
      <c r="AI22" s="100" t="e">
        <f ca="1">FLUID!AM65</f>
        <v>#N/A</v>
      </c>
      <c r="AJ22" s="100" t="e">
        <f ca="1">FLUID!AN65</f>
        <v>#N/A</v>
      </c>
      <c r="AK22" s="100" t="e">
        <f ca="1">FLUID!AO65</f>
        <v>#N/A</v>
      </c>
      <c r="AL22" s="100" t="e">
        <f ca="1">FLUID!AP65</f>
        <v>#N/A</v>
      </c>
      <c r="AM22" s="100" t="e">
        <f ca="1">FLUID!AQ65</f>
        <v>#N/A</v>
      </c>
      <c r="AN22" s="100" t="e">
        <f ca="1">FLUID!AR65</f>
        <v>#N/A</v>
      </c>
      <c r="AO22" s="100" t="e">
        <f ca="1">FLUID!AS65</f>
        <v>#N/A</v>
      </c>
      <c r="AP22" s="100" t="e">
        <f ca="1">FLUID!AT65</f>
        <v>#N/A</v>
      </c>
      <c r="AQ22" s="100" t="e">
        <f ca="1">FLUID!AU65</f>
        <v>#N/A</v>
      </c>
      <c r="AR22" s="100" t="e">
        <f ca="1">FLUID!AV65</f>
        <v>#N/A</v>
      </c>
      <c r="AS22" s="100" t="e">
        <f ca="1">FLUID!AW65</f>
        <v>#N/A</v>
      </c>
      <c r="AT22" s="100" t="e">
        <f ca="1">FLUID!AX65</f>
        <v>#N/A</v>
      </c>
      <c r="AU22" s="100" t="e">
        <f ca="1">FLUID!AY65</f>
        <v>#N/A</v>
      </c>
      <c r="AV22" s="100" t="e">
        <f ca="1">FLUID!AZ65</f>
        <v>#N/A</v>
      </c>
      <c r="AW22" s="100" t="e">
        <f ca="1">FLUID!BA65</f>
        <v>#N/A</v>
      </c>
      <c r="AX22" s="100" t="e">
        <f ca="1">FLUID!BB65</f>
        <v>#N/A</v>
      </c>
      <c r="AY22" s="100" t="e">
        <f ca="1">FLUID!BC65</f>
        <v>#N/A</v>
      </c>
      <c r="AZ22" s="100" t="e">
        <f ca="1">FLUID!BD65</f>
        <v>#N/A</v>
      </c>
      <c r="BA22" s="100" t="e">
        <f ca="1">FLUID!BE65</f>
        <v>#N/A</v>
      </c>
      <c r="BB22" s="100" t="e">
        <f ca="1">FLUID!BF65</f>
        <v>#N/A</v>
      </c>
      <c r="BC22" s="100" t="e">
        <f ca="1">FLUID!BG65</f>
        <v>#N/A</v>
      </c>
      <c r="BD22" s="100" t="e">
        <f ca="1">FLUID!BH65</f>
        <v>#N/A</v>
      </c>
      <c r="BE22" s="100" t="e">
        <f ca="1">FLUID!BI65</f>
        <v>#N/A</v>
      </c>
      <c r="BF22" s="100" t="e">
        <f ca="1">FLUID!BJ65</f>
        <v>#N/A</v>
      </c>
      <c r="BG22" s="100" t="e">
        <f ca="1">FLUID!BK65</f>
        <v>#N/A</v>
      </c>
      <c r="BH22" s="100" t="e">
        <f ca="1">FLUID!BL65</f>
        <v>#N/A</v>
      </c>
      <c r="BI22" s="100" t="e">
        <f ca="1">FLUID!BM65</f>
        <v>#N/A</v>
      </c>
      <c r="BJ22" s="100" t="e">
        <f ca="1">FLUID!BN65</f>
        <v>#N/A</v>
      </c>
      <c r="BK22" s="100" t="e">
        <f ca="1">FLUID!BO65</f>
        <v>#N/A</v>
      </c>
      <c r="BL22" s="100" t="e">
        <f ca="1">FLUID!BP65</f>
        <v>#N/A</v>
      </c>
      <c r="BM22" s="100" t="e">
        <f ca="1">FLUID!BQ65</f>
        <v>#N/A</v>
      </c>
      <c r="BN22" s="100" t="e">
        <f ca="1">FLUID!BR65</f>
        <v>#N/A</v>
      </c>
      <c r="BO22" s="100">
        <f>FLUID!BS65</f>
        <v>0</v>
      </c>
      <c r="BP22" s="100">
        <f>FLUID!BT65</f>
        <v>0</v>
      </c>
      <c r="BQ22" s="100">
        <f>FLUID!BU65</f>
        <v>0</v>
      </c>
      <c r="BR22" s="100">
        <f>FLUID!BV65</f>
        <v>0</v>
      </c>
      <c r="BS22" s="100">
        <f>FLUID!BW65</f>
        <v>0</v>
      </c>
      <c r="BT22" s="100">
        <f>FLUID!BX65</f>
        <v>0</v>
      </c>
    </row>
    <row r="23" spans="1:72" ht="22.5" hidden="1" customHeight="1" outlineLevel="1" thickBot="1" x14ac:dyDescent="0.4">
      <c r="A23" s="87">
        <f>FLUID!E66</f>
        <v>0</v>
      </c>
      <c r="B23" s="100" t="e">
        <f ca="1">FLUID!F66</f>
        <v>#N/A</v>
      </c>
      <c r="C23" s="100" t="e">
        <f ca="1">FLUID!G66</f>
        <v>#N/A</v>
      </c>
      <c r="D23" s="100" t="e">
        <f ca="1">FLUID!H66</f>
        <v>#N/A</v>
      </c>
      <c r="E23" s="100" t="e">
        <f ca="1">FLUID!I66</f>
        <v>#N/A</v>
      </c>
      <c r="F23" s="100" t="e">
        <f ca="1">FLUID!J66</f>
        <v>#N/A</v>
      </c>
      <c r="G23" s="100" t="e">
        <f ca="1">FLUID!K66</f>
        <v>#N/A</v>
      </c>
      <c r="H23" s="100" t="e">
        <f ca="1">FLUID!L66</f>
        <v>#N/A</v>
      </c>
      <c r="I23" s="100" t="e">
        <f ca="1">FLUID!M66</f>
        <v>#N/A</v>
      </c>
      <c r="J23" s="100" t="e">
        <f ca="1">FLUID!N66</f>
        <v>#N/A</v>
      </c>
      <c r="K23" s="100" t="e">
        <f ca="1">FLUID!O66</f>
        <v>#N/A</v>
      </c>
      <c r="L23" s="100" t="e">
        <f ca="1">FLUID!P66</f>
        <v>#N/A</v>
      </c>
      <c r="M23" s="100" t="e">
        <f ca="1">FLUID!Q66</f>
        <v>#N/A</v>
      </c>
      <c r="N23" s="100" t="e">
        <f ca="1">FLUID!R66</f>
        <v>#N/A</v>
      </c>
      <c r="O23" s="100" t="e">
        <f ca="1">FLUID!S66</f>
        <v>#N/A</v>
      </c>
      <c r="P23" s="100" t="e">
        <f ca="1">FLUID!T66</f>
        <v>#N/A</v>
      </c>
      <c r="Q23" s="100" t="e">
        <f ca="1">FLUID!U66</f>
        <v>#N/A</v>
      </c>
      <c r="R23" s="100" t="e">
        <f ca="1">FLUID!V66</f>
        <v>#N/A</v>
      </c>
      <c r="S23" s="100" t="e">
        <f ca="1">FLUID!W66</f>
        <v>#N/A</v>
      </c>
      <c r="T23" s="100" t="e">
        <f ca="1">FLUID!X66</f>
        <v>#N/A</v>
      </c>
      <c r="U23" s="100" t="e">
        <f ca="1">FLUID!Y66</f>
        <v>#N/A</v>
      </c>
      <c r="V23" s="100" t="e">
        <f ca="1">FLUID!Z66</f>
        <v>#N/A</v>
      </c>
      <c r="W23" s="100" t="e">
        <f ca="1">FLUID!AA66</f>
        <v>#N/A</v>
      </c>
      <c r="X23" s="100" t="e">
        <f ca="1">FLUID!AB66</f>
        <v>#N/A</v>
      </c>
      <c r="Y23" s="100" t="e">
        <f ca="1">FLUID!AC66</f>
        <v>#N/A</v>
      </c>
      <c r="Z23" s="100" t="e">
        <f ca="1">FLUID!AD66</f>
        <v>#N/A</v>
      </c>
      <c r="AA23" s="100" t="e">
        <f ca="1">FLUID!AE66</f>
        <v>#N/A</v>
      </c>
      <c r="AB23" s="100" t="e">
        <f ca="1">FLUID!AF66</f>
        <v>#N/A</v>
      </c>
      <c r="AC23" s="100" t="e">
        <f ca="1">FLUID!AG66</f>
        <v>#N/A</v>
      </c>
      <c r="AD23" s="100" t="e">
        <f ca="1">FLUID!AH66</f>
        <v>#N/A</v>
      </c>
      <c r="AE23" s="100" t="e">
        <f ca="1">FLUID!AI66</f>
        <v>#N/A</v>
      </c>
      <c r="AF23" s="100" t="e">
        <f ca="1">FLUID!AJ66</f>
        <v>#N/A</v>
      </c>
      <c r="AG23" s="100" t="e">
        <f ca="1">FLUID!AK66</f>
        <v>#N/A</v>
      </c>
      <c r="AH23" s="100" t="e">
        <f ca="1">FLUID!AL66</f>
        <v>#N/A</v>
      </c>
      <c r="AI23" s="100" t="e">
        <f ca="1">FLUID!AM66</f>
        <v>#N/A</v>
      </c>
      <c r="AJ23" s="100" t="e">
        <f ca="1">FLUID!AN66</f>
        <v>#N/A</v>
      </c>
      <c r="AK23" s="100" t="e">
        <f ca="1">FLUID!AO66</f>
        <v>#N/A</v>
      </c>
      <c r="AL23" s="100" t="e">
        <f ca="1">FLUID!AP66</f>
        <v>#N/A</v>
      </c>
      <c r="AM23" s="100" t="e">
        <f ca="1">FLUID!AQ66</f>
        <v>#N/A</v>
      </c>
      <c r="AN23" s="100" t="e">
        <f ca="1">FLUID!AR66</f>
        <v>#N/A</v>
      </c>
      <c r="AO23" s="100" t="e">
        <f ca="1">FLUID!AS66</f>
        <v>#N/A</v>
      </c>
      <c r="AP23" s="100" t="e">
        <f ca="1">FLUID!AT66</f>
        <v>#N/A</v>
      </c>
      <c r="AQ23" s="100" t="e">
        <f ca="1">FLUID!AU66</f>
        <v>#N/A</v>
      </c>
      <c r="AR23" s="100" t="e">
        <f ca="1">FLUID!AV66</f>
        <v>#N/A</v>
      </c>
      <c r="AS23" s="100" t="e">
        <f ca="1">FLUID!AW66</f>
        <v>#N/A</v>
      </c>
      <c r="AT23" s="100" t="e">
        <f ca="1">FLUID!AX66</f>
        <v>#N/A</v>
      </c>
      <c r="AU23" s="100" t="e">
        <f ca="1">FLUID!AY66</f>
        <v>#N/A</v>
      </c>
      <c r="AV23" s="100" t="e">
        <f ca="1">FLUID!AZ66</f>
        <v>#N/A</v>
      </c>
      <c r="AW23" s="100" t="e">
        <f ca="1">FLUID!BA66</f>
        <v>#N/A</v>
      </c>
      <c r="AX23" s="100" t="e">
        <f ca="1">FLUID!BB66</f>
        <v>#N/A</v>
      </c>
      <c r="AY23" s="100" t="e">
        <f ca="1">FLUID!BC66</f>
        <v>#N/A</v>
      </c>
      <c r="AZ23" s="100" t="e">
        <f ca="1">FLUID!BD66</f>
        <v>#N/A</v>
      </c>
      <c r="BA23" s="100" t="e">
        <f ca="1">FLUID!BE66</f>
        <v>#N/A</v>
      </c>
      <c r="BB23" s="100" t="e">
        <f ca="1">FLUID!BF66</f>
        <v>#N/A</v>
      </c>
      <c r="BC23" s="100" t="e">
        <f ca="1">FLUID!BG66</f>
        <v>#N/A</v>
      </c>
      <c r="BD23" s="100" t="e">
        <f ca="1">FLUID!BH66</f>
        <v>#N/A</v>
      </c>
      <c r="BE23" s="100" t="e">
        <f ca="1">FLUID!BI66</f>
        <v>#N/A</v>
      </c>
      <c r="BF23" s="100" t="e">
        <f ca="1">FLUID!BJ66</f>
        <v>#N/A</v>
      </c>
      <c r="BG23" s="100" t="e">
        <f ca="1">FLUID!BK66</f>
        <v>#N/A</v>
      </c>
      <c r="BH23" s="100" t="e">
        <f ca="1">FLUID!BL66</f>
        <v>#N/A</v>
      </c>
      <c r="BI23" s="100" t="e">
        <f ca="1">FLUID!BM66</f>
        <v>#N/A</v>
      </c>
      <c r="BJ23" s="100" t="e">
        <f ca="1">FLUID!BN66</f>
        <v>#N/A</v>
      </c>
      <c r="BK23" s="100" t="e">
        <f ca="1">FLUID!BO66</f>
        <v>#N/A</v>
      </c>
      <c r="BL23" s="100" t="e">
        <f ca="1">FLUID!BP66</f>
        <v>#N/A</v>
      </c>
      <c r="BM23" s="100" t="e">
        <f ca="1">FLUID!BQ66</f>
        <v>#N/A</v>
      </c>
      <c r="BN23" s="100" t="e">
        <f ca="1">FLUID!BR66</f>
        <v>#N/A</v>
      </c>
      <c r="BO23" s="100">
        <f>FLUID!BS66</f>
        <v>0</v>
      </c>
      <c r="BP23" s="100">
        <f>FLUID!BT66</f>
        <v>0</v>
      </c>
      <c r="BQ23" s="100">
        <f>FLUID!BU66</f>
        <v>0</v>
      </c>
      <c r="BR23" s="100">
        <f>FLUID!BV66</f>
        <v>0</v>
      </c>
      <c r="BS23" s="100">
        <f>FLUID!BW66</f>
        <v>0</v>
      </c>
      <c r="BT23" s="100">
        <f>FLUID!BX66</f>
        <v>0</v>
      </c>
    </row>
    <row r="24" spans="1:72" ht="22.5" hidden="1" customHeight="1" outlineLevel="1" thickBot="1" x14ac:dyDescent="0.4">
      <c r="A24" s="87">
        <f>FLUID!E67</f>
        <v>0</v>
      </c>
      <c r="B24" s="100" t="e">
        <f ca="1">FLUID!F67</f>
        <v>#N/A</v>
      </c>
      <c r="C24" s="100" t="e">
        <f ca="1">FLUID!G67</f>
        <v>#N/A</v>
      </c>
      <c r="D24" s="100" t="e">
        <f ca="1">FLUID!H67</f>
        <v>#N/A</v>
      </c>
      <c r="E24" s="100" t="e">
        <f ca="1">FLUID!I67</f>
        <v>#N/A</v>
      </c>
      <c r="F24" s="100" t="e">
        <f ca="1">FLUID!J67</f>
        <v>#N/A</v>
      </c>
      <c r="G24" s="100" t="e">
        <f ca="1">FLUID!K67</f>
        <v>#N/A</v>
      </c>
      <c r="H24" s="100" t="e">
        <f ca="1">FLUID!L67</f>
        <v>#N/A</v>
      </c>
      <c r="I24" s="100" t="e">
        <f ca="1">FLUID!M67</f>
        <v>#N/A</v>
      </c>
      <c r="J24" s="100" t="e">
        <f ca="1">FLUID!N67</f>
        <v>#N/A</v>
      </c>
      <c r="K24" s="100" t="e">
        <f ca="1">FLUID!O67</f>
        <v>#N/A</v>
      </c>
      <c r="L24" s="100" t="e">
        <f ca="1">FLUID!P67</f>
        <v>#N/A</v>
      </c>
      <c r="M24" s="100" t="e">
        <f ca="1">FLUID!Q67</f>
        <v>#N/A</v>
      </c>
      <c r="N24" s="100" t="e">
        <f ca="1">FLUID!R67</f>
        <v>#N/A</v>
      </c>
      <c r="O24" s="100" t="e">
        <f ca="1">FLUID!S67</f>
        <v>#N/A</v>
      </c>
      <c r="P24" s="100" t="e">
        <f ca="1">FLUID!T67</f>
        <v>#N/A</v>
      </c>
      <c r="Q24" s="100" t="e">
        <f ca="1">FLUID!U67</f>
        <v>#N/A</v>
      </c>
      <c r="R24" s="100" t="e">
        <f ca="1">FLUID!V67</f>
        <v>#N/A</v>
      </c>
      <c r="S24" s="100" t="e">
        <f ca="1">FLUID!W67</f>
        <v>#N/A</v>
      </c>
      <c r="T24" s="100" t="e">
        <f ca="1">FLUID!X67</f>
        <v>#N/A</v>
      </c>
      <c r="U24" s="100" t="e">
        <f ca="1">FLUID!Y67</f>
        <v>#N/A</v>
      </c>
      <c r="V24" s="100" t="e">
        <f ca="1">FLUID!Z67</f>
        <v>#N/A</v>
      </c>
      <c r="W24" s="100" t="e">
        <f ca="1">FLUID!AA67</f>
        <v>#N/A</v>
      </c>
      <c r="X24" s="100" t="e">
        <f ca="1">FLUID!AB67</f>
        <v>#N/A</v>
      </c>
      <c r="Y24" s="100" t="e">
        <f ca="1">FLUID!AC67</f>
        <v>#N/A</v>
      </c>
      <c r="Z24" s="100" t="e">
        <f ca="1">FLUID!AD67</f>
        <v>#N/A</v>
      </c>
      <c r="AA24" s="100" t="e">
        <f ca="1">FLUID!AE67</f>
        <v>#N/A</v>
      </c>
      <c r="AB24" s="100" t="e">
        <f ca="1">FLUID!AF67</f>
        <v>#N/A</v>
      </c>
      <c r="AC24" s="100" t="e">
        <f ca="1">FLUID!AG67</f>
        <v>#N/A</v>
      </c>
      <c r="AD24" s="100" t="e">
        <f ca="1">FLUID!AH67</f>
        <v>#N/A</v>
      </c>
      <c r="AE24" s="100" t="e">
        <f ca="1">FLUID!AI67</f>
        <v>#N/A</v>
      </c>
      <c r="AF24" s="100" t="e">
        <f ca="1">FLUID!AJ67</f>
        <v>#N/A</v>
      </c>
      <c r="AG24" s="100" t="e">
        <f ca="1">FLUID!AK67</f>
        <v>#N/A</v>
      </c>
      <c r="AH24" s="100" t="e">
        <f ca="1">FLUID!AL67</f>
        <v>#N/A</v>
      </c>
      <c r="AI24" s="100" t="e">
        <f ca="1">FLUID!AM67</f>
        <v>#N/A</v>
      </c>
      <c r="AJ24" s="100" t="e">
        <f ca="1">FLUID!AN67</f>
        <v>#N/A</v>
      </c>
      <c r="AK24" s="100" t="e">
        <f ca="1">FLUID!AO67</f>
        <v>#N/A</v>
      </c>
      <c r="AL24" s="100" t="e">
        <f ca="1">FLUID!AP67</f>
        <v>#N/A</v>
      </c>
      <c r="AM24" s="100" t="e">
        <f ca="1">FLUID!AQ67</f>
        <v>#N/A</v>
      </c>
      <c r="AN24" s="100" t="e">
        <f ca="1">FLUID!AR67</f>
        <v>#N/A</v>
      </c>
      <c r="AO24" s="100" t="e">
        <f ca="1">FLUID!AS67</f>
        <v>#N/A</v>
      </c>
      <c r="AP24" s="100" t="e">
        <f ca="1">FLUID!AT67</f>
        <v>#N/A</v>
      </c>
      <c r="AQ24" s="100" t="e">
        <f ca="1">FLUID!AU67</f>
        <v>#N/A</v>
      </c>
      <c r="AR24" s="100" t="e">
        <f ca="1">FLUID!AV67</f>
        <v>#N/A</v>
      </c>
      <c r="AS24" s="100" t="e">
        <f ca="1">FLUID!AW67</f>
        <v>#N/A</v>
      </c>
      <c r="AT24" s="100" t="e">
        <f ca="1">FLUID!AX67</f>
        <v>#N/A</v>
      </c>
      <c r="AU24" s="100" t="e">
        <f ca="1">FLUID!AY67</f>
        <v>#N/A</v>
      </c>
      <c r="AV24" s="100" t="e">
        <f ca="1">FLUID!AZ67</f>
        <v>#N/A</v>
      </c>
      <c r="AW24" s="100" t="e">
        <f ca="1">FLUID!BA67</f>
        <v>#N/A</v>
      </c>
      <c r="AX24" s="100" t="e">
        <f ca="1">FLUID!BB67</f>
        <v>#N/A</v>
      </c>
      <c r="AY24" s="100" t="e">
        <f ca="1">FLUID!BC67</f>
        <v>#N/A</v>
      </c>
      <c r="AZ24" s="100" t="e">
        <f ca="1">FLUID!BD67</f>
        <v>#N/A</v>
      </c>
      <c r="BA24" s="100" t="e">
        <f ca="1">FLUID!BE67</f>
        <v>#N/A</v>
      </c>
      <c r="BB24" s="100" t="e">
        <f ca="1">FLUID!BF67</f>
        <v>#N/A</v>
      </c>
      <c r="BC24" s="100" t="e">
        <f ca="1">FLUID!BG67</f>
        <v>#N/A</v>
      </c>
      <c r="BD24" s="100" t="e">
        <f ca="1">FLUID!BH67</f>
        <v>#N/A</v>
      </c>
      <c r="BE24" s="100" t="e">
        <f ca="1">FLUID!BI67</f>
        <v>#N/A</v>
      </c>
      <c r="BF24" s="100" t="e">
        <f ca="1">FLUID!BJ67</f>
        <v>#N/A</v>
      </c>
      <c r="BG24" s="100" t="e">
        <f ca="1">FLUID!BK67</f>
        <v>#N/A</v>
      </c>
      <c r="BH24" s="100" t="e">
        <f ca="1">FLUID!BL67</f>
        <v>#N/A</v>
      </c>
      <c r="BI24" s="100" t="e">
        <f ca="1">FLUID!BM67</f>
        <v>#N/A</v>
      </c>
      <c r="BJ24" s="100" t="e">
        <f ca="1">FLUID!BN67</f>
        <v>#N/A</v>
      </c>
      <c r="BK24" s="100" t="e">
        <f ca="1">FLUID!BO67</f>
        <v>#N/A</v>
      </c>
      <c r="BL24" s="100" t="e">
        <f ca="1">FLUID!BP67</f>
        <v>#N/A</v>
      </c>
      <c r="BM24" s="100" t="e">
        <f ca="1">FLUID!BQ67</f>
        <v>#N/A</v>
      </c>
      <c r="BN24" s="100" t="e">
        <f ca="1">FLUID!BR67</f>
        <v>#N/A</v>
      </c>
      <c r="BO24" s="100">
        <f>FLUID!BS67</f>
        <v>0</v>
      </c>
      <c r="BP24" s="100">
        <f>FLUID!BT67</f>
        <v>0</v>
      </c>
      <c r="BQ24" s="100">
        <f>FLUID!BU67</f>
        <v>0</v>
      </c>
      <c r="BR24" s="100">
        <f>FLUID!BV67</f>
        <v>0</v>
      </c>
      <c r="BS24" s="100">
        <f>FLUID!BW67</f>
        <v>0</v>
      </c>
      <c r="BT24" s="100">
        <f>FLUID!BX67</f>
        <v>0</v>
      </c>
    </row>
    <row r="25" spans="1:72" ht="22.5" hidden="1" customHeight="1" outlineLevel="1" thickBot="1" x14ac:dyDescent="0.4">
      <c r="A25" s="87">
        <f>FLUID!E68</f>
        <v>0</v>
      </c>
      <c r="B25" s="100" t="e">
        <f ca="1">FLUID!F68</f>
        <v>#N/A</v>
      </c>
      <c r="C25" s="100" t="e">
        <f ca="1">FLUID!G68</f>
        <v>#N/A</v>
      </c>
      <c r="D25" s="100" t="e">
        <f ca="1">FLUID!H68</f>
        <v>#N/A</v>
      </c>
      <c r="E25" s="100" t="e">
        <f ca="1">FLUID!I68</f>
        <v>#N/A</v>
      </c>
      <c r="F25" s="100" t="e">
        <f ca="1">FLUID!J68</f>
        <v>#N/A</v>
      </c>
      <c r="G25" s="100" t="e">
        <f ca="1">FLUID!K68</f>
        <v>#N/A</v>
      </c>
      <c r="H25" s="100" t="e">
        <f ca="1">FLUID!L68</f>
        <v>#N/A</v>
      </c>
      <c r="I25" s="100" t="e">
        <f ca="1">FLUID!M68</f>
        <v>#N/A</v>
      </c>
      <c r="J25" s="100" t="e">
        <f ca="1">FLUID!N68</f>
        <v>#N/A</v>
      </c>
      <c r="K25" s="100" t="e">
        <f ca="1">FLUID!O68</f>
        <v>#N/A</v>
      </c>
      <c r="L25" s="100" t="e">
        <f ca="1">FLUID!P68</f>
        <v>#N/A</v>
      </c>
      <c r="M25" s="100" t="e">
        <f ca="1">FLUID!Q68</f>
        <v>#N/A</v>
      </c>
      <c r="N25" s="100" t="e">
        <f ca="1">FLUID!R68</f>
        <v>#N/A</v>
      </c>
      <c r="O25" s="100" t="e">
        <f ca="1">FLUID!S68</f>
        <v>#N/A</v>
      </c>
      <c r="P25" s="100" t="e">
        <f ca="1">FLUID!T68</f>
        <v>#N/A</v>
      </c>
      <c r="Q25" s="100" t="e">
        <f ca="1">FLUID!U68</f>
        <v>#N/A</v>
      </c>
      <c r="R25" s="100" t="e">
        <f ca="1">FLUID!V68</f>
        <v>#N/A</v>
      </c>
      <c r="S25" s="100" t="e">
        <f ca="1">FLUID!W68</f>
        <v>#N/A</v>
      </c>
      <c r="T25" s="100" t="e">
        <f ca="1">FLUID!X68</f>
        <v>#N/A</v>
      </c>
      <c r="U25" s="100" t="e">
        <f ca="1">FLUID!Y68</f>
        <v>#N/A</v>
      </c>
      <c r="V25" s="100" t="e">
        <f ca="1">FLUID!Z68</f>
        <v>#N/A</v>
      </c>
      <c r="W25" s="100" t="e">
        <f ca="1">FLUID!AA68</f>
        <v>#N/A</v>
      </c>
      <c r="X25" s="100" t="e">
        <f ca="1">FLUID!AB68</f>
        <v>#N/A</v>
      </c>
      <c r="Y25" s="100" t="e">
        <f ca="1">FLUID!AC68</f>
        <v>#N/A</v>
      </c>
      <c r="Z25" s="100" t="e">
        <f ca="1">FLUID!AD68</f>
        <v>#N/A</v>
      </c>
      <c r="AA25" s="100" t="e">
        <f ca="1">FLUID!AE68</f>
        <v>#N/A</v>
      </c>
      <c r="AB25" s="100" t="e">
        <f ca="1">FLUID!AF68</f>
        <v>#N/A</v>
      </c>
      <c r="AC25" s="100" t="e">
        <f ca="1">FLUID!AG68</f>
        <v>#N/A</v>
      </c>
      <c r="AD25" s="100" t="e">
        <f ca="1">FLUID!AH68</f>
        <v>#N/A</v>
      </c>
      <c r="AE25" s="100" t="e">
        <f ca="1">FLUID!AI68</f>
        <v>#N/A</v>
      </c>
      <c r="AF25" s="100" t="e">
        <f ca="1">FLUID!AJ68</f>
        <v>#N/A</v>
      </c>
      <c r="AG25" s="100" t="e">
        <f ca="1">FLUID!AK68</f>
        <v>#N/A</v>
      </c>
      <c r="AH25" s="100" t="e">
        <f ca="1">FLUID!AL68</f>
        <v>#N/A</v>
      </c>
      <c r="AI25" s="100" t="e">
        <f ca="1">FLUID!AM68</f>
        <v>#N/A</v>
      </c>
      <c r="AJ25" s="100" t="e">
        <f ca="1">FLUID!AN68</f>
        <v>#N/A</v>
      </c>
      <c r="AK25" s="100" t="e">
        <f ca="1">FLUID!AO68</f>
        <v>#N/A</v>
      </c>
      <c r="AL25" s="100" t="e">
        <f ca="1">FLUID!AP68</f>
        <v>#N/A</v>
      </c>
      <c r="AM25" s="100" t="e">
        <f ca="1">FLUID!AQ68</f>
        <v>#N/A</v>
      </c>
      <c r="AN25" s="100" t="e">
        <f ca="1">FLUID!AR68</f>
        <v>#N/A</v>
      </c>
      <c r="AO25" s="100" t="e">
        <f ca="1">FLUID!AS68</f>
        <v>#N/A</v>
      </c>
      <c r="AP25" s="100" t="e">
        <f ca="1">FLUID!AT68</f>
        <v>#N/A</v>
      </c>
      <c r="AQ25" s="100" t="e">
        <f ca="1">FLUID!AU68</f>
        <v>#N/A</v>
      </c>
      <c r="AR25" s="100" t="e">
        <f ca="1">FLUID!AV68</f>
        <v>#N/A</v>
      </c>
      <c r="AS25" s="100" t="e">
        <f ca="1">FLUID!AW68</f>
        <v>#N/A</v>
      </c>
      <c r="AT25" s="100" t="e">
        <f ca="1">FLUID!AX68</f>
        <v>#N/A</v>
      </c>
      <c r="AU25" s="100" t="e">
        <f ca="1">FLUID!AY68</f>
        <v>#N/A</v>
      </c>
      <c r="AV25" s="100" t="e">
        <f ca="1">FLUID!AZ68</f>
        <v>#N/A</v>
      </c>
      <c r="AW25" s="100" t="e">
        <f ca="1">FLUID!BA68</f>
        <v>#N/A</v>
      </c>
      <c r="AX25" s="100" t="e">
        <f ca="1">FLUID!BB68</f>
        <v>#N/A</v>
      </c>
      <c r="AY25" s="100" t="e">
        <f ca="1">FLUID!BC68</f>
        <v>#N/A</v>
      </c>
      <c r="AZ25" s="100" t="e">
        <f ca="1">FLUID!BD68</f>
        <v>#N/A</v>
      </c>
      <c r="BA25" s="100" t="e">
        <f ca="1">FLUID!BE68</f>
        <v>#N/A</v>
      </c>
      <c r="BB25" s="100" t="e">
        <f ca="1">FLUID!BF68</f>
        <v>#N/A</v>
      </c>
      <c r="BC25" s="100" t="e">
        <f ca="1">FLUID!BG68</f>
        <v>#N/A</v>
      </c>
      <c r="BD25" s="100" t="e">
        <f ca="1">FLUID!BH68</f>
        <v>#N/A</v>
      </c>
      <c r="BE25" s="100" t="e">
        <f ca="1">FLUID!BI68</f>
        <v>#N/A</v>
      </c>
      <c r="BF25" s="100" t="e">
        <f ca="1">FLUID!BJ68</f>
        <v>#N/A</v>
      </c>
      <c r="BG25" s="100" t="e">
        <f ca="1">FLUID!BK68</f>
        <v>#N/A</v>
      </c>
      <c r="BH25" s="100" t="e">
        <f ca="1">FLUID!BL68</f>
        <v>#N/A</v>
      </c>
      <c r="BI25" s="100" t="e">
        <f ca="1">FLUID!BM68</f>
        <v>#N/A</v>
      </c>
      <c r="BJ25" s="100" t="e">
        <f ca="1">FLUID!BN68</f>
        <v>#N/A</v>
      </c>
      <c r="BK25" s="100" t="e">
        <f ca="1">FLUID!BO68</f>
        <v>#N/A</v>
      </c>
      <c r="BL25" s="100" t="e">
        <f ca="1">FLUID!BP68</f>
        <v>#N/A</v>
      </c>
      <c r="BM25" s="100" t="e">
        <f ca="1">FLUID!BQ68</f>
        <v>#N/A</v>
      </c>
      <c r="BN25" s="100" t="e">
        <f ca="1">FLUID!BR68</f>
        <v>#N/A</v>
      </c>
      <c r="BO25" s="100">
        <f>FLUID!BS68</f>
        <v>0</v>
      </c>
      <c r="BP25" s="100">
        <f>FLUID!BT68</f>
        <v>0</v>
      </c>
      <c r="BQ25" s="100">
        <f>FLUID!BU68</f>
        <v>0</v>
      </c>
      <c r="BR25" s="100">
        <f>FLUID!BV68</f>
        <v>0</v>
      </c>
      <c r="BS25" s="100">
        <f>FLUID!BW68</f>
        <v>0</v>
      </c>
      <c r="BT25" s="100">
        <f>FLUID!BX68</f>
        <v>0</v>
      </c>
    </row>
    <row r="26" spans="1:72" ht="22.5" hidden="1" customHeight="1" outlineLevel="1" thickBot="1" x14ac:dyDescent="0.4">
      <c r="A26" s="87">
        <f>FLUID!E69</f>
        <v>0</v>
      </c>
      <c r="B26" s="100" t="e">
        <f ca="1">FLUID!F69</f>
        <v>#N/A</v>
      </c>
      <c r="C26" s="100" t="e">
        <f ca="1">FLUID!G69</f>
        <v>#N/A</v>
      </c>
      <c r="D26" s="100" t="e">
        <f ca="1">FLUID!H69</f>
        <v>#N/A</v>
      </c>
      <c r="E26" s="100" t="e">
        <f ca="1">FLUID!I69</f>
        <v>#N/A</v>
      </c>
      <c r="F26" s="100" t="e">
        <f ca="1">FLUID!J69</f>
        <v>#N/A</v>
      </c>
      <c r="G26" s="100" t="e">
        <f ca="1">FLUID!K69</f>
        <v>#N/A</v>
      </c>
      <c r="H26" s="100" t="e">
        <f ca="1">FLUID!L69</f>
        <v>#N/A</v>
      </c>
      <c r="I26" s="100" t="e">
        <f ca="1">FLUID!M69</f>
        <v>#N/A</v>
      </c>
      <c r="J26" s="100" t="e">
        <f ca="1">FLUID!N69</f>
        <v>#N/A</v>
      </c>
      <c r="K26" s="100" t="e">
        <f ca="1">FLUID!O69</f>
        <v>#N/A</v>
      </c>
      <c r="L26" s="100" t="e">
        <f ca="1">FLUID!P69</f>
        <v>#N/A</v>
      </c>
      <c r="M26" s="100" t="e">
        <f ca="1">FLUID!Q69</f>
        <v>#N/A</v>
      </c>
      <c r="N26" s="100" t="e">
        <f ca="1">FLUID!R69</f>
        <v>#N/A</v>
      </c>
      <c r="O26" s="100" t="e">
        <f ca="1">FLUID!S69</f>
        <v>#N/A</v>
      </c>
      <c r="P26" s="100" t="e">
        <f ca="1">FLUID!T69</f>
        <v>#N/A</v>
      </c>
      <c r="Q26" s="100" t="e">
        <f ca="1">FLUID!U69</f>
        <v>#N/A</v>
      </c>
      <c r="R26" s="100" t="e">
        <f ca="1">FLUID!V69</f>
        <v>#N/A</v>
      </c>
      <c r="S26" s="100" t="e">
        <f ca="1">FLUID!W69</f>
        <v>#N/A</v>
      </c>
      <c r="T26" s="100" t="e">
        <f ca="1">FLUID!X69</f>
        <v>#N/A</v>
      </c>
      <c r="U26" s="100" t="e">
        <f ca="1">FLUID!Y69</f>
        <v>#N/A</v>
      </c>
      <c r="V26" s="100" t="e">
        <f ca="1">FLUID!Z69</f>
        <v>#N/A</v>
      </c>
      <c r="W26" s="100" t="e">
        <f ca="1">FLUID!AA69</f>
        <v>#N/A</v>
      </c>
      <c r="X26" s="100" t="e">
        <f ca="1">FLUID!AB69</f>
        <v>#N/A</v>
      </c>
      <c r="Y26" s="100" t="e">
        <f ca="1">FLUID!AC69</f>
        <v>#N/A</v>
      </c>
      <c r="Z26" s="100" t="e">
        <f ca="1">FLUID!AD69</f>
        <v>#N/A</v>
      </c>
      <c r="AA26" s="100" t="e">
        <f ca="1">FLUID!AE69</f>
        <v>#N/A</v>
      </c>
      <c r="AB26" s="100" t="e">
        <f ca="1">FLUID!AF69</f>
        <v>#N/A</v>
      </c>
      <c r="AC26" s="100" t="e">
        <f ca="1">FLUID!AG69</f>
        <v>#N/A</v>
      </c>
      <c r="AD26" s="100" t="e">
        <f ca="1">FLUID!AH69</f>
        <v>#N/A</v>
      </c>
      <c r="AE26" s="100" t="e">
        <f ca="1">FLUID!AI69</f>
        <v>#N/A</v>
      </c>
      <c r="AF26" s="100" t="e">
        <f ca="1">FLUID!AJ69</f>
        <v>#N/A</v>
      </c>
      <c r="AG26" s="100" t="e">
        <f ca="1">FLUID!AK69</f>
        <v>#N/A</v>
      </c>
      <c r="AH26" s="100" t="e">
        <f ca="1">FLUID!AL69</f>
        <v>#N/A</v>
      </c>
      <c r="AI26" s="100" t="e">
        <f ca="1">FLUID!AM69</f>
        <v>#N/A</v>
      </c>
      <c r="AJ26" s="100" t="e">
        <f ca="1">FLUID!AN69</f>
        <v>#N/A</v>
      </c>
      <c r="AK26" s="100" t="e">
        <f ca="1">FLUID!AO69</f>
        <v>#N/A</v>
      </c>
      <c r="AL26" s="100" t="e">
        <f ca="1">FLUID!AP69</f>
        <v>#N/A</v>
      </c>
      <c r="AM26" s="100" t="e">
        <f ca="1">FLUID!AQ69</f>
        <v>#N/A</v>
      </c>
      <c r="AN26" s="100" t="e">
        <f ca="1">FLUID!AR69</f>
        <v>#N/A</v>
      </c>
      <c r="AO26" s="100" t="e">
        <f ca="1">FLUID!AS69</f>
        <v>#N/A</v>
      </c>
      <c r="AP26" s="100" t="e">
        <f ca="1">FLUID!AT69</f>
        <v>#N/A</v>
      </c>
      <c r="AQ26" s="100" t="e">
        <f ca="1">FLUID!AU69</f>
        <v>#N/A</v>
      </c>
      <c r="AR26" s="100" t="e">
        <f ca="1">FLUID!AV69</f>
        <v>#N/A</v>
      </c>
      <c r="AS26" s="100" t="e">
        <f ca="1">FLUID!AW69</f>
        <v>#N/A</v>
      </c>
      <c r="AT26" s="100" t="e">
        <f ca="1">FLUID!AX69</f>
        <v>#N/A</v>
      </c>
      <c r="AU26" s="100" t="e">
        <f ca="1">FLUID!AY69</f>
        <v>#N/A</v>
      </c>
      <c r="AV26" s="100" t="e">
        <f ca="1">FLUID!AZ69</f>
        <v>#N/A</v>
      </c>
      <c r="AW26" s="100" t="e">
        <f ca="1">FLUID!BA69</f>
        <v>#N/A</v>
      </c>
      <c r="AX26" s="100" t="e">
        <f ca="1">FLUID!BB69</f>
        <v>#N/A</v>
      </c>
      <c r="AY26" s="100" t="e">
        <f ca="1">FLUID!BC69</f>
        <v>#N/A</v>
      </c>
      <c r="AZ26" s="100" t="e">
        <f ca="1">FLUID!BD69</f>
        <v>#N/A</v>
      </c>
      <c r="BA26" s="100" t="e">
        <f ca="1">FLUID!BE69</f>
        <v>#N/A</v>
      </c>
      <c r="BB26" s="100" t="e">
        <f ca="1">FLUID!BF69</f>
        <v>#N/A</v>
      </c>
      <c r="BC26" s="100" t="e">
        <f ca="1">FLUID!BG69</f>
        <v>#N/A</v>
      </c>
      <c r="BD26" s="100" t="e">
        <f ca="1">FLUID!BH69</f>
        <v>#N/A</v>
      </c>
      <c r="BE26" s="100" t="e">
        <f ca="1">FLUID!BI69</f>
        <v>#N/A</v>
      </c>
      <c r="BF26" s="100" t="e">
        <f ca="1">FLUID!BJ69</f>
        <v>#N/A</v>
      </c>
      <c r="BG26" s="100" t="e">
        <f ca="1">FLUID!BK69</f>
        <v>#N/A</v>
      </c>
      <c r="BH26" s="100" t="e">
        <f ca="1">FLUID!BL69</f>
        <v>#N/A</v>
      </c>
      <c r="BI26" s="100" t="e">
        <f ca="1">FLUID!BM69</f>
        <v>#N/A</v>
      </c>
      <c r="BJ26" s="100" t="e">
        <f ca="1">FLUID!BN69</f>
        <v>#N/A</v>
      </c>
      <c r="BK26" s="100" t="e">
        <f ca="1">FLUID!BO69</f>
        <v>#N/A</v>
      </c>
      <c r="BL26" s="100" t="e">
        <f ca="1">FLUID!BP69</f>
        <v>#N/A</v>
      </c>
      <c r="BM26" s="100" t="e">
        <f ca="1">FLUID!BQ69</f>
        <v>#N/A</v>
      </c>
      <c r="BN26" s="100" t="e">
        <f ca="1">FLUID!BR69</f>
        <v>#N/A</v>
      </c>
      <c r="BO26" s="100">
        <f>FLUID!BS69</f>
        <v>0</v>
      </c>
      <c r="BP26" s="100">
        <f>FLUID!BT69</f>
        <v>0</v>
      </c>
      <c r="BQ26" s="100">
        <f>FLUID!BU69</f>
        <v>0</v>
      </c>
      <c r="BR26" s="100">
        <f>FLUID!BV69</f>
        <v>0</v>
      </c>
      <c r="BS26" s="100">
        <f>FLUID!BW69</f>
        <v>0</v>
      </c>
      <c r="BT26" s="100">
        <f>FLUID!BX69</f>
        <v>0</v>
      </c>
    </row>
    <row r="27" spans="1:72" ht="22.5" hidden="1" customHeight="1" outlineLevel="1" thickBot="1" x14ac:dyDescent="0.4">
      <c r="A27" s="87">
        <f>FLUID!E70</f>
        <v>0</v>
      </c>
      <c r="B27" s="100" t="e">
        <f ca="1">FLUID!F70</f>
        <v>#N/A</v>
      </c>
      <c r="C27" s="100" t="e">
        <f ca="1">FLUID!G70</f>
        <v>#N/A</v>
      </c>
      <c r="D27" s="100" t="e">
        <f ca="1">FLUID!H70</f>
        <v>#N/A</v>
      </c>
      <c r="E27" s="100" t="e">
        <f ca="1">FLUID!I70</f>
        <v>#N/A</v>
      </c>
      <c r="F27" s="100" t="e">
        <f ca="1">FLUID!J70</f>
        <v>#N/A</v>
      </c>
      <c r="G27" s="100" t="e">
        <f ca="1">FLUID!K70</f>
        <v>#N/A</v>
      </c>
      <c r="H27" s="100" t="e">
        <f ca="1">FLUID!L70</f>
        <v>#N/A</v>
      </c>
      <c r="I27" s="100" t="e">
        <f ca="1">FLUID!M70</f>
        <v>#N/A</v>
      </c>
      <c r="J27" s="100" t="e">
        <f ca="1">FLUID!N70</f>
        <v>#N/A</v>
      </c>
      <c r="K27" s="100" t="e">
        <f ca="1">FLUID!O70</f>
        <v>#N/A</v>
      </c>
      <c r="L27" s="100" t="e">
        <f ca="1">FLUID!P70</f>
        <v>#N/A</v>
      </c>
      <c r="M27" s="100" t="e">
        <f ca="1">FLUID!Q70</f>
        <v>#N/A</v>
      </c>
      <c r="N27" s="100" t="e">
        <f ca="1">FLUID!R70</f>
        <v>#N/A</v>
      </c>
      <c r="O27" s="100" t="e">
        <f ca="1">FLUID!S70</f>
        <v>#N/A</v>
      </c>
      <c r="P27" s="100" t="e">
        <f ca="1">FLUID!T70</f>
        <v>#N/A</v>
      </c>
      <c r="Q27" s="100" t="e">
        <f ca="1">FLUID!U70</f>
        <v>#N/A</v>
      </c>
      <c r="R27" s="100" t="e">
        <f ca="1">FLUID!V70</f>
        <v>#N/A</v>
      </c>
      <c r="S27" s="100" t="e">
        <f ca="1">FLUID!W70</f>
        <v>#N/A</v>
      </c>
      <c r="T27" s="100" t="e">
        <f ca="1">FLUID!X70</f>
        <v>#N/A</v>
      </c>
      <c r="U27" s="100" t="e">
        <f ca="1">FLUID!Y70</f>
        <v>#N/A</v>
      </c>
      <c r="V27" s="100" t="e">
        <f ca="1">FLUID!Z70</f>
        <v>#N/A</v>
      </c>
      <c r="W27" s="100" t="e">
        <f ca="1">FLUID!AA70</f>
        <v>#N/A</v>
      </c>
      <c r="X27" s="100" t="e">
        <f ca="1">FLUID!AB70</f>
        <v>#N/A</v>
      </c>
      <c r="Y27" s="100" t="e">
        <f ca="1">FLUID!AC70</f>
        <v>#N/A</v>
      </c>
      <c r="Z27" s="100" t="e">
        <f ca="1">FLUID!AD70</f>
        <v>#N/A</v>
      </c>
      <c r="AA27" s="100" t="e">
        <f ca="1">FLUID!AE70</f>
        <v>#N/A</v>
      </c>
      <c r="AB27" s="100" t="e">
        <f ca="1">FLUID!AF70</f>
        <v>#N/A</v>
      </c>
      <c r="AC27" s="100" t="e">
        <f ca="1">FLUID!AG70</f>
        <v>#N/A</v>
      </c>
      <c r="AD27" s="100" t="e">
        <f ca="1">FLUID!AH70</f>
        <v>#N/A</v>
      </c>
      <c r="AE27" s="100" t="e">
        <f ca="1">FLUID!AI70</f>
        <v>#N/A</v>
      </c>
      <c r="AF27" s="100" t="e">
        <f ca="1">FLUID!AJ70</f>
        <v>#N/A</v>
      </c>
      <c r="AG27" s="100" t="e">
        <f ca="1">FLUID!AK70</f>
        <v>#N/A</v>
      </c>
      <c r="AH27" s="100" t="e">
        <f ca="1">FLUID!AL70</f>
        <v>#N/A</v>
      </c>
      <c r="AI27" s="100" t="e">
        <f ca="1">FLUID!AM70</f>
        <v>#N/A</v>
      </c>
      <c r="AJ27" s="100" t="e">
        <f ca="1">FLUID!AN70</f>
        <v>#N/A</v>
      </c>
      <c r="AK27" s="100" t="e">
        <f ca="1">FLUID!AO70</f>
        <v>#N/A</v>
      </c>
      <c r="AL27" s="100" t="e">
        <f ca="1">FLUID!AP70</f>
        <v>#N/A</v>
      </c>
      <c r="AM27" s="100" t="e">
        <f ca="1">FLUID!AQ70</f>
        <v>#N/A</v>
      </c>
      <c r="AN27" s="100" t="e">
        <f ca="1">FLUID!AR70</f>
        <v>#N/A</v>
      </c>
      <c r="AO27" s="100" t="e">
        <f ca="1">FLUID!AS70</f>
        <v>#N/A</v>
      </c>
      <c r="AP27" s="100" t="e">
        <f ca="1">FLUID!AT70</f>
        <v>#N/A</v>
      </c>
      <c r="AQ27" s="100" t="e">
        <f ca="1">FLUID!AU70</f>
        <v>#N/A</v>
      </c>
      <c r="AR27" s="100" t="e">
        <f ca="1">FLUID!AV70</f>
        <v>#N/A</v>
      </c>
      <c r="AS27" s="100" t="e">
        <f ca="1">FLUID!AW70</f>
        <v>#N/A</v>
      </c>
      <c r="AT27" s="100" t="e">
        <f ca="1">FLUID!AX70</f>
        <v>#N/A</v>
      </c>
      <c r="AU27" s="100" t="e">
        <f ca="1">FLUID!AY70</f>
        <v>#N/A</v>
      </c>
      <c r="AV27" s="100" t="e">
        <f ca="1">FLUID!AZ70</f>
        <v>#N/A</v>
      </c>
      <c r="AW27" s="100" t="e">
        <f ca="1">FLUID!BA70</f>
        <v>#N/A</v>
      </c>
      <c r="AX27" s="100" t="e">
        <f ca="1">FLUID!BB70</f>
        <v>#N/A</v>
      </c>
      <c r="AY27" s="100" t="e">
        <f ca="1">FLUID!BC70</f>
        <v>#N/A</v>
      </c>
      <c r="AZ27" s="100" t="e">
        <f ca="1">FLUID!BD70</f>
        <v>#N/A</v>
      </c>
      <c r="BA27" s="100" t="e">
        <f ca="1">FLUID!BE70</f>
        <v>#N/A</v>
      </c>
      <c r="BB27" s="100" t="e">
        <f ca="1">FLUID!BF70</f>
        <v>#N/A</v>
      </c>
      <c r="BC27" s="100" t="e">
        <f ca="1">FLUID!BG70</f>
        <v>#N/A</v>
      </c>
      <c r="BD27" s="100" t="e">
        <f ca="1">FLUID!BH70</f>
        <v>#N/A</v>
      </c>
      <c r="BE27" s="100" t="e">
        <f ca="1">FLUID!BI70</f>
        <v>#N/A</v>
      </c>
      <c r="BF27" s="100" t="e">
        <f ca="1">FLUID!BJ70</f>
        <v>#N/A</v>
      </c>
      <c r="BG27" s="100" t="e">
        <f ca="1">FLUID!BK70</f>
        <v>#N/A</v>
      </c>
      <c r="BH27" s="100" t="e">
        <f ca="1">FLUID!BL70</f>
        <v>#N/A</v>
      </c>
      <c r="BI27" s="100" t="e">
        <f ca="1">FLUID!BM70</f>
        <v>#N/A</v>
      </c>
      <c r="BJ27" s="100" t="e">
        <f ca="1">FLUID!BN70</f>
        <v>#N/A</v>
      </c>
      <c r="BK27" s="100" t="e">
        <f ca="1">FLUID!BO70</f>
        <v>#N/A</v>
      </c>
      <c r="BL27" s="100" t="e">
        <f ca="1">FLUID!BP70</f>
        <v>#N/A</v>
      </c>
      <c r="BM27" s="100" t="e">
        <f ca="1">FLUID!BQ70</f>
        <v>#N/A</v>
      </c>
      <c r="BN27" s="100" t="e">
        <f ca="1">FLUID!BR70</f>
        <v>#N/A</v>
      </c>
      <c r="BO27" s="100">
        <f>FLUID!BS70</f>
        <v>0</v>
      </c>
      <c r="BP27" s="100">
        <f>FLUID!BT70</f>
        <v>0</v>
      </c>
      <c r="BQ27" s="100">
        <f>FLUID!BU70</f>
        <v>0</v>
      </c>
      <c r="BR27" s="100">
        <f>FLUID!BV70</f>
        <v>0</v>
      </c>
      <c r="BS27" s="100">
        <f>FLUID!BW70</f>
        <v>0</v>
      </c>
      <c r="BT27" s="100">
        <f>FLUID!BX70</f>
        <v>0</v>
      </c>
    </row>
    <row r="28" spans="1:72" ht="22.5" hidden="1" customHeight="1" outlineLevel="1" thickBot="1" x14ac:dyDescent="0.4">
      <c r="A28" s="87">
        <f>FLUID!E71</f>
        <v>0</v>
      </c>
      <c r="B28" s="100" t="e">
        <f ca="1">FLUID!F71</f>
        <v>#N/A</v>
      </c>
      <c r="C28" s="100" t="e">
        <f ca="1">FLUID!G71</f>
        <v>#N/A</v>
      </c>
      <c r="D28" s="100" t="e">
        <f ca="1">FLUID!H71</f>
        <v>#N/A</v>
      </c>
      <c r="E28" s="100" t="e">
        <f ca="1">FLUID!I71</f>
        <v>#N/A</v>
      </c>
      <c r="F28" s="100" t="e">
        <f ca="1">FLUID!J71</f>
        <v>#N/A</v>
      </c>
      <c r="G28" s="100" t="e">
        <f ca="1">FLUID!K71</f>
        <v>#N/A</v>
      </c>
      <c r="H28" s="100" t="e">
        <f ca="1">FLUID!L71</f>
        <v>#N/A</v>
      </c>
      <c r="I28" s="100" t="e">
        <f ca="1">FLUID!M71</f>
        <v>#N/A</v>
      </c>
      <c r="J28" s="100" t="e">
        <f ca="1">FLUID!N71</f>
        <v>#N/A</v>
      </c>
      <c r="K28" s="100" t="e">
        <f ca="1">FLUID!O71</f>
        <v>#N/A</v>
      </c>
      <c r="L28" s="100" t="e">
        <f ca="1">FLUID!P71</f>
        <v>#N/A</v>
      </c>
      <c r="M28" s="100" t="e">
        <f ca="1">FLUID!Q71</f>
        <v>#N/A</v>
      </c>
      <c r="N28" s="100" t="e">
        <f ca="1">FLUID!R71</f>
        <v>#N/A</v>
      </c>
      <c r="O28" s="100" t="e">
        <f ca="1">FLUID!S71</f>
        <v>#N/A</v>
      </c>
      <c r="P28" s="100" t="e">
        <f ca="1">FLUID!T71</f>
        <v>#N/A</v>
      </c>
      <c r="Q28" s="100" t="e">
        <f ca="1">FLUID!U71</f>
        <v>#N/A</v>
      </c>
      <c r="R28" s="100" t="e">
        <f ca="1">FLUID!V71</f>
        <v>#N/A</v>
      </c>
      <c r="S28" s="100" t="e">
        <f ca="1">FLUID!W71</f>
        <v>#N/A</v>
      </c>
      <c r="T28" s="100" t="e">
        <f ca="1">FLUID!X71</f>
        <v>#N/A</v>
      </c>
      <c r="U28" s="100" t="e">
        <f ca="1">FLUID!Y71</f>
        <v>#N/A</v>
      </c>
      <c r="V28" s="100" t="e">
        <f ca="1">FLUID!Z71</f>
        <v>#N/A</v>
      </c>
      <c r="W28" s="100" t="e">
        <f ca="1">FLUID!AA71</f>
        <v>#N/A</v>
      </c>
      <c r="X28" s="100" t="e">
        <f ca="1">FLUID!AB71</f>
        <v>#N/A</v>
      </c>
      <c r="Y28" s="100" t="e">
        <f ca="1">FLUID!AC71</f>
        <v>#N/A</v>
      </c>
      <c r="Z28" s="100" t="e">
        <f ca="1">FLUID!AD71</f>
        <v>#N/A</v>
      </c>
      <c r="AA28" s="100" t="e">
        <f ca="1">FLUID!AE71</f>
        <v>#N/A</v>
      </c>
      <c r="AB28" s="100" t="e">
        <f ca="1">FLUID!AF71</f>
        <v>#N/A</v>
      </c>
      <c r="AC28" s="100" t="e">
        <f ca="1">FLUID!AG71</f>
        <v>#N/A</v>
      </c>
      <c r="AD28" s="100" t="e">
        <f ca="1">FLUID!AH71</f>
        <v>#N/A</v>
      </c>
      <c r="AE28" s="100" t="e">
        <f ca="1">FLUID!AI71</f>
        <v>#N/A</v>
      </c>
      <c r="AF28" s="100" t="e">
        <f ca="1">FLUID!AJ71</f>
        <v>#N/A</v>
      </c>
      <c r="AG28" s="100" t="e">
        <f ca="1">FLUID!AK71</f>
        <v>#N/A</v>
      </c>
      <c r="AH28" s="100" t="e">
        <f ca="1">FLUID!AL71</f>
        <v>#N/A</v>
      </c>
      <c r="AI28" s="100" t="e">
        <f ca="1">FLUID!AM71</f>
        <v>#N/A</v>
      </c>
      <c r="AJ28" s="100" t="e">
        <f ca="1">FLUID!AN71</f>
        <v>#N/A</v>
      </c>
      <c r="AK28" s="100" t="e">
        <f ca="1">FLUID!AO71</f>
        <v>#N/A</v>
      </c>
      <c r="AL28" s="100" t="e">
        <f ca="1">FLUID!AP71</f>
        <v>#N/A</v>
      </c>
      <c r="AM28" s="100" t="e">
        <f ca="1">FLUID!AQ71</f>
        <v>#N/A</v>
      </c>
      <c r="AN28" s="100" t="e">
        <f ca="1">FLUID!AR71</f>
        <v>#N/A</v>
      </c>
      <c r="AO28" s="100" t="e">
        <f ca="1">FLUID!AS71</f>
        <v>#N/A</v>
      </c>
      <c r="AP28" s="100" t="e">
        <f ca="1">FLUID!AT71</f>
        <v>#N/A</v>
      </c>
      <c r="AQ28" s="100" t="e">
        <f ca="1">FLUID!AU71</f>
        <v>#N/A</v>
      </c>
      <c r="AR28" s="100" t="e">
        <f ca="1">FLUID!AV71</f>
        <v>#N/A</v>
      </c>
      <c r="AS28" s="100" t="e">
        <f ca="1">FLUID!AW71</f>
        <v>#N/A</v>
      </c>
      <c r="AT28" s="100" t="e">
        <f ca="1">FLUID!AX71</f>
        <v>#N/A</v>
      </c>
      <c r="AU28" s="100" t="e">
        <f ca="1">FLUID!AY71</f>
        <v>#N/A</v>
      </c>
      <c r="AV28" s="100" t="e">
        <f ca="1">FLUID!AZ71</f>
        <v>#N/A</v>
      </c>
      <c r="AW28" s="100" t="e">
        <f ca="1">FLUID!BA71</f>
        <v>#N/A</v>
      </c>
      <c r="AX28" s="100" t="e">
        <f ca="1">FLUID!BB71</f>
        <v>#N/A</v>
      </c>
      <c r="AY28" s="100" t="e">
        <f ca="1">FLUID!BC71</f>
        <v>#N/A</v>
      </c>
      <c r="AZ28" s="100" t="e">
        <f ca="1">FLUID!BD71</f>
        <v>#N/A</v>
      </c>
      <c r="BA28" s="100" t="e">
        <f ca="1">FLUID!BE71</f>
        <v>#N/A</v>
      </c>
      <c r="BB28" s="100" t="e">
        <f ca="1">FLUID!BF71</f>
        <v>#N/A</v>
      </c>
      <c r="BC28" s="100" t="e">
        <f ca="1">FLUID!BG71</f>
        <v>#N/A</v>
      </c>
      <c r="BD28" s="100" t="e">
        <f ca="1">FLUID!BH71</f>
        <v>#N/A</v>
      </c>
      <c r="BE28" s="100" t="e">
        <f ca="1">FLUID!BI71</f>
        <v>#N/A</v>
      </c>
      <c r="BF28" s="100" t="e">
        <f ca="1">FLUID!BJ71</f>
        <v>#N/A</v>
      </c>
      <c r="BG28" s="100" t="e">
        <f ca="1">FLUID!BK71</f>
        <v>#N/A</v>
      </c>
      <c r="BH28" s="100" t="e">
        <f ca="1">FLUID!BL71</f>
        <v>#N/A</v>
      </c>
      <c r="BI28" s="100" t="e">
        <f ca="1">FLUID!BM71</f>
        <v>#N/A</v>
      </c>
      <c r="BJ28" s="100" t="e">
        <f ca="1">FLUID!BN71</f>
        <v>#N/A</v>
      </c>
      <c r="BK28" s="100" t="e">
        <f ca="1">FLUID!BO71</f>
        <v>#N/A</v>
      </c>
      <c r="BL28" s="100" t="e">
        <f ca="1">FLUID!BP71</f>
        <v>#N/A</v>
      </c>
      <c r="BM28" s="100" t="e">
        <f ca="1">FLUID!BQ71</f>
        <v>#N/A</v>
      </c>
      <c r="BN28" s="100" t="e">
        <f ca="1">FLUID!BR71</f>
        <v>#N/A</v>
      </c>
      <c r="BO28" s="100">
        <f>FLUID!BS71</f>
        <v>0</v>
      </c>
      <c r="BP28" s="100">
        <f>FLUID!BT71</f>
        <v>0</v>
      </c>
      <c r="BQ28" s="100">
        <f>FLUID!BU71</f>
        <v>0</v>
      </c>
      <c r="BR28" s="100">
        <f>FLUID!BV71</f>
        <v>0</v>
      </c>
      <c r="BS28" s="100">
        <f>FLUID!BW71</f>
        <v>0</v>
      </c>
      <c r="BT28" s="100">
        <f>FLUID!BX71</f>
        <v>0</v>
      </c>
    </row>
    <row r="29" spans="1:72" ht="22.5" hidden="1" customHeight="1" outlineLevel="1" thickBot="1" x14ac:dyDescent="0.4">
      <c r="A29" s="87">
        <f>FLUID!E72</f>
        <v>0</v>
      </c>
      <c r="B29" s="100" t="e">
        <f ca="1">FLUID!F72</f>
        <v>#N/A</v>
      </c>
      <c r="C29" s="100" t="e">
        <f ca="1">FLUID!G72</f>
        <v>#N/A</v>
      </c>
      <c r="D29" s="100" t="e">
        <f ca="1">FLUID!H72</f>
        <v>#N/A</v>
      </c>
      <c r="E29" s="100" t="e">
        <f ca="1">FLUID!I72</f>
        <v>#N/A</v>
      </c>
      <c r="F29" s="100" t="e">
        <f ca="1">FLUID!J72</f>
        <v>#N/A</v>
      </c>
      <c r="G29" s="100" t="e">
        <f ca="1">FLUID!K72</f>
        <v>#N/A</v>
      </c>
      <c r="H29" s="100" t="e">
        <f ca="1">FLUID!L72</f>
        <v>#N/A</v>
      </c>
      <c r="I29" s="100" t="e">
        <f ca="1">FLUID!M72</f>
        <v>#N/A</v>
      </c>
      <c r="J29" s="100" t="e">
        <f ca="1">FLUID!N72</f>
        <v>#N/A</v>
      </c>
      <c r="K29" s="100" t="e">
        <f ca="1">FLUID!O72</f>
        <v>#N/A</v>
      </c>
      <c r="L29" s="100" t="e">
        <f ca="1">FLUID!P72</f>
        <v>#N/A</v>
      </c>
      <c r="M29" s="100" t="e">
        <f ca="1">FLUID!Q72</f>
        <v>#N/A</v>
      </c>
      <c r="N29" s="100" t="e">
        <f ca="1">FLUID!R72</f>
        <v>#N/A</v>
      </c>
      <c r="O29" s="100" t="e">
        <f ca="1">FLUID!S72</f>
        <v>#N/A</v>
      </c>
      <c r="P29" s="100" t="e">
        <f ca="1">FLUID!T72</f>
        <v>#N/A</v>
      </c>
      <c r="Q29" s="100" t="e">
        <f ca="1">FLUID!U72</f>
        <v>#N/A</v>
      </c>
      <c r="R29" s="100" t="e">
        <f ca="1">FLUID!V72</f>
        <v>#N/A</v>
      </c>
      <c r="S29" s="100" t="e">
        <f ca="1">FLUID!W72</f>
        <v>#N/A</v>
      </c>
      <c r="T29" s="100" t="e">
        <f ca="1">FLUID!X72</f>
        <v>#N/A</v>
      </c>
      <c r="U29" s="100" t="e">
        <f ca="1">FLUID!Y72</f>
        <v>#N/A</v>
      </c>
      <c r="V29" s="100" t="e">
        <f ca="1">FLUID!Z72</f>
        <v>#N/A</v>
      </c>
      <c r="W29" s="100" t="e">
        <f ca="1">FLUID!AA72</f>
        <v>#N/A</v>
      </c>
      <c r="X29" s="100" t="e">
        <f ca="1">FLUID!AB72</f>
        <v>#N/A</v>
      </c>
      <c r="Y29" s="100" t="e">
        <f ca="1">FLUID!AC72</f>
        <v>#N/A</v>
      </c>
      <c r="Z29" s="100" t="e">
        <f ca="1">FLUID!AD72</f>
        <v>#N/A</v>
      </c>
      <c r="AA29" s="100" t="e">
        <f ca="1">FLUID!AE72</f>
        <v>#N/A</v>
      </c>
      <c r="AB29" s="100" t="e">
        <f ca="1">FLUID!AF72</f>
        <v>#N/A</v>
      </c>
      <c r="AC29" s="100" t="e">
        <f ca="1">FLUID!AG72</f>
        <v>#N/A</v>
      </c>
      <c r="AD29" s="100" t="e">
        <f ca="1">FLUID!AH72</f>
        <v>#N/A</v>
      </c>
      <c r="AE29" s="100" t="e">
        <f ca="1">FLUID!AI72</f>
        <v>#N/A</v>
      </c>
      <c r="AF29" s="100" t="e">
        <f ca="1">FLUID!AJ72</f>
        <v>#N/A</v>
      </c>
      <c r="AG29" s="100" t="e">
        <f ca="1">FLUID!AK72</f>
        <v>#N/A</v>
      </c>
      <c r="AH29" s="100" t="e">
        <f ca="1">FLUID!AL72</f>
        <v>#N/A</v>
      </c>
      <c r="AI29" s="100" t="e">
        <f ca="1">FLUID!AM72</f>
        <v>#N/A</v>
      </c>
      <c r="AJ29" s="100" t="e">
        <f ca="1">FLUID!AN72</f>
        <v>#N/A</v>
      </c>
      <c r="AK29" s="100" t="e">
        <f ca="1">FLUID!AO72</f>
        <v>#N/A</v>
      </c>
      <c r="AL29" s="100" t="e">
        <f ca="1">FLUID!AP72</f>
        <v>#N/A</v>
      </c>
      <c r="AM29" s="100" t="e">
        <f ca="1">FLUID!AQ72</f>
        <v>#N/A</v>
      </c>
      <c r="AN29" s="100" t="e">
        <f ca="1">FLUID!AR72</f>
        <v>#N/A</v>
      </c>
      <c r="AO29" s="100" t="e">
        <f ca="1">FLUID!AS72</f>
        <v>#N/A</v>
      </c>
      <c r="AP29" s="100" t="e">
        <f ca="1">FLUID!AT72</f>
        <v>#N/A</v>
      </c>
      <c r="AQ29" s="100" t="e">
        <f ca="1">FLUID!AU72</f>
        <v>#N/A</v>
      </c>
      <c r="AR29" s="100" t="e">
        <f ca="1">FLUID!AV72</f>
        <v>#N/A</v>
      </c>
      <c r="AS29" s="100" t="e">
        <f ca="1">FLUID!AW72</f>
        <v>#N/A</v>
      </c>
      <c r="AT29" s="100" t="e">
        <f ca="1">FLUID!AX72</f>
        <v>#N/A</v>
      </c>
      <c r="AU29" s="100" t="e">
        <f ca="1">FLUID!AY72</f>
        <v>#N/A</v>
      </c>
      <c r="AV29" s="100" t="e">
        <f ca="1">FLUID!AZ72</f>
        <v>#N/A</v>
      </c>
      <c r="AW29" s="100" t="e">
        <f ca="1">FLUID!BA72</f>
        <v>#N/A</v>
      </c>
      <c r="AX29" s="100" t="e">
        <f ca="1">FLUID!BB72</f>
        <v>#N/A</v>
      </c>
      <c r="AY29" s="100" t="e">
        <f ca="1">FLUID!BC72</f>
        <v>#N/A</v>
      </c>
      <c r="AZ29" s="100" t="e">
        <f ca="1">FLUID!BD72</f>
        <v>#N/A</v>
      </c>
      <c r="BA29" s="100" t="e">
        <f ca="1">FLUID!BE72</f>
        <v>#N/A</v>
      </c>
      <c r="BB29" s="100" t="e">
        <f ca="1">FLUID!BF72</f>
        <v>#N/A</v>
      </c>
      <c r="BC29" s="100" t="e">
        <f ca="1">FLUID!BG72</f>
        <v>#N/A</v>
      </c>
      <c r="BD29" s="100" t="e">
        <f ca="1">FLUID!BH72</f>
        <v>#N/A</v>
      </c>
      <c r="BE29" s="100" t="e">
        <f ca="1">FLUID!BI72</f>
        <v>#N/A</v>
      </c>
      <c r="BF29" s="100" t="e">
        <f ca="1">FLUID!BJ72</f>
        <v>#N/A</v>
      </c>
      <c r="BG29" s="100" t="e">
        <f ca="1">FLUID!BK72</f>
        <v>#N/A</v>
      </c>
      <c r="BH29" s="100" t="e">
        <f ca="1">FLUID!BL72</f>
        <v>#N/A</v>
      </c>
      <c r="BI29" s="100" t="e">
        <f ca="1">FLUID!BM72</f>
        <v>#N/A</v>
      </c>
      <c r="BJ29" s="100" t="e">
        <f ca="1">FLUID!BN72</f>
        <v>#N/A</v>
      </c>
      <c r="BK29" s="100" t="e">
        <f ca="1">FLUID!BO72</f>
        <v>#N/A</v>
      </c>
      <c r="BL29" s="100" t="e">
        <f ca="1">FLUID!BP72</f>
        <v>#N/A</v>
      </c>
      <c r="BM29" s="100" t="e">
        <f ca="1">FLUID!BQ72</f>
        <v>#N/A</v>
      </c>
      <c r="BN29" s="100" t="e">
        <f ca="1">FLUID!BR72</f>
        <v>#N/A</v>
      </c>
      <c r="BO29" s="100">
        <f>FLUID!BS72</f>
        <v>0</v>
      </c>
      <c r="BP29" s="100">
        <f>FLUID!BT72</f>
        <v>0</v>
      </c>
      <c r="BQ29" s="100">
        <f>FLUID!BU72</f>
        <v>0</v>
      </c>
      <c r="BR29" s="100">
        <f>FLUID!BV72</f>
        <v>0</v>
      </c>
      <c r="BS29" s="100">
        <f>FLUID!BW72</f>
        <v>0</v>
      </c>
      <c r="BT29" s="100">
        <f>FLUID!BX72</f>
        <v>0</v>
      </c>
    </row>
    <row r="30" spans="1:72" ht="22.5" hidden="1" customHeight="1" outlineLevel="1" thickBot="1" x14ac:dyDescent="0.4">
      <c r="A30" s="87">
        <f>FLUID!E73</f>
        <v>0</v>
      </c>
      <c r="B30" s="100" t="e">
        <f ca="1">FLUID!F73</f>
        <v>#N/A</v>
      </c>
      <c r="C30" s="100" t="e">
        <f ca="1">FLUID!G73</f>
        <v>#N/A</v>
      </c>
      <c r="D30" s="100" t="e">
        <f ca="1">FLUID!H73</f>
        <v>#N/A</v>
      </c>
      <c r="E30" s="100" t="e">
        <f ca="1">FLUID!I73</f>
        <v>#N/A</v>
      </c>
      <c r="F30" s="100" t="e">
        <f ca="1">FLUID!J73</f>
        <v>#N/A</v>
      </c>
      <c r="G30" s="100" t="e">
        <f ca="1">FLUID!K73</f>
        <v>#N/A</v>
      </c>
      <c r="H30" s="100" t="e">
        <f ca="1">FLUID!L73</f>
        <v>#N/A</v>
      </c>
      <c r="I30" s="100" t="e">
        <f ca="1">FLUID!M73</f>
        <v>#N/A</v>
      </c>
      <c r="J30" s="100" t="e">
        <f ca="1">FLUID!N73</f>
        <v>#N/A</v>
      </c>
      <c r="K30" s="100" t="e">
        <f ca="1">FLUID!O73</f>
        <v>#N/A</v>
      </c>
      <c r="L30" s="100" t="e">
        <f ca="1">FLUID!P73</f>
        <v>#N/A</v>
      </c>
      <c r="M30" s="100" t="e">
        <f ca="1">FLUID!Q73</f>
        <v>#N/A</v>
      </c>
      <c r="N30" s="100" t="e">
        <f ca="1">FLUID!R73</f>
        <v>#N/A</v>
      </c>
      <c r="O30" s="100" t="e">
        <f ca="1">FLUID!S73</f>
        <v>#N/A</v>
      </c>
      <c r="P30" s="100" t="e">
        <f ca="1">FLUID!T73</f>
        <v>#N/A</v>
      </c>
      <c r="Q30" s="100" t="e">
        <f ca="1">FLUID!U73</f>
        <v>#N/A</v>
      </c>
      <c r="R30" s="100" t="e">
        <f ca="1">FLUID!V73</f>
        <v>#N/A</v>
      </c>
      <c r="S30" s="100" t="e">
        <f ca="1">FLUID!W73</f>
        <v>#N/A</v>
      </c>
      <c r="T30" s="100" t="e">
        <f ca="1">FLUID!X73</f>
        <v>#N/A</v>
      </c>
      <c r="U30" s="100" t="e">
        <f ca="1">FLUID!Y73</f>
        <v>#N/A</v>
      </c>
      <c r="V30" s="100" t="e">
        <f ca="1">FLUID!Z73</f>
        <v>#N/A</v>
      </c>
      <c r="W30" s="100" t="e">
        <f ca="1">FLUID!AA73</f>
        <v>#N/A</v>
      </c>
      <c r="X30" s="100" t="e">
        <f ca="1">FLUID!AB73</f>
        <v>#N/A</v>
      </c>
      <c r="Y30" s="100" t="e">
        <f ca="1">FLUID!AC73</f>
        <v>#N/A</v>
      </c>
      <c r="Z30" s="100" t="e">
        <f ca="1">FLUID!AD73</f>
        <v>#N/A</v>
      </c>
      <c r="AA30" s="100" t="e">
        <f ca="1">FLUID!AE73</f>
        <v>#N/A</v>
      </c>
      <c r="AB30" s="100" t="e">
        <f ca="1">FLUID!AF73</f>
        <v>#N/A</v>
      </c>
      <c r="AC30" s="100" t="e">
        <f ca="1">FLUID!AG73</f>
        <v>#N/A</v>
      </c>
      <c r="AD30" s="100" t="e">
        <f ca="1">FLUID!AH73</f>
        <v>#N/A</v>
      </c>
      <c r="AE30" s="100" t="e">
        <f ca="1">FLUID!AI73</f>
        <v>#N/A</v>
      </c>
      <c r="AF30" s="100" t="e">
        <f ca="1">FLUID!AJ73</f>
        <v>#N/A</v>
      </c>
      <c r="AG30" s="100" t="e">
        <f ca="1">FLUID!AK73</f>
        <v>#N/A</v>
      </c>
      <c r="AH30" s="100" t="e">
        <f ca="1">FLUID!AL73</f>
        <v>#N/A</v>
      </c>
      <c r="AI30" s="100" t="e">
        <f ca="1">FLUID!AM73</f>
        <v>#N/A</v>
      </c>
      <c r="AJ30" s="100" t="e">
        <f ca="1">FLUID!AN73</f>
        <v>#N/A</v>
      </c>
      <c r="AK30" s="100" t="e">
        <f ca="1">FLUID!AO73</f>
        <v>#N/A</v>
      </c>
      <c r="AL30" s="100" t="e">
        <f ca="1">FLUID!AP73</f>
        <v>#N/A</v>
      </c>
      <c r="AM30" s="100" t="e">
        <f ca="1">FLUID!AQ73</f>
        <v>#N/A</v>
      </c>
      <c r="AN30" s="100" t="e">
        <f ca="1">FLUID!AR73</f>
        <v>#N/A</v>
      </c>
      <c r="AO30" s="100" t="e">
        <f ca="1">FLUID!AS73</f>
        <v>#N/A</v>
      </c>
      <c r="AP30" s="100" t="e">
        <f ca="1">FLUID!AT73</f>
        <v>#N/A</v>
      </c>
      <c r="AQ30" s="100" t="e">
        <f ca="1">FLUID!AU73</f>
        <v>#N/A</v>
      </c>
      <c r="AR30" s="100" t="e">
        <f ca="1">FLUID!AV73</f>
        <v>#N/A</v>
      </c>
      <c r="AS30" s="100" t="e">
        <f ca="1">FLUID!AW73</f>
        <v>#N/A</v>
      </c>
      <c r="AT30" s="100" t="e">
        <f ca="1">FLUID!AX73</f>
        <v>#N/A</v>
      </c>
      <c r="AU30" s="100" t="e">
        <f ca="1">FLUID!AY73</f>
        <v>#N/A</v>
      </c>
      <c r="AV30" s="100" t="e">
        <f ca="1">FLUID!AZ73</f>
        <v>#N/A</v>
      </c>
      <c r="AW30" s="100" t="e">
        <f ca="1">FLUID!BA73</f>
        <v>#N/A</v>
      </c>
      <c r="AX30" s="100" t="e">
        <f ca="1">FLUID!BB73</f>
        <v>#N/A</v>
      </c>
      <c r="AY30" s="100" t="e">
        <f ca="1">FLUID!BC73</f>
        <v>#N/A</v>
      </c>
      <c r="AZ30" s="100" t="e">
        <f ca="1">FLUID!BD73</f>
        <v>#N/A</v>
      </c>
      <c r="BA30" s="100" t="e">
        <f ca="1">FLUID!BE73</f>
        <v>#N/A</v>
      </c>
      <c r="BB30" s="100" t="e">
        <f ca="1">FLUID!BF73</f>
        <v>#N/A</v>
      </c>
      <c r="BC30" s="100" t="e">
        <f ca="1">FLUID!BG73</f>
        <v>#N/A</v>
      </c>
      <c r="BD30" s="100" t="e">
        <f ca="1">FLUID!BH73</f>
        <v>#N/A</v>
      </c>
      <c r="BE30" s="100" t="e">
        <f ca="1">FLUID!BI73</f>
        <v>#N/A</v>
      </c>
      <c r="BF30" s="100" t="e">
        <f ca="1">FLUID!BJ73</f>
        <v>#N/A</v>
      </c>
      <c r="BG30" s="100" t="e">
        <f ca="1">FLUID!BK73</f>
        <v>#N/A</v>
      </c>
      <c r="BH30" s="100" t="e">
        <f ca="1">FLUID!BL73</f>
        <v>#N/A</v>
      </c>
      <c r="BI30" s="100" t="e">
        <f ca="1">FLUID!BM73</f>
        <v>#N/A</v>
      </c>
      <c r="BJ30" s="100" t="e">
        <f ca="1">FLUID!BN73</f>
        <v>#N/A</v>
      </c>
      <c r="BK30" s="100" t="e">
        <f ca="1">FLUID!BO73</f>
        <v>#N/A</v>
      </c>
      <c r="BL30" s="100" t="e">
        <f ca="1">FLUID!BP73</f>
        <v>#N/A</v>
      </c>
      <c r="BM30" s="100" t="e">
        <f ca="1">FLUID!BQ73</f>
        <v>#N/A</v>
      </c>
      <c r="BN30" s="100" t="e">
        <f ca="1">FLUID!BR73</f>
        <v>#N/A</v>
      </c>
      <c r="BO30" s="100">
        <f>FLUID!BS73</f>
        <v>0</v>
      </c>
      <c r="BP30" s="100">
        <f>FLUID!BT73</f>
        <v>0</v>
      </c>
      <c r="BQ30" s="100">
        <f>FLUID!BU73</f>
        <v>0</v>
      </c>
      <c r="BR30" s="100">
        <f>FLUID!BV73</f>
        <v>0</v>
      </c>
      <c r="BS30" s="100">
        <f>FLUID!BW73</f>
        <v>0</v>
      </c>
      <c r="BT30" s="100">
        <f>FLUID!BX73</f>
        <v>0</v>
      </c>
    </row>
    <row r="31" spans="1:72" ht="22.5" hidden="1" customHeight="1" outlineLevel="1" thickBot="1" x14ac:dyDescent="0.4">
      <c r="A31" s="87">
        <f>FLUID!E74</f>
        <v>0</v>
      </c>
      <c r="B31" s="100" t="e">
        <f ca="1">FLUID!F74</f>
        <v>#N/A</v>
      </c>
      <c r="C31" s="100" t="e">
        <f ca="1">FLUID!G74</f>
        <v>#N/A</v>
      </c>
      <c r="D31" s="100" t="e">
        <f ca="1">FLUID!H74</f>
        <v>#N/A</v>
      </c>
      <c r="E31" s="100" t="e">
        <f ca="1">FLUID!I74</f>
        <v>#N/A</v>
      </c>
      <c r="F31" s="100" t="e">
        <f ca="1">FLUID!J74</f>
        <v>#N/A</v>
      </c>
      <c r="G31" s="100" t="e">
        <f ca="1">FLUID!K74</f>
        <v>#N/A</v>
      </c>
      <c r="H31" s="100" t="e">
        <f ca="1">FLUID!L74</f>
        <v>#N/A</v>
      </c>
      <c r="I31" s="100" t="e">
        <f ca="1">FLUID!M74</f>
        <v>#N/A</v>
      </c>
      <c r="J31" s="100" t="e">
        <f ca="1">FLUID!N74</f>
        <v>#N/A</v>
      </c>
      <c r="K31" s="100" t="e">
        <f ca="1">FLUID!O74</f>
        <v>#N/A</v>
      </c>
      <c r="L31" s="100" t="e">
        <f ca="1">FLUID!P74</f>
        <v>#N/A</v>
      </c>
      <c r="M31" s="100" t="e">
        <f ca="1">FLUID!Q74</f>
        <v>#N/A</v>
      </c>
      <c r="N31" s="100" t="e">
        <f ca="1">FLUID!R74</f>
        <v>#N/A</v>
      </c>
      <c r="O31" s="100" t="e">
        <f ca="1">FLUID!S74</f>
        <v>#N/A</v>
      </c>
      <c r="P31" s="100" t="e">
        <f ca="1">FLUID!T74</f>
        <v>#N/A</v>
      </c>
      <c r="Q31" s="100" t="e">
        <f ca="1">FLUID!U74</f>
        <v>#N/A</v>
      </c>
      <c r="R31" s="100" t="e">
        <f ca="1">FLUID!V74</f>
        <v>#N/A</v>
      </c>
      <c r="S31" s="100" t="e">
        <f ca="1">FLUID!W74</f>
        <v>#N/A</v>
      </c>
      <c r="T31" s="100" t="e">
        <f ca="1">FLUID!X74</f>
        <v>#N/A</v>
      </c>
      <c r="U31" s="100" t="e">
        <f ca="1">FLUID!Y74</f>
        <v>#N/A</v>
      </c>
      <c r="V31" s="100" t="e">
        <f ca="1">FLUID!Z74</f>
        <v>#N/A</v>
      </c>
      <c r="W31" s="100" t="e">
        <f ca="1">FLUID!AA74</f>
        <v>#N/A</v>
      </c>
      <c r="X31" s="100" t="e">
        <f ca="1">FLUID!AB74</f>
        <v>#N/A</v>
      </c>
      <c r="Y31" s="100" t="e">
        <f ca="1">FLUID!AC74</f>
        <v>#N/A</v>
      </c>
      <c r="Z31" s="100" t="e">
        <f ca="1">FLUID!AD74</f>
        <v>#N/A</v>
      </c>
      <c r="AA31" s="100" t="e">
        <f ca="1">FLUID!AE74</f>
        <v>#N/A</v>
      </c>
      <c r="AB31" s="100" t="e">
        <f ca="1">FLUID!AF74</f>
        <v>#N/A</v>
      </c>
      <c r="AC31" s="100" t="e">
        <f ca="1">FLUID!AG74</f>
        <v>#N/A</v>
      </c>
      <c r="AD31" s="100" t="e">
        <f ca="1">FLUID!AH74</f>
        <v>#N/A</v>
      </c>
      <c r="AE31" s="100" t="e">
        <f ca="1">FLUID!AI74</f>
        <v>#N/A</v>
      </c>
      <c r="AF31" s="100" t="e">
        <f ca="1">FLUID!AJ74</f>
        <v>#N/A</v>
      </c>
      <c r="AG31" s="100" t="e">
        <f ca="1">FLUID!AK74</f>
        <v>#N/A</v>
      </c>
      <c r="AH31" s="100" t="e">
        <f ca="1">FLUID!AL74</f>
        <v>#N/A</v>
      </c>
      <c r="AI31" s="100" t="e">
        <f ca="1">FLUID!AM74</f>
        <v>#N/A</v>
      </c>
      <c r="AJ31" s="100" t="e">
        <f ca="1">FLUID!AN74</f>
        <v>#N/A</v>
      </c>
      <c r="AK31" s="100" t="e">
        <f ca="1">FLUID!AO74</f>
        <v>#N/A</v>
      </c>
      <c r="AL31" s="100" t="e">
        <f ca="1">FLUID!AP74</f>
        <v>#N/A</v>
      </c>
      <c r="AM31" s="100" t="e">
        <f ca="1">FLUID!AQ74</f>
        <v>#N/A</v>
      </c>
      <c r="AN31" s="100" t="e">
        <f ca="1">FLUID!AR74</f>
        <v>#N/A</v>
      </c>
      <c r="AO31" s="100" t="e">
        <f ca="1">FLUID!AS74</f>
        <v>#N/A</v>
      </c>
      <c r="AP31" s="100" t="e">
        <f ca="1">FLUID!AT74</f>
        <v>#N/A</v>
      </c>
      <c r="AQ31" s="100" t="e">
        <f ca="1">FLUID!AU74</f>
        <v>#N/A</v>
      </c>
      <c r="AR31" s="100" t="e">
        <f ca="1">FLUID!AV74</f>
        <v>#N/A</v>
      </c>
      <c r="AS31" s="100" t="e">
        <f ca="1">FLUID!AW74</f>
        <v>#N/A</v>
      </c>
      <c r="AT31" s="100" t="e">
        <f ca="1">FLUID!AX74</f>
        <v>#N/A</v>
      </c>
      <c r="AU31" s="100" t="e">
        <f ca="1">FLUID!AY74</f>
        <v>#N/A</v>
      </c>
      <c r="AV31" s="100" t="e">
        <f ca="1">FLUID!AZ74</f>
        <v>#N/A</v>
      </c>
      <c r="AW31" s="100" t="e">
        <f ca="1">FLUID!BA74</f>
        <v>#N/A</v>
      </c>
      <c r="AX31" s="100" t="e">
        <f ca="1">FLUID!BB74</f>
        <v>#N/A</v>
      </c>
      <c r="AY31" s="100" t="e">
        <f ca="1">FLUID!BC74</f>
        <v>#N/A</v>
      </c>
      <c r="AZ31" s="100" t="e">
        <f ca="1">FLUID!BD74</f>
        <v>#N/A</v>
      </c>
      <c r="BA31" s="100" t="e">
        <f ca="1">FLUID!BE74</f>
        <v>#N/A</v>
      </c>
      <c r="BB31" s="100" t="e">
        <f ca="1">FLUID!BF74</f>
        <v>#N/A</v>
      </c>
      <c r="BC31" s="100" t="e">
        <f ca="1">FLUID!BG74</f>
        <v>#N/A</v>
      </c>
      <c r="BD31" s="100" t="e">
        <f ca="1">FLUID!BH74</f>
        <v>#N/A</v>
      </c>
      <c r="BE31" s="100" t="e">
        <f ca="1">FLUID!BI74</f>
        <v>#N/A</v>
      </c>
      <c r="BF31" s="100" t="e">
        <f ca="1">FLUID!BJ74</f>
        <v>#N/A</v>
      </c>
      <c r="BG31" s="100" t="e">
        <f ca="1">FLUID!BK74</f>
        <v>#N/A</v>
      </c>
      <c r="BH31" s="100" t="e">
        <f ca="1">FLUID!BL74</f>
        <v>#N/A</v>
      </c>
      <c r="BI31" s="100" t="e">
        <f ca="1">FLUID!BM74</f>
        <v>#N/A</v>
      </c>
      <c r="BJ31" s="100" t="e">
        <f ca="1">FLUID!BN74</f>
        <v>#N/A</v>
      </c>
      <c r="BK31" s="100" t="e">
        <f ca="1">FLUID!BO74</f>
        <v>#N/A</v>
      </c>
      <c r="BL31" s="100" t="e">
        <f ca="1">FLUID!BP74</f>
        <v>#N/A</v>
      </c>
      <c r="BM31" s="100" t="e">
        <f ca="1">FLUID!BQ74</f>
        <v>#N/A</v>
      </c>
      <c r="BN31" s="100" t="e">
        <f ca="1">FLUID!BR74</f>
        <v>#N/A</v>
      </c>
      <c r="BO31" s="100">
        <f>FLUID!BS74</f>
        <v>0</v>
      </c>
      <c r="BP31" s="100">
        <f>FLUID!BT74</f>
        <v>0</v>
      </c>
      <c r="BQ31" s="100">
        <f>FLUID!BU74</f>
        <v>0</v>
      </c>
      <c r="BR31" s="100">
        <f>FLUID!BV74</f>
        <v>0</v>
      </c>
      <c r="BS31" s="100">
        <f>FLUID!BW74</f>
        <v>0</v>
      </c>
      <c r="BT31" s="100">
        <f>FLUID!BX74</f>
        <v>0</v>
      </c>
    </row>
    <row r="32" spans="1:72" ht="22.5" hidden="1" customHeight="1" outlineLevel="1" thickBot="1" x14ac:dyDescent="0.4">
      <c r="A32" s="87">
        <f>FLUID!E75</f>
        <v>1</v>
      </c>
      <c r="B32" s="100">
        <f>FLUID!F75</f>
        <v>0</v>
      </c>
      <c r="C32" s="100">
        <f>FLUID!G75</f>
        <v>0</v>
      </c>
      <c r="D32" s="100">
        <f>FLUID!H75</f>
        <v>0</v>
      </c>
      <c r="E32" s="100">
        <f>FLUID!I75</f>
        <v>0</v>
      </c>
      <c r="F32" s="100">
        <f>FLUID!J75</f>
        <v>0</v>
      </c>
      <c r="G32" s="100">
        <f>FLUID!K75</f>
        <v>0</v>
      </c>
      <c r="H32" s="100">
        <f>FLUID!L75</f>
        <v>0</v>
      </c>
      <c r="I32" s="100">
        <f>FLUID!M75</f>
        <v>0</v>
      </c>
      <c r="J32" s="100">
        <f>FLUID!N75</f>
        <v>0</v>
      </c>
      <c r="K32" s="100">
        <f>FLUID!O75</f>
        <v>0</v>
      </c>
      <c r="L32" s="100">
        <f>FLUID!P75</f>
        <v>0</v>
      </c>
      <c r="M32" s="100">
        <f>FLUID!Q75</f>
        <v>0</v>
      </c>
      <c r="N32" s="100">
        <f>FLUID!R75</f>
        <v>0</v>
      </c>
      <c r="O32" s="100">
        <f>FLUID!S75</f>
        <v>0</v>
      </c>
      <c r="P32" s="100">
        <f>FLUID!T75</f>
        <v>0</v>
      </c>
      <c r="Q32" s="100">
        <f>FLUID!U75</f>
        <v>0</v>
      </c>
      <c r="R32" s="100">
        <f>FLUID!V75</f>
        <v>0</v>
      </c>
      <c r="S32" s="100">
        <f>FLUID!W75</f>
        <v>0</v>
      </c>
      <c r="T32" s="100">
        <f>FLUID!X75</f>
        <v>0</v>
      </c>
      <c r="U32" s="100">
        <f>FLUID!Y75</f>
        <v>0</v>
      </c>
      <c r="V32" s="100">
        <f>FLUID!Z75</f>
        <v>0</v>
      </c>
      <c r="W32" s="100">
        <f>FLUID!AA75</f>
        <v>0</v>
      </c>
      <c r="X32" s="100">
        <f>FLUID!AB75</f>
        <v>0</v>
      </c>
      <c r="Y32" s="100">
        <f>FLUID!AC75</f>
        <v>0</v>
      </c>
      <c r="Z32" s="100">
        <f>FLUID!AD75</f>
        <v>0</v>
      </c>
      <c r="AA32" s="100">
        <f>FLUID!AE75</f>
        <v>0</v>
      </c>
      <c r="AB32" s="100">
        <f>FLUID!AF75</f>
        <v>0</v>
      </c>
      <c r="AC32" s="100">
        <f>FLUID!AG75</f>
        <v>0</v>
      </c>
      <c r="AD32" s="100">
        <f>FLUID!AH75</f>
        <v>0</v>
      </c>
      <c r="AE32" s="100">
        <f>FLUID!AI75</f>
        <v>0</v>
      </c>
      <c r="AF32" s="100">
        <f>FLUID!AJ75</f>
        <v>0</v>
      </c>
      <c r="AG32" s="100">
        <f>FLUID!AK75</f>
        <v>0</v>
      </c>
      <c r="AH32" s="100">
        <f>FLUID!AL75</f>
        <v>0</v>
      </c>
      <c r="AI32" s="100">
        <f>FLUID!AM75</f>
        <v>0</v>
      </c>
      <c r="AJ32" s="100">
        <f>FLUID!AN75</f>
        <v>0</v>
      </c>
      <c r="AK32" s="100">
        <f>FLUID!AO75</f>
        <v>0</v>
      </c>
      <c r="AL32" s="100">
        <f>FLUID!AP75</f>
        <v>0</v>
      </c>
      <c r="AM32" s="100">
        <f>FLUID!AQ75</f>
        <v>0</v>
      </c>
      <c r="AN32" s="100">
        <f>FLUID!AR75</f>
        <v>0</v>
      </c>
      <c r="AO32" s="100">
        <f>FLUID!AS75</f>
        <v>0</v>
      </c>
      <c r="AP32" s="100">
        <f>FLUID!AT75</f>
        <v>0</v>
      </c>
      <c r="AQ32" s="100">
        <f>FLUID!AU75</f>
        <v>0</v>
      </c>
      <c r="AR32" s="100">
        <f>FLUID!AV75</f>
        <v>0</v>
      </c>
      <c r="AS32" s="100">
        <f>FLUID!AW75</f>
        <v>0</v>
      </c>
      <c r="AT32" s="100">
        <f>FLUID!AX75</f>
        <v>0</v>
      </c>
      <c r="AU32" s="100">
        <f>FLUID!AY75</f>
        <v>0</v>
      </c>
      <c r="AV32" s="100">
        <f>FLUID!AZ75</f>
        <v>0</v>
      </c>
      <c r="AW32" s="100">
        <f>FLUID!BA75</f>
        <v>0</v>
      </c>
      <c r="AX32" s="100">
        <f>FLUID!BB75</f>
        <v>0</v>
      </c>
      <c r="AY32" s="100">
        <f>FLUID!BC75</f>
        <v>0</v>
      </c>
      <c r="AZ32" s="100">
        <f>FLUID!BD75</f>
        <v>0</v>
      </c>
      <c r="BA32" s="100">
        <f>FLUID!BE75</f>
        <v>0</v>
      </c>
      <c r="BB32" s="100">
        <f>FLUID!BF75</f>
        <v>0</v>
      </c>
      <c r="BC32" s="100">
        <f>FLUID!BG75</f>
        <v>0</v>
      </c>
      <c r="BD32" s="100">
        <f>FLUID!BH75</f>
        <v>0</v>
      </c>
      <c r="BE32" s="100">
        <f>FLUID!BI75</f>
        <v>0</v>
      </c>
      <c r="BF32" s="100">
        <f>FLUID!BJ75</f>
        <v>0</v>
      </c>
      <c r="BG32" s="100">
        <f>FLUID!BK75</f>
        <v>0</v>
      </c>
      <c r="BH32" s="100">
        <f>FLUID!BL75</f>
        <v>0</v>
      </c>
      <c r="BI32" s="100">
        <f>FLUID!BM75</f>
        <v>0</v>
      </c>
      <c r="BJ32" s="100">
        <f>FLUID!BN75</f>
        <v>0</v>
      </c>
      <c r="BK32" s="100">
        <f>FLUID!BO75</f>
        <v>0</v>
      </c>
      <c r="BL32" s="100">
        <f>FLUID!BP75</f>
        <v>0</v>
      </c>
      <c r="BM32" s="100">
        <f>FLUID!BQ75</f>
        <v>0</v>
      </c>
      <c r="BN32" s="100">
        <f>FLUID!BR75</f>
        <v>0</v>
      </c>
      <c r="BO32" s="100">
        <f>FLUID!BS75</f>
        <v>0</v>
      </c>
      <c r="BP32" s="100">
        <f>FLUID!BT75</f>
        <v>0</v>
      </c>
      <c r="BQ32" s="100">
        <f>FLUID!BU75</f>
        <v>0</v>
      </c>
      <c r="BR32" s="100">
        <f>FLUID!BV75</f>
        <v>0</v>
      </c>
      <c r="BS32" s="100">
        <f>FLUID!BW75</f>
        <v>0</v>
      </c>
      <c r="BT32" s="100">
        <f>FLUID!BX75</f>
        <v>0</v>
      </c>
    </row>
    <row r="33" spans="1:72" ht="22.5" collapsed="1" thickTop="1" thickBot="1" x14ac:dyDescent="0.4">
      <c r="A33" s="35"/>
      <c r="B33" s="101"/>
      <c r="C33" s="101"/>
      <c r="D33" s="101"/>
      <c r="E33" s="101"/>
      <c r="F33" s="101">
        <f ca="1">IFERROR(AI35,0)</f>
        <v>0</v>
      </c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  <c r="BR33" s="101"/>
      <c r="BS33" s="101"/>
      <c r="BT33" s="101"/>
    </row>
    <row r="34" spans="1:72" ht="22.5" thickTop="1" thickBot="1" x14ac:dyDescent="0.4">
      <c r="A34" s="4" t="s">
        <v>28</v>
      </c>
      <c r="B34" s="4">
        <f>IFERROR(SOLID!F45,0)</f>
        <v>0</v>
      </c>
      <c r="C34" s="4">
        <f>IFERROR(SOLID!G45,0)</f>
        <v>0</v>
      </c>
      <c r="D34" s="4">
        <f>IFERROR(SOLID!H45,0)</f>
        <v>0</v>
      </c>
      <c r="E34" s="4">
        <f>IFERROR(SOLID!I45,0)</f>
        <v>0</v>
      </c>
      <c r="F34" s="4">
        <f>IFERROR(SOLID!J45,0)</f>
        <v>0</v>
      </c>
      <c r="G34" s="4">
        <f>IFERROR(SOLID!K45,0)</f>
        <v>0</v>
      </c>
      <c r="H34" s="4">
        <f>IFERROR(SOLID!L45,0)</f>
        <v>0</v>
      </c>
      <c r="I34" s="4">
        <f>IFERROR(SOLID!M45,0)</f>
        <v>0</v>
      </c>
      <c r="J34" s="4">
        <f>IFERROR(SOLID!N45,0)</f>
        <v>0</v>
      </c>
      <c r="K34" s="4">
        <f>IFERROR(SOLID!O45,0)</f>
        <v>0</v>
      </c>
      <c r="L34" s="4">
        <f>IFERROR(SOLID!P45,0)</f>
        <v>0</v>
      </c>
      <c r="M34" s="4">
        <f>IFERROR(SOLID!Q45,0)</f>
        <v>0</v>
      </c>
      <c r="N34" s="4">
        <f>IFERROR(SOLID!R45,0)</f>
        <v>0</v>
      </c>
      <c r="O34" s="4">
        <f>IFERROR(SOLID!S45,0)</f>
        <v>0</v>
      </c>
      <c r="P34" s="4">
        <f>IFERROR(SOLID!T45,0)</f>
        <v>0</v>
      </c>
      <c r="Q34" s="4">
        <f>IFERROR(SOLID!U45,0)</f>
        <v>0</v>
      </c>
      <c r="R34" s="4">
        <f>IFERROR(SOLID!V45,0)</f>
        <v>0</v>
      </c>
      <c r="S34" s="4">
        <f>IFERROR(SOLID!W45,0)</f>
        <v>0</v>
      </c>
      <c r="T34" s="4">
        <f>IFERROR(SOLID!X45,0)</f>
        <v>0</v>
      </c>
      <c r="U34" s="4">
        <f>IFERROR(SOLID!Y45,0)</f>
        <v>0</v>
      </c>
      <c r="V34" s="4">
        <f>IFERROR(SOLID!Z45,0)</f>
        <v>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>
        <f>IFERROR(SOLID!E46,0)</f>
        <v>0</v>
      </c>
      <c r="B35" s="16">
        <f ca="1">IFERROR(SOLID!F46,0)</f>
        <v>0</v>
      </c>
      <c r="C35" s="16">
        <f ca="1">IFERROR(SOLID!G46,0)</f>
        <v>0</v>
      </c>
      <c r="D35" s="16">
        <f ca="1">IFERROR(SOLID!H46,0)</f>
        <v>0</v>
      </c>
      <c r="E35" s="16">
        <f ca="1">IFERROR(SOLID!I46,0)</f>
        <v>0</v>
      </c>
      <c r="F35" s="16">
        <f ca="1">IFERROR(SOLID!J46,0)</f>
        <v>0</v>
      </c>
      <c r="G35" s="16">
        <f ca="1">IFERROR(SOLID!K46,0)</f>
        <v>0</v>
      </c>
      <c r="H35" s="16">
        <f ca="1">IFERROR(SOLID!L46,0)</f>
        <v>0</v>
      </c>
      <c r="I35" s="16">
        <f ca="1">IFERROR(SOLID!M46,0)</f>
        <v>0</v>
      </c>
      <c r="J35" s="16">
        <f ca="1">IFERROR(SOLID!N46,0)</f>
        <v>0</v>
      </c>
      <c r="K35" s="16">
        <f ca="1">IFERROR(SOLID!O46,0)</f>
        <v>0</v>
      </c>
      <c r="L35" s="16">
        <f ca="1">IFERROR(SOLID!P46,0)</f>
        <v>0</v>
      </c>
      <c r="M35" s="16">
        <f ca="1">IFERROR(SOLID!Q46,0)</f>
        <v>0</v>
      </c>
      <c r="N35" s="16">
        <f ca="1">IFERROR(SOLID!R46,0)</f>
        <v>0</v>
      </c>
      <c r="O35" s="16">
        <f ca="1">IFERROR(SOLID!S46,0)</f>
        <v>0</v>
      </c>
      <c r="P35" s="16">
        <f ca="1">IFERROR(SOLID!T46,0)</f>
        <v>0</v>
      </c>
      <c r="Q35" s="16">
        <f ca="1">IFERROR(SOLID!U46,0)</f>
        <v>0</v>
      </c>
      <c r="R35" s="16">
        <f ca="1">IFERROR(SOLID!V46,0)</f>
        <v>0</v>
      </c>
      <c r="S35" s="16">
        <f ca="1">IFERROR(SOLID!W46,0)</f>
        <v>0</v>
      </c>
      <c r="T35" s="16">
        <f ca="1">IFERROR(SOLID!X46,0)</f>
        <v>0</v>
      </c>
      <c r="U35" s="16">
        <f ca="1">IFERROR(SOLID!Y46,0)</f>
        <v>0</v>
      </c>
      <c r="V35" s="16">
        <f ca="1">IFERROR(SOLID!Z46,0)</f>
        <v>0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>
        <f>IFERROR(SOLID!E47,0)</f>
        <v>0</v>
      </c>
      <c r="B36" s="16">
        <f ca="1">IFERROR(SOLID!F47,0)</f>
        <v>0</v>
      </c>
      <c r="C36" s="16">
        <f ca="1">IFERROR(SOLID!G47,0)</f>
        <v>0</v>
      </c>
      <c r="D36" s="16">
        <f ca="1">IFERROR(SOLID!H47,0)</f>
        <v>0</v>
      </c>
      <c r="E36" s="16">
        <f ca="1">IFERROR(SOLID!I47,0)</f>
        <v>0</v>
      </c>
      <c r="F36" s="16">
        <f ca="1">IFERROR(SOLID!J47,0)</f>
        <v>0</v>
      </c>
      <c r="G36" s="16">
        <f ca="1">IFERROR(SOLID!K47,0)</f>
        <v>0</v>
      </c>
      <c r="H36" s="16">
        <f ca="1">IFERROR(SOLID!L47,0)</f>
        <v>0</v>
      </c>
      <c r="I36" s="16">
        <f ca="1">IFERROR(SOLID!M47,0)</f>
        <v>0</v>
      </c>
      <c r="J36" s="16">
        <f ca="1">IFERROR(SOLID!N47,0)</f>
        <v>0</v>
      </c>
      <c r="K36" s="16">
        <f ca="1">IFERROR(SOLID!O47,0)</f>
        <v>0</v>
      </c>
      <c r="L36" s="16">
        <f ca="1">IFERROR(SOLID!P47,0)</f>
        <v>0</v>
      </c>
      <c r="M36" s="16">
        <f ca="1">IFERROR(SOLID!Q47,0)</f>
        <v>0</v>
      </c>
      <c r="N36" s="16">
        <f ca="1">IFERROR(SOLID!R47,0)</f>
        <v>0</v>
      </c>
      <c r="O36" s="16">
        <f ca="1">IFERROR(SOLID!S47,0)</f>
        <v>0</v>
      </c>
      <c r="P36" s="16">
        <f ca="1">IFERROR(SOLID!T47,0)</f>
        <v>0</v>
      </c>
      <c r="Q36" s="16">
        <f ca="1">IFERROR(SOLID!U47,0)</f>
        <v>0</v>
      </c>
      <c r="R36" s="16">
        <f ca="1">IFERROR(SOLID!V47,0)</f>
        <v>0</v>
      </c>
      <c r="S36" s="16">
        <f ca="1">IFERROR(SOLID!W47,0)</f>
        <v>0</v>
      </c>
      <c r="T36" s="16">
        <f ca="1">IFERROR(SOLID!X47,0)</f>
        <v>0</v>
      </c>
      <c r="U36" s="16">
        <f ca="1">IFERROR(SOLID!Y47,0)</f>
        <v>0</v>
      </c>
      <c r="V36" s="16">
        <f ca="1">IFERROR(SOLID!Z47,0)</f>
        <v>0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>
        <f>IFERROR(SOLID!E48,0)</f>
        <v>0</v>
      </c>
      <c r="B37" s="16">
        <f ca="1">IFERROR(SOLID!F48,0)</f>
        <v>0</v>
      </c>
      <c r="C37" s="16">
        <f ca="1">IFERROR(SOLID!G48,0)</f>
        <v>0</v>
      </c>
      <c r="D37" s="16">
        <f ca="1">IFERROR(SOLID!H48,0)</f>
        <v>0</v>
      </c>
      <c r="E37" s="16">
        <f ca="1">IFERROR(SOLID!I48,0)</f>
        <v>0</v>
      </c>
      <c r="F37" s="16">
        <f ca="1">IFERROR(SOLID!J48,0)</f>
        <v>0</v>
      </c>
      <c r="G37" s="16">
        <f ca="1">IFERROR(SOLID!K48,0)</f>
        <v>0</v>
      </c>
      <c r="H37" s="16">
        <f ca="1">IFERROR(SOLID!L48,0)</f>
        <v>0</v>
      </c>
      <c r="I37" s="16">
        <f ca="1">IFERROR(SOLID!M48,0)</f>
        <v>0</v>
      </c>
      <c r="J37" s="16">
        <f ca="1">IFERROR(SOLID!N48,0)</f>
        <v>0</v>
      </c>
      <c r="K37" s="16">
        <f ca="1">IFERROR(SOLID!O48,0)</f>
        <v>0</v>
      </c>
      <c r="L37" s="16">
        <f ca="1">IFERROR(SOLID!P48,0)</f>
        <v>0</v>
      </c>
      <c r="M37" s="16">
        <f ca="1">IFERROR(SOLID!Q48,0)</f>
        <v>0</v>
      </c>
      <c r="N37" s="16">
        <f ca="1">IFERROR(SOLID!R48,0)</f>
        <v>0</v>
      </c>
      <c r="O37" s="16">
        <f ca="1">IFERROR(SOLID!S48,0)</f>
        <v>0</v>
      </c>
      <c r="P37" s="16">
        <f ca="1">IFERROR(SOLID!T48,0)</f>
        <v>0</v>
      </c>
      <c r="Q37" s="16">
        <f ca="1">IFERROR(SOLID!U48,0)</f>
        <v>0</v>
      </c>
      <c r="R37" s="16">
        <f ca="1">IFERROR(SOLID!V48,0)</f>
        <v>0</v>
      </c>
      <c r="S37" s="16">
        <f ca="1">IFERROR(SOLID!W48,0)</f>
        <v>0</v>
      </c>
      <c r="T37" s="16">
        <f ca="1">IFERROR(SOLID!X48,0)</f>
        <v>0</v>
      </c>
      <c r="U37" s="16">
        <f ca="1">IFERROR(SOLID!Y48,0)</f>
        <v>0</v>
      </c>
      <c r="V37" s="16">
        <f ca="1">IFERROR(SOLID!Z48,0)</f>
        <v>0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>
        <f>IFERROR(SOLID!E49,0)</f>
        <v>0</v>
      </c>
      <c r="B38" s="16">
        <f ca="1">IFERROR(SOLID!F49,0)</f>
        <v>0</v>
      </c>
      <c r="C38" s="16">
        <f ca="1">IFERROR(SOLID!G49,0)</f>
        <v>0</v>
      </c>
      <c r="D38" s="16">
        <f ca="1">IFERROR(SOLID!H49,0)</f>
        <v>0</v>
      </c>
      <c r="E38" s="16">
        <f ca="1">IFERROR(SOLID!I49,0)</f>
        <v>0</v>
      </c>
      <c r="F38" s="16">
        <f ca="1">IFERROR(SOLID!J49,0)</f>
        <v>0</v>
      </c>
      <c r="G38" s="16">
        <f ca="1">IFERROR(SOLID!K49,0)</f>
        <v>0</v>
      </c>
      <c r="H38" s="16">
        <f ca="1">IFERROR(SOLID!L49,0)</f>
        <v>0</v>
      </c>
      <c r="I38" s="16">
        <f ca="1">IFERROR(SOLID!M49,0)</f>
        <v>0</v>
      </c>
      <c r="J38" s="16">
        <f ca="1">IFERROR(SOLID!N49,0)</f>
        <v>0</v>
      </c>
      <c r="K38" s="16">
        <f ca="1">IFERROR(SOLID!O49,0)</f>
        <v>0</v>
      </c>
      <c r="L38" s="16">
        <f ca="1">IFERROR(SOLID!P49,0)</f>
        <v>0</v>
      </c>
      <c r="M38" s="16">
        <f ca="1">IFERROR(SOLID!Q49,0)</f>
        <v>0</v>
      </c>
      <c r="N38" s="16">
        <f ca="1">IFERROR(SOLID!R49,0)</f>
        <v>0</v>
      </c>
      <c r="O38" s="16">
        <f ca="1">IFERROR(SOLID!S49,0)</f>
        <v>0</v>
      </c>
      <c r="P38" s="16">
        <f ca="1">IFERROR(SOLID!T49,0)</f>
        <v>0</v>
      </c>
      <c r="Q38" s="16">
        <f ca="1">IFERROR(SOLID!U49,0)</f>
        <v>0</v>
      </c>
      <c r="R38" s="16">
        <f ca="1">IFERROR(SOLID!V49,0)</f>
        <v>0</v>
      </c>
      <c r="S38" s="16">
        <f ca="1">IFERROR(SOLID!W49,0)</f>
        <v>0</v>
      </c>
      <c r="T38" s="16">
        <f ca="1">IFERROR(SOLID!X49,0)</f>
        <v>0</v>
      </c>
      <c r="U38" s="16">
        <f ca="1">IFERROR(SOLID!Y49,0)</f>
        <v>0</v>
      </c>
      <c r="V38" s="16">
        <f ca="1">IFERROR(SOLID!Z49,0)</f>
        <v>0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>
        <f>IFERROR(SOLID!E50,0)</f>
        <v>0</v>
      </c>
      <c r="B39" s="16">
        <f ca="1">IFERROR(SOLID!F50,0)</f>
        <v>0</v>
      </c>
      <c r="C39" s="16">
        <f ca="1">IFERROR(SOLID!G50,0)</f>
        <v>0</v>
      </c>
      <c r="D39" s="16">
        <f ca="1">IFERROR(SOLID!H50,0)</f>
        <v>0</v>
      </c>
      <c r="E39" s="16">
        <f ca="1">IFERROR(SOLID!I50,0)</f>
        <v>0</v>
      </c>
      <c r="F39" s="16">
        <f ca="1">IFERROR(SOLID!J50,0)</f>
        <v>0</v>
      </c>
      <c r="G39" s="16">
        <f ca="1">IFERROR(SOLID!K50,0)</f>
        <v>0</v>
      </c>
      <c r="H39" s="16">
        <f ca="1">IFERROR(SOLID!L50,0)</f>
        <v>0</v>
      </c>
      <c r="I39" s="16">
        <f ca="1">IFERROR(SOLID!M50,0)</f>
        <v>0</v>
      </c>
      <c r="J39" s="16">
        <f ca="1">IFERROR(SOLID!N50,0)</f>
        <v>0</v>
      </c>
      <c r="K39" s="16">
        <f ca="1">IFERROR(SOLID!O50,0)</f>
        <v>0</v>
      </c>
      <c r="L39" s="16">
        <f ca="1">IFERROR(SOLID!P50,0)</f>
        <v>0</v>
      </c>
      <c r="M39" s="16">
        <f ca="1">IFERROR(SOLID!Q50,0)</f>
        <v>0</v>
      </c>
      <c r="N39" s="16">
        <f ca="1">IFERROR(SOLID!R50,0)</f>
        <v>0</v>
      </c>
      <c r="O39" s="16">
        <f ca="1">IFERROR(SOLID!S50,0)</f>
        <v>0</v>
      </c>
      <c r="P39" s="16">
        <f ca="1">IFERROR(SOLID!T50,0)</f>
        <v>0</v>
      </c>
      <c r="Q39" s="16">
        <f ca="1">IFERROR(SOLID!U50,0)</f>
        <v>0</v>
      </c>
      <c r="R39" s="16">
        <f ca="1">IFERROR(SOLID!V50,0)</f>
        <v>0</v>
      </c>
      <c r="S39" s="16">
        <f ca="1">IFERROR(SOLID!W50,0)</f>
        <v>0</v>
      </c>
      <c r="T39" s="16">
        <f ca="1">IFERROR(SOLID!X50,0)</f>
        <v>0</v>
      </c>
      <c r="U39" s="16">
        <f ca="1">IFERROR(SOLID!Y50,0)</f>
        <v>0</v>
      </c>
      <c r="V39" s="16">
        <f ca="1">IFERROR(SOLID!Z50,0)</f>
        <v>0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>
        <f>IFERROR(SOLID!E51,0)</f>
        <v>0</v>
      </c>
      <c r="B40" s="16">
        <f ca="1">IFERROR(SOLID!F51,0)</f>
        <v>0</v>
      </c>
      <c r="C40" s="16">
        <f ca="1">IFERROR(SOLID!G51,0)</f>
        <v>0</v>
      </c>
      <c r="D40" s="16">
        <f ca="1">IFERROR(SOLID!H51,0)</f>
        <v>0</v>
      </c>
      <c r="E40" s="16">
        <f ca="1">IFERROR(SOLID!I51,0)</f>
        <v>0</v>
      </c>
      <c r="F40" s="16">
        <f ca="1">IFERROR(SOLID!J51,0)</f>
        <v>0</v>
      </c>
      <c r="G40" s="16">
        <f ca="1">IFERROR(SOLID!K51,0)</f>
        <v>0</v>
      </c>
      <c r="H40" s="16">
        <f ca="1">IFERROR(SOLID!L51,0)</f>
        <v>0</v>
      </c>
      <c r="I40" s="16">
        <f ca="1">IFERROR(SOLID!M51,0)</f>
        <v>0</v>
      </c>
      <c r="J40" s="16">
        <f ca="1">IFERROR(SOLID!N51,0)</f>
        <v>0</v>
      </c>
      <c r="K40" s="16">
        <f ca="1">IFERROR(SOLID!O51,0)</f>
        <v>0</v>
      </c>
      <c r="L40" s="16">
        <f ca="1">IFERROR(SOLID!P51,0)</f>
        <v>0</v>
      </c>
      <c r="M40" s="16">
        <f ca="1">IFERROR(SOLID!Q51,0)</f>
        <v>0</v>
      </c>
      <c r="N40" s="16">
        <f ca="1">IFERROR(SOLID!R51,0)</f>
        <v>0</v>
      </c>
      <c r="O40" s="16">
        <f ca="1">IFERROR(SOLID!S51,0)</f>
        <v>0</v>
      </c>
      <c r="P40" s="16">
        <f ca="1">IFERROR(SOLID!T51,0)</f>
        <v>0</v>
      </c>
      <c r="Q40" s="16">
        <f ca="1">IFERROR(SOLID!U51,0)</f>
        <v>0</v>
      </c>
      <c r="R40" s="16">
        <f ca="1">IFERROR(SOLID!V51,0)</f>
        <v>0</v>
      </c>
      <c r="S40" s="16">
        <f ca="1">IFERROR(SOLID!W51,0)</f>
        <v>0</v>
      </c>
      <c r="T40" s="16">
        <f ca="1">IFERROR(SOLID!X51,0)</f>
        <v>0</v>
      </c>
      <c r="U40" s="16">
        <f ca="1">IFERROR(SOLID!Y51,0)</f>
        <v>0</v>
      </c>
      <c r="V40" s="16">
        <f ca="1">IFERROR(SOLID!Z51,0)</f>
        <v>0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>
        <f>IFERROR(SOLID!E52,0)</f>
        <v>0</v>
      </c>
      <c r="B41" s="16">
        <f ca="1">IFERROR(SOLID!F52,0)</f>
        <v>0</v>
      </c>
      <c r="C41" s="16">
        <f ca="1">IFERROR(SOLID!G52,0)</f>
        <v>0</v>
      </c>
      <c r="D41" s="16">
        <f ca="1">IFERROR(SOLID!H52,0)</f>
        <v>0</v>
      </c>
      <c r="E41" s="16">
        <f ca="1">IFERROR(SOLID!I52,0)</f>
        <v>0</v>
      </c>
      <c r="F41" s="16">
        <f ca="1">IFERROR(SOLID!J52,0)</f>
        <v>0</v>
      </c>
      <c r="G41" s="16">
        <f ca="1">IFERROR(SOLID!K52,0)</f>
        <v>0</v>
      </c>
      <c r="H41" s="16">
        <f ca="1">IFERROR(SOLID!L52,0)</f>
        <v>0</v>
      </c>
      <c r="I41" s="16">
        <f ca="1">IFERROR(SOLID!M52,0)</f>
        <v>0</v>
      </c>
      <c r="J41" s="16">
        <f ca="1">IFERROR(SOLID!N52,0)</f>
        <v>0</v>
      </c>
      <c r="K41" s="16">
        <f ca="1">IFERROR(SOLID!O52,0)</f>
        <v>0</v>
      </c>
      <c r="L41" s="16">
        <f ca="1">IFERROR(SOLID!P52,0)</f>
        <v>0</v>
      </c>
      <c r="M41" s="16">
        <f ca="1">IFERROR(SOLID!Q52,0)</f>
        <v>0</v>
      </c>
      <c r="N41" s="16">
        <f ca="1">IFERROR(SOLID!R52,0)</f>
        <v>0</v>
      </c>
      <c r="O41" s="16">
        <f ca="1">IFERROR(SOLID!S52,0)</f>
        <v>0</v>
      </c>
      <c r="P41" s="16">
        <f ca="1">IFERROR(SOLID!T52,0)</f>
        <v>0</v>
      </c>
      <c r="Q41" s="16">
        <f ca="1">IFERROR(SOLID!U52,0)</f>
        <v>0</v>
      </c>
      <c r="R41" s="16">
        <f ca="1">IFERROR(SOLID!V52,0)</f>
        <v>0</v>
      </c>
      <c r="S41" s="16">
        <f ca="1">IFERROR(SOLID!W52,0)</f>
        <v>0</v>
      </c>
      <c r="T41" s="16">
        <f ca="1">IFERROR(SOLID!X52,0)</f>
        <v>0</v>
      </c>
      <c r="U41" s="16">
        <f ca="1">IFERROR(SOLID!Y52,0)</f>
        <v>0</v>
      </c>
      <c r="V41" s="16">
        <f ca="1">IFERROR(SOLID!Z52,0)</f>
        <v>0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>
        <f>IFERROR(SOLID!E53,0)</f>
        <v>0</v>
      </c>
      <c r="B42" s="16">
        <f ca="1">IFERROR(SOLID!F53,0)</f>
        <v>0</v>
      </c>
      <c r="C42" s="16">
        <f ca="1">IFERROR(SOLID!G53,0)</f>
        <v>0</v>
      </c>
      <c r="D42" s="16">
        <f ca="1">IFERROR(SOLID!H53,0)</f>
        <v>0</v>
      </c>
      <c r="E42" s="16">
        <f ca="1">IFERROR(SOLID!I53,0)</f>
        <v>0</v>
      </c>
      <c r="F42" s="16">
        <f ca="1">IFERROR(SOLID!J53,0)</f>
        <v>0</v>
      </c>
      <c r="G42" s="16">
        <f ca="1">IFERROR(SOLID!K53,0)</f>
        <v>0</v>
      </c>
      <c r="H42" s="16">
        <f ca="1">IFERROR(SOLID!L53,0)</f>
        <v>0</v>
      </c>
      <c r="I42" s="16">
        <f ca="1">IFERROR(SOLID!M53,0)</f>
        <v>0</v>
      </c>
      <c r="J42" s="16">
        <f ca="1">IFERROR(SOLID!N53,0)</f>
        <v>0</v>
      </c>
      <c r="K42" s="16">
        <f ca="1">IFERROR(SOLID!O53,0)</f>
        <v>0</v>
      </c>
      <c r="L42" s="16">
        <f ca="1">IFERROR(SOLID!P53,0)</f>
        <v>0</v>
      </c>
      <c r="M42" s="16">
        <f ca="1">IFERROR(SOLID!Q53,0)</f>
        <v>0</v>
      </c>
      <c r="N42" s="16">
        <f ca="1">IFERROR(SOLID!R53,0)</f>
        <v>0</v>
      </c>
      <c r="O42" s="16">
        <f ca="1">IFERROR(SOLID!S53,0)</f>
        <v>0</v>
      </c>
      <c r="P42" s="16">
        <f ca="1">IFERROR(SOLID!T53,0)</f>
        <v>0</v>
      </c>
      <c r="Q42" s="16">
        <f ca="1">IFERROR(SOLID!U53,0)</f>
        <v>0</v>
      </c>
      <c r="R42" s="16">
        <f ca="1">IFERROR(SOLID!V53,0)</f>
        <v>0</v>
      </c>
      <c r="S42" s="16">
        <f ca="1">IFERROR(SOLID!W53,0)</f>
        <v>0</v>
      </c>
      <c r="T42" s="16">
        <f ca="1">IFERROR(SOLID!X53,0)</f>
        <v>0</v>
      </c>
      <c r="U42" s="16">
        <f ca="1">IFERROR(SOLID!Y53,0)</f>
        <v>0</v>
      </c>
      <c r="V42" s="16">
        <f ca="1">IFERROR(SOLID!Z53,0)</f>
        <v>0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>
        <f>IFERROR(SOLID!E54,0)</f>
        <v>0</v>
      </c>
      <c r="B43" s="16">
        <f ca="1">IFERROR(SOLID!F54,0)</f>
        <v>0</v>
      </c>
      <c r="C43" s="16">
        <f ca="1">IFERROR(SOLID!G54,0)</f>
        <v>0</v>
      </c>
      <c r="D43" s="16">
        <f ca="1">IFERROR(SOLID!H54,0)</f>
        <v>0</v>
      </c>
      <c r="E43" s="16">
        <f ca="1">IFERROR(SOLID!I54,0)</f>
        <v>0</v>
      </c>
      <c r="F43" s="16">
        <f ca="1">IFERROR(SOLID!J54,0)</f>
        <v>0</v>
      </c>
      <c r="G43" s="16">
        <f ca="1">IFERROR(SOLID!K54,0)</f>
        <v>0</v>
      </c>
      <c r="H43" s="16">
        <f ca="1">IFERROR(SOLID!L54,0)</f>
        <v>0</v>
      </c>
      <c r="I43" s="16">
        <f ca="1">IFERROR(SOLID!M54,0)</f>
        <v>0</v>
      </c>
      <c r="J43" s="16">
        <f ca="1">IFERROR(SOLID!N54,0)</f>
        <v>0</v>
      </c>
      <c r="K43" s="16">
        <f ca="1">IFERROR(SOLID!O54,0)</f>
        <v>0</v>
      </c>
      <c r="L43" s="16">
        <f ca="1">IFERROR(SOLID!P54,0)</f>
        <v>0</v>
      </c>
      <c r="M43" s="16">
        <f ca="1">IFERROR(SOLID!Q54,0)</f>
        <v>0</v>
      </c>
      <c r="N43" s="16">
        <f ca="1">IFERROR(SOLID!R54,0)</f>
        <v>0</v>
      </c>
      <c r="O43" s="16">
        <f ca="1">IFERROR(SOLID!S54,0)</f>
        <v>0</v>
      </c>
      <c r="P43" s="16">
        <f ca="1">IFERROR(SOLID!T54,0)</f>
        <v>0</v>
      </c>
      <c r="Q43" s="16">
        <f ca="1">IFERROR(SOLID!U54,0)</f>
        <v>0</v>
      </c>
      <c r="R43" s="16">
        <f ca="1">IFERROR(SOLID!V54,0)</f>
        <v>0</v>
      </c>
      <c r="S43" s="16">
        <f ca="1">IFERROR(SOLID!W54,0)</f>
        <v>0</v>
      </c>
      <c r="T43" s="16">
        <f ca="1">IFERROR(SOLID!X54,0)</f>
        <v>0</v>
      </c>
      <c r="U43" s="16">
        <f ca="1">IFERROR(SOLID!Y54,0)</f>
        <v>0</v>
      </c>
      <c r="V43" s="16">
        <f ca="1">IFERROR(SOLID!Z54,0)</f>
        <v>0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>
        <f>IFERROR(SOLID!E55,0)</f>
        <v>0</v>
      </c>
      <c r="B44" s="16">
        <f ca="1">IFERROR(SOLID!F55,0)</f>
        <v>0</v>
      </c>
      <c r="C44" s="16">
        <f ca="1">IFERROR(SOLID!G55,0)</f>
        <v>0</v>
      </c>
      <c r="D44" s="16">
        <f ca="1">IFERROR(SOLID!H55,0)</f>
        <v>0</v>
      </c>
      <c r="E44" s="16">
        <f ca="1">IFERROR(SOLID!I55,0)</f>
        <v>0</v>
      </c>
      <c r="F44" s="16">
        <f ca="1">IFERROR(SOLID!J55,0)</f>
        <v>0</v>
      </c>
      <c r="G44" s="16">
        <f ca="1">IFERROR(SOLID!K55,0)</f>
        <v>0</v>
      </c>
      <c r="H44" s="16">
        <f ca="1">IFERROR(SOLID!L55,0)</f>
        <v>0</v>
      </c>
      <c r="I44" s="16">
        <f ca="1">IFERROR(SOLID!M55,0)</f>
        <v>0</v>
      </c>
      <c r="J44" s="16">
        <f ca="1">IFERROR(SOLID!N55,0)</f>
        <v>0</v>
      </c>
      <c r="K44" s="16">
        <f ca="1">IFERROR(SOLID!O55,0)</f>
        <v>0</v>
      </c>
      <c r="L44" s="16">
        <f ca="1">IFERROR(SOLID!P55,0)</f>
        <v>0</v>
      </c>
      <c r="M44" s="16">
        <f ca="1">IFERROR(SOLID!Q55,0)</f>
        <v>0</v>
      </c>
      <c r="N44" s="16">
        <f ca="1">IFERROR(SOLID!R55,0)</f>
        <v>0</v>
      </c>
      <c r="O44" s="16">
        <f ca="1">IFERROR(SOLID!S55,0)</f>
        <v>0</v>
      </c>
      <c r="P44" s="16">
        <f ca="1">IFERROR(SOLID!T55,0)</f>
        <v>0</v>
      </c>
      <c r="Q44" s="16">
        <f ca="1">IFERROR(SOLID!U55,0)</f>
        <v>0</v>
      </c>
      <c r="R44" s="16">
        <f ca="1">IFERROR(SOLID!V55,0)</f>
        <v>0</v>
      </c>
      <c r="S44" s="16">
        <f ca="1">IFERROR(SOLID!W55,0)</f>
        <v>0</v>
      </c>
      <c r="T44" s="16">
        <f ca="1">IFERROR(SOLID!X55,0)</f>
        <v>0</v>
      </c>
      <c r="U44" s="16">
        <f ca="1">IFERROR(SOLID!Y55,0)</f>
        <v>0</v>
      </c>
      <c r="V44" s="16">
        <f ca="1">IFERROR(SOLID!Z55,0)</f>
        <v>0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>
        <f>IFERROR(SOLID!E56,0)</f>
        <v>0</v>
      </c>
      <c r="B45" s="16">
        <f ca="1">IFERROR(SOLID!F56,0)</f>
        <v>0</v>
      </c>
      <c r="C45" s="16">
        <f ca="1">IFERROR(SOLID!G56,0)</f>
        <v>0</v>
      </c>
      <c r="D45" s="16">
        <f ca="1">IFERROR(SOLID!H56,0)</f>
        <v>0</v>
      </c>
      <c r="E45" s="16">
        <f ca="1">IFERROR(SOLID!I56,0)</f>
        <v>0</v>
      </c>
      <c r="F45" s="16">
        <f ca="1">IFERROR(SOLID!J56,0)</f>
        <v>0</v>
      </c>
      <c r="G45" s="16">
        <f ca="1">IFERROR(SOLID!K56,0)</f>
        <v>0</v>
      </c>
      <c r="H45" s="16">
        <f ca="1">IFERROR(SOLID!L56,0)</f>
        <v>0</v>
      </c>
      <c r="I45" s="16">
        <f ca="1">IFERROR(SOLID!M56,0)</f>
        <v>0</v>
      </c>
      <c r="J45" s="16">
        <f ca="1">IFERROR(SOLID!N56,0)</f>
        <v>0</v>
      </c>
      <c r="K45" s="16">
        <f ca="1">IFERROR(SOLID!O56,0)</f>
        <v>0</v>
      </c>
      <c r="L45" s="16">
        <f ca="1">IFERROR(SOLID!P56,0)</f>
        <v>0</v>
      </c>
      <c r="M45" s="16">
        <f ca="1">IFERROR(SOLID!Q56,0)</f>
        <v>0</v>
      </c>
      <c r="N45" s="16">
        <f ca="1">IFERROR(SOLID!R56,0)</f>
        <v>0</v>
      </c>
      <c r="O45" s="16">
        <f ca="1">IFERROR(SOLID!S56,0)</f>
        <v>0</v>
      </c>
      <c r="P45" s="16">
        <f ca="1">IFERROR(SOLID!T56,0)</f>
        <v>0</v>
      </c>
      <c r="Q45" s="16">
        <f ca="1">IFERROR(SOLID!U56,0)</f>
        <v>0</v>
      </c>
      <c r="R45" s="16">
        <f ca="1">IFERROR(SOLID!V56,0)</f>
        <v>0</v>
      </c>
      <c r="S45" s="16">
        <f ca="1">IFERROR(SOLID!W56,0)</f>
        <v>0</v>
      </c>
      <c r="T45" s="16">
        <f ca="1">IFERROR(SOLID!X56,0)</f>
        <v>0</v>
      </c>
      <c r="U45" s="16">
        <f ca="1">IFERROR(SOLID!Y56,0)</f>
        <v>0</v>
      </c>
      <c r="V45" s="16">
        <f ca="1">IFERROR(SOLID!Z56,0)</f>
        <v>0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>
        <f>IFERROR(SOLID!E57,0)</f>
        <v>0</v>
      </c>
      <c r="B46" s="16">
        <f ca="1">IFERROR(SOLID!F57,0)</f>
        <v>0</v>
      </c>
      <c r="C46" s="16">
        <f ca="1">IFERROR(SOLID!G57,0)</f>
        <v>0</v>
      </c>
      <c r="D46" s="16">
        <f ca="1">IFERROR(SOLID!H57,0)</f>
        <v>0</v>
      </c>
      <c r="E46" s="16">
        <f ca="1">IFERROR(SOLID!I57,0)</f>
        <v>0</v>
      </c>
      <c r="F46" s="16">
        <f ca="1">IFERROR(SOLID!J57,0)</f>
        <v>0</v>
      </c>
      <c r="G46" s="16">
        <f ca="1">IFERROR(SOLID!K57,0)</f>
        <v>0</v>
      </c>
      <c r="H46" s="16">
        <f ca="1">IFERROR(SOLID!L57,0)</f>
        <v>0</v>
      </c>
      <c r="I46" s="16">
        <f ca="1">IFERROR(SOLID!M57,0)</f>
        <v>0</v>
      </c>
      <c r="J46" s="16">
        <f ca="1">IFERROR(SOLID!N57,0)</f>
        <v>0</v>
      </c>
      <c r="K46" s="16">
        <f ca="1">IFERROR(SOLID!O57,0)</f>
        <v>0</v>
      </c>
      <c r="L46" s="16">
        <f ca="1">IFERROR(SOLID!P57,0)</f>
        <v>0</v>
      </c>
      <c r="M46" s="16">
        <f ca="1">IFERROR(SOLID!Q57,0)</f>
        <v>0</v>
      </c>
      <c r="N46" s="16">
        <f ca="1">IFERROR(SOLID!R57,0)</f>
        <v>0</v>
      </c>
      <c r="O46" s="16">
        <f ca="1">IFERROR(SOLID!S57,0)</f>
        <v>0</v>
      </c>
      <c r="P46" s="16">
        <f ca="1">IFERROR(SOLID!T57,0)</f>
        <v>0</v>
      </c>
      <c r="Q46" s="16">
        <f ca="1">IFERROR(SOLID!U57,0)</f>
        <v>0</v>
      </c>
      <c r="R46" s="16">
        <f ca="1">IFERROR(SOLID!V57,0)</f>
        <v>0</v>
      </c>
      <c r="S46" s="16">
        <f ca="1">IFERROR(SOLID!W57,0)</f>
        <v>0</v>
      </c>
      <c r="T46" s="16">
        <f ca="1">IFERROR(SOLID!X57,0)</f>
        <v>0</v>
      </c>
      <c r="U46" s="16">
        <f ca="1">IFERROR(SOLID!Y57,0)</f>
        <v>0</v>
      </c>
      <c r="V46" s="16">
        <f ca="1">IFERROR(SOLID!Z57,0)</f>
        <v>0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>
        <f>IFERROR(SOLID!E58,0)</f>
        <v>0</v>
      </c>
      <c r="B47" s="16">
        <f ca="1">IFERROR(SOLID!F58,0)</f>
        <v>0</v>
      </c>
      <c r="C47" s="16">
        <f ca="1">IFERROR(SOLID!G58,0)</f>
        <v>0</v>
      </c>
      <c r="D47" s="16">
        <f ca="1">IFERROR(SOLID!H58,0)</f>
        <v>0</v>
      </c>
      <c r="E47" s="16">
        <f ca="1">IFERROR(SOLID!I58,0)</f>
        <v>0</v>
      </c>
      <c r="F47" s="16">
        <f ca="1">IFERROR(SOLID!J58,0)</f>
        <v>0</v>
      </c>
      <c r="G47" s="16">
        <f ca="1">IFERROR(SOLID!K58,0)</f>
        <v>0</v>
      </c>
      <c r="H47" s="16">
        <f ca="1">IFERROR(SOLID!L58,0)</f>
        <v>0</v>
      </c>
      <c r="I47" s="16">
        <f ca="1">IFERROR(SOLID!M58,0)</f>
        <v>0</v>
      </c>
      <c r="J47" s="16">
        <f ca="1">IFERROR(SOLID!N58,0)</f>
        <v>0</v>
      </c>
      <c r="K47" s="16">
        <f ca="1">IFERROR(SOLID!O58,0)</f>
        <v>0</v>
      </c>
      <c r="L47" s="16">
        <f ca="1">IFERROR(SOLID!P58,0)</f>
        <v>0</v>
      </c>
      <c r="M47" s="16">
        <f ca="1">IFERROR(SOLID!Q58,0)</f>
        <v>0</v>
      </c>
      <c r="N47" s="16">
        <f ca="1">IFERROR(SOLID!R58,0)</f>
        <v>0</v>
      </c>
      <c r="O47" s="16">
        <f ca="1">IFERROR(SOLID!S58,0)</f>
        <v>0</v>
      </c>
      <c r="P47" s="16">
        <f ca="1">IFERROR(SOLID!T58,0)</f>
        <v>0</v>
      </c>
      <c r="Q47" s="16">
        <f ca="1">IFERROR(SOLID!U58,0)</f>
        <v>0</v>
      </c>
      <c r="R47" s="16">
        <f ca="1">IFERROR(SOLID!V58,0)</f>
        <v>0</v>
      </c>
      <c r="S47" s="16">
        <f ca="1">IFERROR(SOLID!W58,0)</f>
        <v>0</v>
      </c>
      <c r="T47" s="16">
        <f ca="1">IFERROR(SOLID!X58,0)</f>
        <v>0</v>
      </c>
      <c r="U47" s="16">
        <f ca="1">IFERROR(SOLID!Y58,0)</f>
        <v>0</v>
      </c>
      <c r="V47" s="16">
        <f ca="1">IFERROR(SOLID!Z58,0)</f>
        <v>0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>
        <f>IFERROR(SOLID!E59,0)</f>
        <v>0</v>
      </c>
      <c r="B48" s="16">
        <f ca="1">IFERROR(SOLID!F59,0)</f>
        <v>0</v>
      </c>
      <c r="C48" s="16">
        <f ca="1">IFERROR(SOLID!G59,0)</f>
        <v>0</v>
      </c>
      <c r="D48" s="16">
        <f ca="1">IFERROR(SOLID!H59,0)</f>
        <v>0</v>
      </c>
      <c r="E48" s="16">
        <f ca="1">IFERROR(SOLID!I59,0)</f>
        <v>0</v>
      </c>
      <c r="F48" s="16">
        <f ca="1">IFERROR(SOLID!J59,0)</f>
        <v>0</v>
      </c>
      <c r="G48" s="16">
        <f ca="1">IFERROR(SOLID!K59,0)</f>
        <v>0</v>
      </c>
      <c r="H48" s="16">
        <f ca="1">IFERROR(SOLID!L59,0)</f>
        <v>0</v>
      </c>
      <c r="I48" s="16">
        <f ca="1">IFERROR(SOLID!M59,0)</f>
        <v>0</v>
      </c>
      <c r="J48" s="16">
        <f ca="1">IFERROR(SOLID!N59,0)</f>
        <v>0</v>
      </c>
      <c r="K48" s="16">
        <f ca="1">IFERROR(SOLID!O59,0)</f>
        <v>0</v>
      </c>
      <c r="L48" s="16">
        <f ca="1">IFERROR(SOLID!P59,0)</f>
        <v>0</v>
      </c>
      <c r="M48" s="16">
        <f ca="1">IFERROR(SOLID!Q59,0)</f>
        <v>0</v>
      </c>
      <c r="N48" s="16">
        <f ca="1">IFERROR(SOLID!R59,0)</f>
        <v>0</v>
      </c>
      <c r="O48" s="16">
        <f ca="1">IFERROR(SOLID!S59,0)</f>
        <v>0</v>
      </c>
      <c r="P48" s="16">
        <f ca="1">IFERROR(SOLID!T59,0)</f>
        <v>0</v>
      </c>
      <c r="Q48" s="16">
        <f ca="1">IFERROR(SOLID!U59,0)</f>
        <v>0</v>
      </c>
      <c r="R48" s="16">
        <f ca="1">IFERROR(SOLID!V59,0)</f>
        <v>0</v>
      </c>
      <c r="S48" s="16">
        <f ca="1">IFERROR(SOLID!W59,0)</f>
        <v>0</v>
      </c>
      <c r="T48" s="16">
        <f ca="1">IFERROR(SOLID!X59,0)</f>
        <v>0</v>
      </c>
      <c r="U48" s="16">
        <f ca="1">IFERROR(SOLID!Y59,0)</f>
        <v>0</v>
      </c>
      <c r="V48" s="16">
        <f ca="1">IFERROR(SOLID!Z59,0)</f>
        <v>0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>
        <f>IFERROR(SOLID!E60,0)</f>
        <v>0</v>
      </c>
      <c r="B49" s="16">
        <f ca="1">IFERROR(SOLID!F60,0)</f>
        <v>0</v>
      </c>
      <c r="C49" s="16">
        <f ca="1">IFERROR(SOLID!G60,0)</f>
        <v>0</v>
      </c>
      <c r="D49" s="16">
        <f ca="1">IFERROR(SOLID!H60,0)</f>
        <v>0</v>
      </c>
      <c r="E49" s="16">
        <f ca="1">IFERROR(SOLID!I60,0)</f>
        <v>0</v>
      </c>
      <c r="F49" s="16">
        <f ca="1">IFERROR(SOLID!J60,0)</f>
        <v>0</v>
      </c>
      <c r="G49" s="16">
        <f ca="1">IFERROR(SOLID!K60,0)</f>
        <v>0</v>
      </c>
      <c r="H49" s="16">
        <f ca="1">IFERROR(SOLID!L60,0)</f>
        <v>0</v>
      </c>
      <c r="I49" s="16">
        <f ca="1">IFERROR(SOLID!M60,0)</f>
        <v>0</v>
      </c>
      <c r="J49" s="16">
        <f ca="1">IFERROR(SOLID!N60,0)</f>
        <v>0</v>
      </c>
      <c r="K49" s="16">
        <f ca="1">IFERROR(SOLID!O60,0)</f>
        <v>0</v>
      </c>
      <c r="L49" s="16">
        <f ca="1">IFERROR(SOLID!P60,0)</f>
        <v>0</v>
      </c>
      <c r="M49" s="16">
        <f ca="1">IFERROR(SOLID!Q60,0)</f>
        <v>0</v>
      </c>
      <c r="N49" s="16">
        <f ca="1">IFERROR(SOLID!R60,0)</f>
        <v>0</v>
      </c>
      <c r="O49" s="16">
        <f ca="1">IFERROR(SOLID!S60,0)</f>
        <v>0</v>
      </c>
      <c r="P49" s="16">
        <f ca="1">IFERROR(SOLID!T60,0)</f>
        <v>0</v>
      </c>
      <c r="Q49" s="16">
        <f ca="1">IFERROR(SOLID!U60,0)</f>
        <v>0</v>
      </c>
      <c r="R49" s="16">
        <f ca="1">IFERROR(SOLID!V60,0)</f>
        <v>0</v>
      </c>
      <c r="S49" s="16">
        <f ca="1">IFERROR(SOLID!W60,0)</f>
        <v>0</v>
      </c>
      <c r="T49" s="16">
        <f ca="1">IFERROR(SOLID!X60,0)</f>
        <v>0</v>
      </c>
      <c r="U49" s="16">
        <f ca="1">IFERROR(SOLID!Y60,0)</f>
        <v>0</v>
      </c>
      <c r="V49" s="16">
        <f ca="1">IFERROR(SOLID!Z60,0)</f>
        <v>0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>
        <f>IFERROR(SOLID!E61,0)</f>
        <v>0</v>
      </c>
      <c r="B50" s="16">
        <f ca="1">IFERROR(SOLID!F61,0)</f>
        <v>0</v>
      </c>
      <c r="C50" s="16">
        <f ca="1">IFERROR(SOLID!G61,0)</f>
        <v>0</v>
      </c>
      <c r="D50" s="16">
        <f ca="1">IFERROR(SOLID!H61,0)</f>
        <v>0</v>
      </c>
      <c r="E50" s="16">
        <f ca="1">IFERROR(SOLID!I61,0)</f>
        <v>0</v>
      </c>
      <c r="F50" s="16">
        <f ca="1">IFERROR(SOLID!J61,0)</f>
        <v>0</v>
      </c>
      <c r="G50" s="16">
        <f ca="1">IFERROR(SOLID!K61,0)</f>
        <v>0</v>
      </c>
      <c r="H50" s="16">
        <f ca="1">IFERROR(SOLID!L61,0)</f>
        <v>0</v>
      </c>
      <c r="I50" s="16">
        <f ca="1">IFERROR(SOLID!M61,0)</f>
        <v>0</v>
      </c>
      <c r="J50" s="16">
        <f ca="1">IFERROR(SOLID!N61,0)</f>
        <v>0</v>
      </c>
      <c r="K50" s="16">
        <f ca="1">IFERROR(SOLID!O61,0)</f>
        <v>0</v>
      </c>
      <c r="L50" s="16">
        <f ca="1">IFERROR(SOLID!P61,0)</f>
        <v>0</v>
      </c>
      <c r="M50" s="16">
        <f ca="1">IFERROR(SOLID!Q61,0)</f>
        <v>0</v>
      </c>
      <c r="N50" s="16">
        <f ca="1">IFERROR(SOLID!R61,0)</f>
        <v>0</v>
      </c>
      <c r="O50" s="16">
        <f ca="1">IFERROR(SOLID!S61,0)</f>
        <v>0</v>
      </c>
      <c r="P50" s="16">
        <f ca="1">IFERROR(SOLID!T61,0)</f>
        <v>0</v>
      </c>
      <c r="Q50" s="16">
        <f ca="1">IFERROR(SOLID!U61,0)</f>
        <v>0</v>
      </c>
      <c r="R50" s="16">
        <f ca="1">IFERROR(SOLID!V61,0)</f>
        <v>0</v>
      </c>
      <c r="S50" s="16">
        <f ca="1">IFERROR(SOLID!W61,0)</f>
        <v>0</v>
      </c>
      <c r="T50" s="16">
        <f ca="1">IFERROR(SOLID!X61,0)</f>
        <v>0</v>
      </c>
      <c r="U50" s="16">
        <f ca="1">IFERROR(SOLID!Y61,0)</f>
        <v>0</v>
      </c>
      <c r="V50" s="16">
        <f ca="1">IFERROR(SOLID!Z61,0)</f>
        <v>0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  <c r="AV65" s="101"/>
      <c r="AW65" s="101"/>
      <c r="AX65" s="101"/>
      <c r="AY65" s="101"/>
      <c r="AZ65" s="101"/>
      <c r="BA65" s="101"/>
      <c r="BB65" s="101"/>
      <c r="BC65" s="101"/>
      <c r="BD65" s="101"/>
      <c r="BE65" s="101"/>
      <c r="BF65" s="101"/>
      <c r="BG65" s="101"/>
      <c r="BH65" s="101"/>
      <c r="BI65" s="101"/>
      <c r="BJ65" s="101"/>
      <c r="BK65" s="101"/>
      <c r="BL65" s="101"/>
      <c r="BM65" s="101"/>
      <c r="BN65" s="101"/>
      <c r="BO65" s="101"/>
      <c r="BP65" s="101"/>
      <c r="BQ65" s="101"/>
      <c r="BR65" s="101"/>
      <c r="BS65" s="101"/>
      <c r="BT65" s="101"/>
    </row>
    <row r="66" spans="1:73" ht="22.5" thickTop="1" thickBot="1" x14ac:dyDescent="0.4">
      <c r="A66" s="4" t="s">
        <v>29</v>
      </c>
      <c r="B66" s="4">
        <f>IFERROR(ALL!F45,0)</f>
        <v>0</v>
      </c>
      <c r="C66" s="4">
        <f>IFERROR(ALL!G45,0)</f>
        <v>0</v>
      </c>
      <c r="D66" s="4">
        <f>IFERROR(ALL!H45,0)</f>
        <v>0</v>
      </c>
      <c r="E66" s="4">
        <f>IFERROR(ALL!I45,0)</f>
        <v>0</v>
      </c>
      <c r="F66" s="4">
        <f>IFERROR(ALL!J45,0)</f>
        <v>0</v>
      </c>
      <c r="G66" s="4">
        <f>IFERROR(ALL!K45,0)</f>
        <v>0</v>
      </c>
      <c r="H66" s="4">
        <f>IFERROR(ALL!L45,0)</f>
        <v>0</v>
      </c>
      <c r="I66" s="4">
        <f>IFERROR(ALL!M45,0)</f>
        <v>0</v>
      </c>
      <c r="J66" s="4">
        <f>IFERROR(ALL!N45,0)</f>
        <v>0</v>
      </c>
      <c r="K66" s="4">
        <f>IFERROR(ALL!O45,0)</f>
        <v>0</v>
      </c>
      <c r="L66" s="4">
        <f>IFERROR(ALL!P45,0)</f>
        <v>0</v>
      </c>
      <c r="M66" s="4">
        <f>IFERROR(ALL!Q45,0)</f>
        <v>0</v>
      </c>
      <c r="N66" s="4">
        <f>IFERROR(ALL!R45,0)</f>
        <v>0</v>
      </c>
      <c r="O66" s="4">
        <f>IFERROR(ALL!S45,0)</f>
        <v>0</v>
      </c>
      <c r="P66" s="4">
        <f>IFERROR(ALL!T45,0)</f>
        <v>0</v>
      </c>
      <c r="Q66" s="4">
        <f>IFERROR(ALL!U45,0)</f>
        <v>0</v>
      </c>
      <c r="R66" s="4">
        <f>IFERROR(ALL!V45,0)</f>
        <v>0</v>
      </c>
      <c r="S66" s="4">
        <f>IFERROR(ALL!W45,0)</f>
        <v>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>
        <f>IFERROR(ALL!E46,0)</f>
        <v>0</v>
      </c>
      <c r="B67" s="16">
        <f ca="1">IFERROR(ALL!F46,0)</f>
        <v>0</v>
      </c>
      <c r="C67" s="16">
        <f ca="1">IFERROR(ALL!G46,0)</f>
        <v>0</v>
      </c>
      <c r="D67" s="16">
        <f ca="1">IFERROR(ALL!H46,0)</f>
        <v>0</v>
      </c>
      <c r="E67" s="16">
        <f ca="1">IFERROR(ALL!I46,0)</f>
        <v>0</v>
      </c>
      <c r="F67" s="16">
        <f ca="1">IFERROR(ALL!J46,0)</f>
        <v>0</v>
      </c>
      <c r="G67" s="16">
        <f ca="1">IFERROR(ALL!K46,0)</f>
        <v>0</v>
      </c>
      <c r="H67" s="16">
        <f ca="1">IFERROR(ALL!L46,0)</f>
        <v>0</v>
      </c>
      <c r="I67" s="16">
        <f ca="1">IFERROR(ALL!M46,0)</f>
        <v>0</v>
      </c>
      <c r="J67" s="16">
        <f ca="1">IFERROR(ALL!N46,0)</f>
        <v>0</v>
      </c>
      <c r="K67" s="16">
        <f ca="1">IFERROR(ALL!O46,0)</f>
        <v>0</v>
      </c>
      <c r="L67" s="16">
        <f ca="1">IFERROR(ALL!P46,0)</f>
        <v>0</v>
      </c>
      <c r="M67" s="16">
        <f ca="1">IFERROR(ALL!Q46,0)</f>
        <v>0</v>
      </c>
      <c r="N67" s="16">
        <f ca="1">IFERROR(ALL!R46,0)</f>
        <v>0</v>
      </c>
      <c r="O67" s="16">
        <f ca="1">IFERROR(ALL!S46,0)</f>
        <v>0</v>
      </c>
      <c r="P67" s="16">
        <f ca="1">IFERROR(ALL!T46,0)</f>
        <v>0</v>
      </c>
      <c r="Q67" s="16">
        <f ca="1">IFERROR(ALL!U46,0)</f>
        <v>0</v>
      </c>
      <c r="R67" s="16">
        <f ca="1">IFERROR(ALL!V46,0)</f>
        <v>0</v>
      </c>
      <c r="S67" s="16">
        <f ca="1">IFERROR(ALL!W46,0)</f>
        <v>0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4"/>
    </row>
    <row r="68" spans="1:73" ht="21.75" hidden="1" outlineLevel="1" thickBot="1" x14ac:dyDescent="0.4">
      <c r="A68" s="87">
        <f>IFERROR(ALL!E47,0)</f>
        <v>0</v>
      </c>
      <c r="B68" s="16">
        <f ca="1">IFERROR(ALL!F47,0)</f>
        <v>0</v>
      </c>
      <c r="C68" s="16">
        <f ca="1">IFERROR(ALL!G47,0)</f>
        <v>0</v>
      </c>
      <c r="D68" s="16">
        <f ca="1">IFERROR(ALL!H47,0)</f>
        <v>0</v>
      </c>
      <c r="E68" s="16">
        <f ca="1">IFERROR(ALL!I47,0)</f>
        <v>0</v>
      </c>
      <c r="F68" s="16">
        <f ca="1">IFERROR(ALL!J47,0)</f>
        <v>0</v>
      </c>
      <c r="G68" s="16">
        <f ca="1">IFERROR(ALL!K47,0)</f>
        <v>0</v>
      </c>
      <c r="H68" s="16">
        <f ca="1">IFERROR(ALL!L47,0)</f>
        <v>0</v>
      </c>
      <c r="I68" s="16">
        <f ca="1">IFERROR(ALL!M47,0)</f>
        <v>0</v>
      </c>
      <c r="J68" s="16">
        <f ca="1">IFERROR(ALL!N47,0)</f>
        <v>0</v>
      </c>
      <c r="K68" s="16">
        <f ca="1">IFERROR(ALL!O47,0)</f>
        <v>0</v>
      </c>
      <c r="L68" s="16">
        <f ca="1">IFERROR(ALL!P47,0)</f>
        <v>0</v>
      </c>
      <c r="M68" s="16">
        <f ca="1">IFERROR(ALL!Q47,0)</f>
        <v>0</v>
      </c>
      <c r="N68" s="16">
        <f ca="1">IFERROR(ALL!R47,0)</f>
        <v>0</v>
      </c>
      <c r="O68" s="16">
        <f ca="1">IFERROR(ALL!S47,0)</f>
        <v>0</v>
      </c>
      <c r="P68" s="16">
        <f ca="1">IFERROR(ALL!T47,0)</f>
        <v>0</v>
      </c>
      <c r="Q68" s="16">
        <f ca="1">IFERROR(ALL!U47,0)</f>
        <v>0</v>
      </c>
      <c r="R68" s="16">
        <f ca="1">IFERROR(ALL!V47,0)</f>
        <v>0</v>
      </c>
      <c r="S68" s="16">
        <f ca="1">IFERROR(ALL!W47,0)</f>
        <v>0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4"/>
    </row>
    <row r="69" spans="1:73" ht="21.75" hidden="1" outlineLevel="1" thickBot="1" x14ac:dyDescent="0.4">
      <c r="A69" s="87">
        <f>IFERROR(ALL!E48,0)</f>
        <v>0</v>
      </c>
      <c r="B69" s="16">
        <f ca="1">IFERROR(ALL!F48,0)</f>
        <v>0</v>
      </c>
      <c r="C69" s="16">
        <f ca="1">IFERROR(ALL!G48,0)</f>
        <v>0</v>
      </c>
      <c r="D69" s="16">
        <f ca="1">IFERROR(ALL!H48,0)</f>
        <v>0</v>
      </c>
      <c r="E69" s="16">
        <f ca="1">IFERROR(ALL!I48,0)</f>
        <v>0</v>
      </c>
      <c r="F69" s="16">
        <f ca="1">IFERROR(ALL!J48,0)</f>
        <v>0</v>
      </c>
      <c r="G69" s="16">
        <f ca="1">IFERROR(ALL!K48,0)</f>
        <v>0</v>
      </c>
      <c r="H69" s="16">
        <f ca="1">IFERROR(ALL!L48,0)</f>
        <v>0</v>
      </c>
      <c r="I69" s="16">
        <f ca="1">IFERROR(ALL!M48,0)</f>
        <v>0</v>
      </c>
      <c r="J69" s="16">
        <f ca="1">IFERROR(ALL!N48,0)</f>
        <v>0</v>
      </c>
      <c r="K69" s="16">
        <f ca="1">IFERROR(ALL!O48,0)</f>
        <v>0</v>
      </c>
      <c r="L69" s="16">
        <f ca="1">IFERROR(ALL!P48,0)</f>
        <v>0</v>
      </c>
      <c r="M69" s="16">
        <f ca="1">IFERROR(ALL!Q48,0)</f>
        <v>0</v>
      </c>
      <c r="N69" s="16">
        <f ca="1">IFERROR(ALL!R48,0)</f>
        <v>0</v>
      </c>
      <c r="O69" s="16">
        <f ca="1">IFERROR(ALL!S48,0)</f>
        <v>0</v>
      </c>
      <c r="P69" s="16">
        <f ca="1">IFERROR(ALL!T48,0)</f>
        <v>0</v>
      </c>
      <c r="Q69" s="16">
        <f ca="1">IFERROR(ALL!U48,0)</f>
        <v>0</v>
      </c>
      <c r="R69" s="16">
        <f ca="1">IFERROR(ALL!V48,0)</f>
        <v>0</v>
      </c>
      <c r="S69" s="16">
        <f ca="1">IFERROR(ALL!W48,0)</f>
        <v>0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4"/>
    </row>
    <row r="70" spans="1:73" ht="21.75" hidden="1" outlineLevel="1" thickBot="1" x14ac:dyDescent="0.4">
      <c r="A70" s="87">
        <f>IFERROR(ALL!E49,0)</f>
        <v>0</v>
      </c>
      <c r="B70" s="16">
        <f ca="1">IFERROR(ALL!F49,0)</f>
        <v>0</v>
      </c>
      <c r="C70" s="16">
        <f ca="1">IFERROR(ALL!G49,0)</f>
        <v>0</v>
      </c>
      <c r="D70" s="16">
        <f ca="1">IFERROR(ALL!H49,0)</f>
        <v>0</v>
      </c>
      <c r="E70" s="16">
        <f ca="1">IFERROR(ALL!I49,0)</f>
        <v>0</v>
      </c>
      <c r="F70" s="16">
        <f ca="1">IFERROR(ALL!J49,0)</f>
        <v>0</v>
      </c>
      <c r="G70" s="16">
        <f ca="1">IFERROR(ALL!K49,0)</f>
        <v>0</v>
      </c>
      <c r="H70" s="16">
        <f ca="1">IFERROR(ALL!L49,0)</f>
        <v>0</v>
      </c>
      <c r="I70" s="16">
        <f ca="1">IFERROR(ALL!M49,0)</f>
        <v>0</v>
      </c>
      <c r="J70" s="16">
        <f ca="1">IFERROR(ALL!N49,0)</f>
        <v>0</v>
      </c>
      <c r="K70" s="16">
        <f ca="1">IFERROR(ALL!O49,0)</f>
        <v>0</v>
      </c>
      <c r="L70" s="16">
        <f ca="1">IFERROR(ALL!P49,0)</f>
        <v>0</v>
      </c>
      <c r="M70" s="16">
        <f ca="1">IFERROR(ALL!Q49,0)</f>
        <v>0</v>
      </c>
      <c r="N70" s="16">
        <f ca="1">IFERROR(ALL!R49,0)</f>
        <v>0</v>
      </c>
      <c r="O70" s="16">
        <f ca="1">IFERROR(ALL!S49,0)</f>
        <v>0</v>
      </c>
      <c r="P70" s="16">
        <f ca="1">IFERROR(ALL!T49,0)</f>
        <v>0</v>
      </c>
      <c r="Q70" s="16">
        <f ca="1">IFERROR(ALL!U49,0)</f>
        <v>0</v>
      </c>
      <c r="R70" s="16">
        <f ca="1">IFERROR(ALL!V49,0)</f>
        <v>0</v>
      </c>
      <c r="S70" s="16">
        <f ca="1">IFERROR(ALL!W49,0)</f>
        <v>0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4"/>
    </row>
    <row r="71" spans="1:73" ht="21.75" hidden="1" outlineLevel="1" thickBot="1" x14ac:dyDescent="0.4">
      <c r="A71" s="87">
        <f>IFERROR(ALL!E50,0)</f>
        <v>0</v>
      </c>
      <c r="B71" s="16">
        <f ca="1">IFERROR(ALL!F50,0)</f>
        <v>0</v>
      </c>
      <c r="C71" s="16">
        <f ca="1">IFERROR(ALL!G50,0)</f>
        <v>0</v>
      </c>
      <c r="D71" s="16">
        <f ca="1">IFERROR(ALL!H50,0)</f>
        <v>0</v>
      </c>
      <c r="E71" s="16">
        <f ca="1">IFERROR(ALL!I50,0)</f>
        <v>0</v>
      </c>
      <c r="F71" s="16">
        <f ca="1">IFERROR(ALL!J50,0)</f>
        <v>0</v>
      </c>
      <c r="G71" s="16">
        <f ca="1">IFERROR(ALL!K50,0)</f>
        <v>0</v>
      </c>
      <c r="H71" s="16">
        <f ca="1">IFERROR(ALL!L50,0)</f>
        <v>0</v>
      </c>
      <c r="I71" s="16">
        <f ca="1">IFERROR(ALL!M50,0)</f>
        <v>0</v>
      </c>
      <c r="J71" s="16">
        <f ca="1">IFERROR(ALL!N50,0)</f>
        <v>0</v>
      </c>
      <c r="K71" s="16">
        <f ca="1">IFERROR(ALL!O50,0)</f>
        <v>0</v>
      </c>
      <c r="L71" s="16">
        <f ca="1">IFERROR(ALL!P50,0)</f>
        <v>0</v>
      </c>
      <c r="M71" s="16">
        <f ca="1">IFERROR(ALL!Q50,0)</f>
        <v>0</v>
      </c>
      <c r="N71" s="16">
        <f ca="1">IFERROR(ALL!R50,0)</f>
        <v>0</v>
      </c>
      <c r="O71" s="16">
        <f ca="1">IFERROR(ALL!S50,0)</f>
        <v>0</v>
      </c>
      <c r="P71" s="16">
        <f ca="1">IFERROR(ALL!T50,0)</f>
        <v>0</v>
      </c>
      <c r="Q71" s="16">
        <f ca="1">IFERROR(ALL!U50,0)</f>
        <v>0</v>
      </c>
      <c r="R71" s="16">
        <f ca="1">IFERROR(ALL!V50,0)</f>
        <v>0</v>
      </c>
      <c r="S71" s="16">
        <f ca="1">IFERROR(ALL!W50,0)</f>
        <v>0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4"/>
    </row>
    <row r="72" spans="1:73" ht="21.75" hidden="1" outlineLevel="1" thickBot="1" x14ac:dyDescent="0.4">
      <c r="A72" s="87">
        <f>IFERROR(ALL!E51,0)</f>
        <v>0</v>
      </c>
      <c r="B72" s="16">
        <f ca="1">IFERROR(ALL!F51,0)</f>
        <v>0</v>
      </c>
      <c r="C72" s="16">
        <f ca="1">IFERROR(ALL!G51,0)</f>
        <v>0</v>
      </c>
      <c r="D72" s="16">
        <f ca="1">IFERROR(ALL!H51,0)</f>
        <v>0</v>
      </c>
      <c r="E72" s="16">
        <f ca="1">IFERROR(ALL!I51,0)</f>
        <v>0</v>
      </c>
      <c r="F72" s="16">
        <f ca="1">IFERROR(ALL!J51,0)</f>
        <v>0</v>
      </c>
      <c r="G72" s="16">
        <f ca="1">IFERROR(ALL!K51,0)</f>
        <v>0</v>
      </c>
      <c r="H72" s="16">
        <f ca="1">IFERROR(ALL!L51,0)</f>
        <v>0</v>
      </c>
      <c r="I72" s="16">
        <f ca="1">IFERROR(ALL!M51,0)</f>
        <v>0</v>
      </c>
      <c r="J72" s="16">
        <f ca="1">IFERROR(ALL!N51,0)</f>
        <v>0</v>
      </c>
      <c r="K72" s="16">
        <f ca="1">IFERROR(ALL!O51,0)</f>
        <v>0</v>
      </c>
      <c r="L72" s="16">
        <f ca="1">IFERROR(ALL!P51,0)</f>
        <v>0</v>
      </c>
      <c r="M72" s="16">
        <f ca="1">IFERROR(ALL!Q51,0)</f>
        <v>0</v>
      </c>
      <c r="N72" s="16">
        <f ca="1">IFERROR(ALL!R51,0)</f>
        <v>0</v>
      </c>
      <c r="O72" s="16">
        <f ca="1">IFERROR(ALL!S51,0)</f>
        <v>0</v>
      </c>
      <c r="P72" s="16">
        <f ca="1">IFERROR(ALL!T51,0)</f>
        <v>0</v>
      </c>
      <c r="Q72" s="16">
        <f ca="1">IFERROR(ALL!U51,0)</f>
        <v>0</v>
      </c>
      <c r="R72" s="16">
        <f ca="1">IFERROR(ALL!V51,0)</f>
        <v>0</v>
      </c>
      <c r="S72" s="16">
        <f ca="1">IFERROR(ALL!W51,0)</f>
        <v>0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4"/>
    </row>
    <row r="73" spans="1:73" ht="21.75" hidden="1" outlineLevel="1" thickBot="1" x14ac:dyDescent="0.4">
      <c r="A73" s="87">
        <f>IFERROR(ALL!E52,0)</f>
        <v>0</v>
      </c>
      <c r="B73" s="16">
        <f ca="1">IFERROR(ALL!F52,0)</f>
        <v>0</v>
      </c>
      <c r="C73" s="16">
        <f ca="1">IFERROR(ALL!G52,0)</f>
        <v>0</v>
      </c>
      <c r="D73" s="16">
        <f ca="1">IFERROR(ALL!H52,0)</f>
        <v>0</v>
      </c>
      <c r="E73" s="16">
        <f ca="1">IFERROR(ALL!I52,0)</f>
        <v>0</v>
      </c>
      <c r="F73" s="16">
        <f ca="1">IFERROR(ALL!J52,0)</f>
        <v>0</v>
      </c>
      <c r="G73" s="16">
        <f ca="1">IFERROR(ALL!K52,0)</f>
        <v>0</v>
      </c>
      <c r="H73" s="16">
        <f ca="1">IFERROR(ALL!L52,0)</f>
        <v>0</v>
      </c>
      <c r="I73" s="16">
        <f ca="1">IFERROR(ALL!M52,0)</f>
        <v>0</v>
      </c>
      <c r="J73" s="16">
        <f ca="1">IFERROR(ALL!N52,0)</f>
        <v>0</v>
      </c>
      <c r="K73" s="16">
        <f ca="1">IFERROR(ALL!O52,0)</f>
        <v>0</v>
      </c>
      <c r="L73" s="16">
        <f ca="1">IFERROR(ALL!P52,0)</f>
        <v>0</v>
      </c>
      <c r="M73" s="16">
        <f ca="1">IFERROR(ALL!Q52,0)</f>
        <v>0</v>
      </c>
      <c r="N73" s="16">
        <f ca="1">IFERROR(ALL!R52,0)</f>
        <v>0</v>
      </c>
      <c r="O73" s="16">
        <f ca="1">IFERROR(ALL!S52,0)</f>
        <v>0</v>
      </c>
      <c r="P73" s="16">
        <f ca="1">IFERROR(ALL!T52,0)</f>
        <v>0</v>
      </c>
      <c r="Q73" s="16">
        <f ca="1">IFERROR(ALL!U52,0)</f>
        <v>0</v>
      </c>
      <c r="R73" s="16">
        <f ca="1">IFERROR(ALL!V52,0)</f>
        <v>0</v>
      </c>
      <c r="S73" s="16">
        <f ca="1">IFERROR(ALL!W52,0)</f>
        <v>0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4"/>
    </row>
    <row r="74" spans="1:73" ht="21.75" hidden="1" outlineLevel="1" thickBot="1" x14ac:dyDescent="0.4">
      <c r="A74" s="87">
        <f>IFERROR(ALL!E53,0)</f>
        <v>0</v>
      </c>
      <c r="B74" s="16">
        <f ca="1">IFERROR(ALL!F53,0)</f>
        <v>0</v>
      </c>
      <c r="C74" s="16">
        <f ca="1">IFERROR(ALL!G53,0)</f>
        <v>0</v>
      </c>
      <c r="D74" s="16">
        <f ca="1">IFERROR(ALL!H53,0)</f>
        <v>0</v>
      </c>
      <c r="E74" s="16">
        <f ca="1">IFERROR(ALL!I53,0)</f>
        <v>0</v>
      </c>
      <c r="F74" s="16">
        <f ca="1">IFERROR(ALL!J53,0)</f>
        <v>0</v>
      </c>
      <c r="G74" s="16">
        <f ca="1">IFERROR(ALL!K53,0)</f>
        <v>0</v>
      </c>
      <c r="H74" s="16">
        <f ca="1">IFERROR(ALL!L53,0)</f>
        <v>0</v>
      </c>
      <c r="I74" s="16">
        <f ca="1">IFERROR(ALL!M53,0)</f>
        <v>0</v>
      </c>
      <c r="J74" s="16">
        <f ca="1">IFERROR(ALL!N53,0)</f>
        <v>0</v>
      </c>
      <c r="K74" s="16">
        <f ca="1">IFERROR(ALL!O53,0)</f>
        <v>0</v>
      </c>
      <c r="L74" s="16">
        <f ca="1">IFERROR(ALL!P53,0)</f>
        <v>0</v>
      </c>
      <c r="M74" s="16">
        <f ca="1">IFERROR(ALL!Q53,0)</f>
        <v>0</v>
      </c>
      <c r="N74" s="16">
        <f ca="1">IFERROR(ALL!R53,0)</f>
        <v>0</v>
      </c>
      <c r="O74" s="16">
        <f ca="1">IFERROR(ALL!S53,0)</f>
        <v>0</v>
      </c>
      <c r="P74" s="16">
        <f ca="1">IFERROR(ALL!T53,0)</f>
        <v>0</v>
      </c>
      <c r="Q74" s="16">
        <f ca="1">IFERROR(ALL!U53,0)</f>
        <v>0</v>
      </c>
      <c r="R74" s="16">
        <f ca="1">IFERROR(ALL!V53,0)</f>
        <v>0</v>
      </c>
      <c r="S74" s="16">
        <f ca="1">IFERROR(ALL!W53,0)</f>
        <v>0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4"/>
    </row>
    <row r="75" spans="1:73" ht="21.75" hidden="1" outlineLevel="1" thickBot="1" x14ac:dyDescent="0.4">
      <c r="A75" s="87">
        <f>IFERROR(ALL!E54,0)</f>
        <v>0</v>
      </c>
      <c r="B75" s="16">
        <f ca="1">IFERROR(ALL!F54,0)</f>
        <v>0</v>
      </c>
      <c r="C75" s="16">
        <f ca="1">IFERROR(ALL!G54,0)</f>
        <v>0</v>
      </c>
      <c r="D75" s="16">
        <f ca="1">IFERROR(ALL!H54,0)</f>
        <v>0</v>
      </c>
      <c r="E75" s="16">
        <f ca="1">IFERROR(ALL!I54,0)</f>
        <v>0</v>
      </c>
      <c r="F75" s="16">
        <f ca="1">IFERROR(ALL!J54,0)</f>
        <v>0</v>
      </c>
      <c r="G75" s="16">
        <f ca="1">IFERROR(ALL!K54,0)</f>
        <v>0</v>
      </c>
      <c r="H75" s="16">
        <f ca="1">IFERROR(ALL!L54,0)</f>
        <v>0</v>
      </c>
      <c r="I75" s="16">
        <f ca="1">IFERROR(ALL!M54,0)</f>
        <v>0</v>
      </c>
      <c r="J75" s="16">
        <f ca="1">IFERROR(ALL!N54,0)</f>
        <v>0</v>
      </c>
      <c r="K75" s="16">
        <f ca="1">IFERROR(ALL!O54,0)</f>
        <v>0</v>
      </c>
      <c r="L75" s="16">
        <f ca="1">IFERROR(ALL!P54,0)</f>
        <v>0</v>
      </c>
      <c r="M75" s="16">
        <f ca="1">IFERROR(ALL!Q54,0)</f>
        <v>0</v>
      </c>
      <c r="N75" s="16">
        <f ca="1">IFERROR(ALL!R54,0)</f>
        <v>0</v>
      </c>
      <c r="O75" s="16">
        <f ca="1">IFERROR(ALL!S54,0)</f>
        <v>0</v>
      </c>
      <c r="P75" s="16">
        <f ca="1">IFERROR(ALL!T54,0)</f>
        <v>0</v>
      </c>
      <c r="Q75" s="16">
        <f ca="1">IFERROR(ALL!U54,0)</f>
        <v>0</v>
      </c>
      <c r="R75" s="16">
        <f ca="1">IFERROR(ALL!V54,0)</f>
        <v>0</v>
      </c>
      <c r="S75" s="16">
        <f ca="1">IFERROR(ALL!W54,0)</f>
        <v>0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4"/>
    </row>
    <row r="76" spans="1:73" ht="21.75" hidden="1" outlineLevel="1" thickBot="1" x14ac:dyDescent="0.4">
      <c r="A76" s="87">
        <f>IFERROR(ALL!E55,0)</f>
        <v>0</v>
      </c>
      <c r="B76" s="16">
        <f ca="1">IFERROR(ALL!F55,0)</f>
        <v>0</v>
      </c>
      <c r="C76" s="16">
        <f ca="1">IFERROR(ALL!G55,0)</f>
        <v>0</v>
      </c>
      <c r="D76" s="16">
        <f ca="1">IFERROR(ALL!H55,0)</f>
        <v>0</v>
      </c>
      <c r="E76" s="16">
        <f ca="1">IFERROR(ALL!I55,0)</f>
        <v>0</v>
      </c>
      <c r="F76" s="16">
        <f ca="1">IFERROR(ALL!J55,0)</f>
        <v>0</v>
      </c>
      <c r="G76" s="16">
        <f ca="1">IFERROR(ALL!K55,0)</f>
        <v>0</v>
      </c>
      <c r="H76" s="16">
        <f ca="1">IFERROR(ALL!L55,0)</f>
        <v>0</v>
      </c>
      <c r="I76" s="16">
        <f ca="1">IFERROR(ALL!M55,0)</f>
        <v>0</v>
      </c>
      <c r="J76" s="16">
        <f ca="1">IFERROR(ALL!N55,0)</f>
        <v>0</v>
      </c>
      <c r="K76" s="16">
        <f ca="1">IFERROR(ALL!O55,0)</f>
        <v>0</v>
      </c>
      <c r="L76" s="16">
        <f ca="1">IFERROR(ALL!P55,0)</f>
        <v>0</v>
      </c>
      <c r="M76" s="16">
        <f ca="1">IFERROR(ALL!Q55,0)</f>
        <v>0</v>
      </c>
      <c r="N76" s="16">
        <f ca="1">IFERROR(ALL!R55,0)</f>
        <v>0</v>
      </c>
      <c r="O76" s="16">
        <f ca="1">IFERROR(ALL!S55,0)</f>
        <v>0</v>
      </c>
      <c r="P76" s="16">
        <f ca="1">IFERROR(ALL!T55,0)</f>
        <v>0</v>
      </c>
      <c r="Q76" s="16">
        <f ca="1">IFERROR(ALL!U55,0)</f>
        <v>0</v>
      </c>
      <c r="R76" s="16">
        <f ca="1">IFERROR(ALL!V55,0)</f>
        <v>0</v>
      </c>
      <c r="S76" s="16">
        <f ca="1">IFERROR(ALL!W55,0)</f>
        <v>0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4"/>
    </row>
    <row r="77" spans="1:73" ht="21.75" hidden="1" outlineLevel="1" thickBot="1" x14ac:dyDescent="0.4">
      <c r="A77" s="87">
        <f>IFERROR(ALL!E56,0)</f>
        <v>0</v>
      </c>
      <c r="B77" s="16">
        <f ca="1">IFERROR(ALL!F56,0)</f>
        <v>0</v>
      </c>
      <c r="C77" s="16">
        <f ca="1">IFERROR(ALL!G56,0)</f>
        <v>0</v>
      </c>
      <c r="D77" s="16">
        <f ca="1">IFERROR(ALL!H56,0)</f>
        <v>0</v>
      </c>
      <c r="E77" s="16">
        <f ca="1">IFERROR(ALL!I56,0)</f>
        <v>0</v>
      </c>
      <c r="F77" s="16">
        <f ca="1">IFERROR(ALL!J56,0)</f>
        <v>0</v>
      </c>
      <c r="G77" s="16">
        <f ca="1">IFERROR(ALL!K56,0)</f>
        <v>0</v>
      </c>
      <c r="H77" s="16">
        <f ca="1">IFERROR(ALL!L56,0)</f>
        <v>0</v>
      </c>
      <c r="I77" s="16">
        <f ca="1">IFERROR(ALL!M56,0)</f>
        <v>0</v>
      </c>
      <c r="J77" s="16">
        <f ca="1">IFERROR(ALL!N56,0)</f>
        <v>0</v>
      </c>
      <c r="K77" s="16">
        <f ca="1">IFERROR(ALL!O56,0)</f>
        <v>0</v>
      </c>
      <c r="L77" s="16">
        <f ca="1">IFERROR(ALL!P56,0)</f>
        <v>0</v>
      </c>
      <c r="M77" s="16">
        <f ca="1">IFERROR(ALL!Q56,0)</f>
        <v>0</v>
      </c>
      <c r="N77" s="16">
        <f ca="1">IFERROR(ALL!R56,0)</f>
        <v>0</v>
      </c>
      <c r="O77" s="16">
        <f ca="1">IFERROR(ALL!S56,0)</f>
        <v>0</v>
      </c>
      <c r="P77" s="16">
        <f ca="1">IFERROR(ALL!T56,0)</f>
        <v>0</v>
      </c>
      <c r="Q77" s="16">
        <f ca="1">IFERROR(ALL!U56,0)</f>
        <v>0</v>
      </c>
      <c r="R77" s="16">
        <f ca="1">IFERROR(ALL!V56,0)</f>
        <v>0</v>
      </c>
      <c r="S77" s="16">
        <f ca="1">IFERROR(ALL!W56,0)</f>
        <v>0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4"/>
    </row>
    <row r="78" spans="1:73" ht="21.75" hidden="1" outlineLevel="1" thickBot="1" x14ac:dyDescent="0.4">
      <c r="A78" s="87">
        <f>IFERROR(ALL!E57,0)</f>
        <v>0</v>
      </c>
      <c r="B78" s="16">
        <f ca="1">IFERROR(ALL!F57,0)</f>
        <v>0</v>
      </c>
      <c r="C78" s="16">
        <f ca="1">IFERROR(ALL!G57,0)</f>
        <v>0</v>
      </c>
      <c r="D78" s="16">
        <f ca="1">IFERROR(ALL!H57,0)</f>
        <v>0</v>
      </c>
      <c r="E78" s="16">
        <f ca="1">IFERROR(ALL!I57,0)</f>
        <v>0</v>
      </c>
      <c r="F78" s="16">
        <f ca="1">IFERROR(ALL!J57,0)</f>
        <v>0</v>
      </c>
      <c r="G78" s="16">
        <f ca="1">IFERROR(ALL!K57,0)</f>
        <v>0</v>
      </c>
      <c r="H78" s="16">
        <f ca="1">IFERROR(ALL!L57,0)</f>
        <v>0</v>
      </c>
      <c r="I78" s="16">
        <f ca="1">IFERROR(ALL!M57,0)</f>
        <v>0</v>
      </c>
      <c r="J78" s="16">
        <f ca="1">IFERROR(ALL!N57,0)</f>
        <v>0</v>
      </c>
      <c r="K78" s="16">
        <f ca="1">IFERROR(ALL!O57,0)</f>
        <v>0</v>
      </c>
      <c r="L78" s="16">
        <f ca="1">IFERROR(ALL!P57,0)</f>
        <v>0</v>
      </c>
      <c r="M78" s="16">
        <f ca="1">IFERROR(ALL!Q57,0)</f>
        <v>0</v>
      </c>
      <c r="N78" s="16">
        <f ca="1">IFERROR(ALL!R57,0)</f>
        <v>0</v>
      </c>
      <c r="O78" s="16">
        <f ca="1">IFERROR(ALL!S57,0)</f>
        <v>0</v>
      </c>
      <c r="P78" s="16">
        <f ca="1">IFERROR(ALL!T57,0)</f>
        <v>0</v>
      </c>
      <c r="Q78" s="16">
        <f ca="1">IFERROR(ALL!U57,0)</f>
        <v>0</v>
      </c>
      <c r="R78" s="16">
        <f ca="1">IFERROR(ALL!V57,0)</f>
        <v>0</v>
      </c>
      <c r="S78" s="16">
        <f ca="1">IFERROR(ALL!W57,0)</f>
        <v>0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4"/>
    </row>
    <row r="79" spans="1:73" ht="21.75" hidden="1" outlineLevel="1" thickBot="1" x14ac:dyDescent="0.4">
      <c r="A79" s="87">
        <f>IFERROR(ALL!E58,0)</f>
        <v>0</v>
      </c>
      <c r="B79" s="16">
        <f ca="1">IFERROR(ALL!F58,0)</f>
        <v>0</v>
      </c>
      <c r="C79" s="16">
        <f ca="1">IFERROR(ALL!G58,0)</f>
        <v>0</v>
      </c>
      <c r="D79" s="16">
        <f ca="1">IFERROR(ALL!H58,0)</f>
        <v>0</v>
      </c>
      <c r="E79" s="16">
        <f ca="1">IFERROR(ALL!I58,0)</f>
        <v>0</v>
      </c>
      <c r="F79" s="16">
        <f ca="1">IFERROR(ALL!J58,0)</f>
        <v>0</v>
      </c>
      <c r="G79" s="16">
        <f ca="1">IFERROR(ALL!K58,0)</f>
        <v>0</v>
      </c>
      <c r="H79" s="16">
        <f ca="1">IFERROR(ALL!L58,0)</f>
        <v>0</v>
      </c>
      <c r="I79" s="16">
        <f ca="1">IFERROR(ALL!M58,0)</f>
        <v>0</v>
      </c>
      <c r="J79" s="16">
        <f ca="1">IFERROR(ALL!N58,0)</f>
        <v>0</v>
      </c>
      <c r="K79" s="16">
        <f ca="1">IFERROR(ALL!O58,0)</f>
        <v>0</v>
      </c>
      <c r="L79" s="16">
        <f ca="1">IFERROR(ALL!P58,0)</f>
        <v>0</v>
      </c>
      <c r="M79" s="16">
        <f ca="1">IFERROR(ALL!Q58,0)</f>
        <v>0</v>
      </c>
      <c r="N79" s="16">
        <f ca="1">IFERROR(ALL!R58,0)</f>
        <v>0</v>
      </c>
      <c r="O79" s="16">
        <f ca="1">IFERROR(ALL!S58,0)</f>
        <v>0</v>
      </c>
      <c r="P79" s="16">
        <f ca="1">IFERROR(ALL!T58,0)</f>
        <v>0</v>
      </c>
      <c r="Q79" s="16">
        <f ca="1">IFERROR(ALL!U58,0)</f>
        <v>0</v>
      </c>
      <c r="R79" s="16">
        <f ca="1">IFERROR(ALL!V58,0)</f>
        <v>0</v>
      </c>
      <c r="S79" s="16">
        <f ca="1">IFERROR(ALL!W58,0)</f>
        <v>0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4"/>
    </row>
    <row r="80" spans="1:73" ht="21.75" hidden="1" outlineLevel="1" thickBot="1" x14ac:dyDescent="0.4">
      <c r="A80" s="87">
        <f>IFERROR(ALL!E59,0)</f>
        <v>0</v>
      </c>
      <c r="B80" s="16">
        <f ca="1">IFERROR(ALL!F59,0)</f>
        <v>0</v>
      </c>
      <c r="C80" s="16">
        <f ca="1">IFERROR(ALL!G59,0)</f>
        <v>0</v>
      </c>
      <c r="D80" s="16">
        <f ca="1">IFERROR(ALL!H59,0)</f>
        <v>0</v>
      </c>
      <c r="E80" s="16">
        <f ca="1">IFERROR(ALL!I59,0)</f>
        <v>0</v>
      </c>
      <c r="F80" s="16">
        <f ca="1">IFERROR(ALL!J59,0)</f>
        <v>0</v>
      </c>
      <c r="G80" s="16">
        <f ca="1">IFERROR(ALL!K59,0)</f>
        <v>0</v>
      </c>
      <c r="H80" s="16">
        <f ca="1">IFERROR(ALL!L59,0)</f>
        <v>0</v>
      </c>
      <c r="I80" s="16">
        <f ca="1">IFERROR(ALL!M59,0)</f>
        <v>0</v>
      </c>
      <c r="J80" s="16">
        <f ca="1">IFERROR(ALL!N59,0)</f>
        <v>0</v>
      </c>
      <c r="K80" s="16">
        <f ca="1">IFERROR(ALL!O59,0)</f>
        <v>0</v>
      </c>
      <c r="L80" s="16">
        <f ca="1">IFERROR(ALL!P59,0)</f>
        <v>0</v>
      </c>
      <c r="M80" s="16">
        <f ca="1">IFERROR(ALL!Q59,0)</f>
        <v>0</v>
      </c>
      <c r="N80" s="16">
        <f ca="1">IFERROR(ALL!R59,0)</f>
        <v>0</v>
      </c>
      <c r="O80" s="16">
        <f ca="1">IFERROR(ALL!S59,0)</f>
        <v>0</v>
      </c>
      <c r="P80" s="16">
        <f ca="1">IFERROR(ALL!T59,0)</f>
        <v>0</v>
      </c>
      <c r="Q80" s="16">
        <f ca="1">IFERROR(ALL!U59,0)</f>
        <v>0</v>
      </c>
      <c r="R80" s="16">
        <f ca="1">IFERROR(ALL!V59,0)</f>
        <v>0</v>
      </c>
      <c r="S80" s="16">
        <f ca="1">IFERROR(ALL!W59,0)</f>
        <v>0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4"/>
    </row>
    <row r="81" spans="1:73" ht="21.75" hidden="1" outlineLevel="1" thickBot="1" x14ac:dyDescent="0.4">
      <c r="A81" s="87">
        <f>IFERROR(ALL!E60,0)</f>
        <v>0</v>
      </c>
      <c r="B81" s="16">
        <f ca="1">IFERROR(ALL!F60,0)</f>
        <v>0</v>
      </c>
      <c r="C81" s="16">
        <f ca="1">IFERROR(ALL!G60,0)</f>
        <v>0</v>
      </c>
      <c r="D81" s="16">
        <f ca="1">IFERROR(ALL!H60,0)</f>
        <v>0</v>
      </c>
      <c r="E81" s="16">
        <f ca="1">IFERROR(ALL!I60,0)</f>
        <v>0</v>
      </c>
      <c r="F81" s="16">
        <f ca="1">IFERROR(ALL!J60,0)</f>
        <v>0</v>
      </c>
      <c r="G81" s="16">
        <f ca="1">IFERROR(ALL!K60,0)</f>
        <v>0</v>
      </c>
      <c r="H81" s="16">
        <f ca="1">IFERROR(ALL!L60,0)</f>
        <v>0</v>
      </c>
      <c r="I81" s="16">
        <f ca="1">IFERROR(ALL!M60,0)</f>
        <v>0</v>
      </c>
      <c r="J81" s="16">
        <f ca="1">IFERROR(ALL!N60,0)</f>
        <v>0</v>
      </c>
      <c r="K81" s="16">
        <f ca="1">IFERROR(ALL!O60,0)</f>
        <v>0</v>
      </c>
      <c r="L81" s="16">
        <f ca="1">IFERROR(ALL!P60,0)</f>
        <v>0</v>
      </c>
      <c r="M81" s="16">
        <f ca="1">IFERROR(ALL!Q60,0)</f>
        <v>0</v>
      </c>
      <c r="N81" s="16">
        <f ca="1">IFERROR(ALL!R60,0)</f>
        <v>0</v>
      </c>
      <c r="O81" s="16">
        <f ca="1">IFERROR(ALL!S60,0)</f>
        <v>0</v>
      </c>
      <c r="P81" s="16">
        <f ca="1">IFERROR(ALL!T60,0)</f>
        <v>0</v>
      </c>
      <c r="Q81" s="16">
        <f ca="1">IFERROR(ALL!U60,0)</f>
        <v>0</v>
      </c>
      <c r="R81" s="16">
        <f ca="1">IFERROR(ALL!V60,0)</f>
        <v>0</v>
      </c>
      <c r="S81" s="16">
        <f ca="1">IFERROR(ALL!W60,0)</f>
        <v>0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4"/>
    </row>
    <row r="82" spans="1:73" ht="21.75" hidden="1" outlineLevel="1" thickBot="1" x14ac:dyDescent="0.4">
      <c r="A82" s="87">
        <f>IFERROR(ALL!E61,0)</f>
        <v>0</v>
      </c>
      <c r="B82" s="16">
        <f ca="1">IFERROR(ALL!F61,0)</f>
        <v>0</v>
      </c>
      <c r="C82" s="16">
        <f ca="1">IFERROR(ALL!G61,0)</f>
        <v>0</v>
      </c>
      <c r="D82" s="16">
        <f ca="1">IFERROR(ALL!H61,0)</f>
        <v>0</v>
      </c>
      <c r="E82" s="16">
        <f ca="1">IFERROR(ALL!I61,0)</f>
        <v>0</v>
      </c>
      <c r="F82" s="16">
        <f ca="1">IFERROR(ALL!J61,0)</f>
        <v>0</v>
      </c>
      <c r="G82" s="16">
        <f ca="1">IFERROR(ALL!K61,0)</f>
        <v>0</v>
      </c>
      <c r="H82" s="16">
        <f ca="1">IFERROR(ALL!L61,0)</f>
        <v>0</v>
      </c>
      <c r="I82" s="16">
        <f ca="1">IFERROR(ALL!M61,0)</f>
        <v>0</v>
      </c>
      <c r="J82" s="16">
        <f ca="1">IFERROR(ALL!N61,0)</f>
        <v>0</v>
      </c>
      <c r="K82" s="16">
        <f ca="1">IFERROR(ALL!O61,0)</f>
        <v>0</v>
      </c>
      <c r="L82" s="16">
        <f ca="1">IFERROR(ALL!P61,0)</f>
        <v>0</v>
      </c>
      <c r="M82" s="16">
        <f ca="1">IFERROR(ALL!Q61,0)</f>
        <v>0</v>
      </c>
      <c r="N82" s="16">
        <f ca="1">IFERROR(ALL!R61,0)</f>
        <v>0</v>
      </c>
      <c r="O82" s="16">
        <f ca="1">IFERROR(ALL!S61,0)</f>
        <v>0</v>
      </c>
      <c r="P82" s="16">
        <f ca="1">IFERROR(ALL!T61,0)</f>
        <v>0</v>
      </c>
      <c r="Q82" s="16">
        <f ca="1">IFERROR(ALL!U61,0)</f>
        <v>0</v>
      </c>
      <c r="R82" s="16">
        <f ca="1">IFERROR(ALL!V61,0)</f>
        <v>0</v>
      </c>
      <c r="S82" s="16">
        <f ca="1">IFERROR(ALL!W61,0)</f>
        <v>0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4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4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4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4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4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4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4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4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4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4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4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4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4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4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4"/>
    </row>
    <row r="97" spans="1:72" ht="21.75" collapsed="1" thickTop="1" x14ac:dyDescent="0.35">
      <c r="A97" s="93"/>
      <c r="B97" s="102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74</v>
      </c>
      <c r="B101" s="35">
        <v>-19.562060606060605</v>
      </c>
      <c r="C101" s="35">
        <v>-18.964242424242425</v>
      </c>
      <c r="D101" s="108">
        <v>-18.449090909090906</v>
      </c>
      <c r="E101" s="108">
        <v>-17.991454545454545</v>
      </c>
      <c r="F101" s="108">
        <v>-17.590969696969697</v>
      </c>
      <c r="G101" s="108">
        <v>-17.603090909090909</v>
      </c>
      <c r="H101" s="108">
        <v>-17.462349397590362</v>
      </c>
      <c r="I101" s="108">
        <v>-17.118975903614459</v>
      </c>
      <c r="J101" s="108">
        <v>-16.802</v>
      </c>
      <c r="K101" s="108">
        <v>-16.49727272727273</v>
      </c>
      <c r="L101" s="108">
        <v>-16.224545454545453</v>
      </c>
      <c r="M101" s="108">
        <v>-15.871664145234492</v>
      </c>
      <c r="N101" s="108">
        <v>-15.428396369137669</v>
      </c>
      <c r="O101" s="108">
        <v>-14.985128593040846</v>
      </c>
      <c r="P101" s="108">
        <v>-14.541860816944023</v>
      </c>
      <c r="Q101" s="108">
        <v>-14.0985930408472</v>
      </c>
      <c r="R101" s="108">
        <v>-13.655325264750378</v>
      </c>
      <c r="S101" s="108">
        <v>-13.212057488653555</v>
      </c>
      <c r="T101" s="108">
        <v>-13.002980332829047</v>
      </c>
      <c r="U101" s="108">
        <v>-12.832027231467473</v>
      </c>
      <c r="V101" s="108">
        <v>-12.6610741301059</v>
      </c>
      <c r="W101" s="108">
        <v>-12.490121028744326</v>
      </c>
      <c r="X101" s="108">
        <v>-12.319167927382754</v>
      </c>
      <c r="Y101" s="108">
        <v>-12.14821482602118</v>
      </c>
      <c r="Z101" s="108">
        <v>-11.987803030303031</v>
      </c>
      <c r="AA101" s="108">
        <v>-11.859015151515152</v>
      </c>
      <c r="AB101" s="108">
        <v>-11.730227272727273</v>
      </c>
      <c r="AC101" s="108">
        <v>-11.601439393939394</v>
      </c>
      <c r="AD101" s="108">
        <v>-11.472651515151515</v>
      </c>
      <c r="AE101" s="108">
        <v>-11.343863636363636</v>
      </c>
      <c r="AF101" s="108">
        <v>-11.215075757575757</v>
      </c>
      <c r="AG101" s="108">
        <v>-11.103131618759456</v>
      </c>
      <c r="AH101" s="108">
        <v>-11.000257186081694</v>
      </c>
      <c r="AI101" s="108">
        <v>-10.897382753403933</v>
      </c>
      <c r="AJ101" s="108">
        <v>-10.794508320726173</v>
      </c>
      <c r="AK101" s="108">
        <v>-10.691633888048411</v>
      </c>
      <c r="AL101" s="108">
        <v>-10.588759455370651</v>
      </c>
      <c r="AM101" s="108">
        <v>-10.486708018154312</v>
      </c>
      <c r="AN101" s="108">
        <v>-10.404408472012102</v>
      </c>
      <c r="AO101" s="108">
        <v>-10.322108925869895</v>
      </c>
      <c r="AP101" s="108">
        <v>-10.239809379727685</v>
      </c>
      <c r="AQ101" s="108">
        <v>-10.157509833585477</v>
      </c>
      <c r="AR101" s="108">
        <v>-10.075210287443268</v>
      </c>
      <c r="AS101" s="108">
        <v>-9.9929107413010598</v>
      </c>
      <c r="AT101" s="108">
        <v>-9.9130832072617245</v>
      </c>
      <c r="AU101" s="108">
        <v>-9.8365325264750378</v>
      </c>
      <c r="AV101" s="108">
        <v>-9.7599818456883511</v>
      </c>
      <c r="AW101" s="108">
        <v>-9.6834311649016644</v>
      </c>
      <c r="AX101" s="108">
        <v>-9.606880484114976</v>
      </c>
      <c r="AY101" s="108">
        <v>-9.5303298033282893</v>
      </c>
      <c r="AZ101" s="108">
        <v>-9.4537791225416026</v>
      </c>
      <c r="BA101" s="108">
        <v>-9.3690575757575747</v>
      </c>
      <c r="BB101" s="108">
        <v>-9.2825424242424237</v>
      </c>
      <c r="BC101" s="108">
        <v>-9.1960272727272727</v>
      </c>
      <c r="BD101" s="108">
        <v>-9.10951212121212</v>
      </c>
      <c r="BE101" s="108">
        <v>-9.022996969696969</v>
      </c>
      <c r="BF101" s="108">
        <v>-8.936481818181818</v>
      </c>
      <c r="BG101" s="108">
        <v>-8.8502617246596067</v>
      </c>
      <c r="BH101" s="108">
        <v>-8.7650877458396366</v>
      </c>
      <c r="BI101" s="108">
        <v>-8.6799137670196664</v>
      </c>
      <c r="BJ101" s="108">
        <v>-8.5947397881996963</v>
      </c>
      <c r="BK101" s="108">
        <v>-8.5095658093797262</v>
      </c>
      <c r="BL101" s="108">
        <v>-8.4243918305597578</v>
      </c>
      <c r="BM101" s="108">
        <v>-8.3392178517397877</v>
      </c>
      <c r="BN101" s="108">
        <v>-8.2608969696969687</v>
      </c>
      <c r="BO101" s="108">
        <v>-8.1869575757575745</v>
      </c>
      <c r="BP101" s="108">
        <v>-8.2291084337349396</v>
      </c>
      <c r="BQ101" s="108">
        <v>-8.2796363636363637</v>
      </c>
      <c r="BR101" s="108">
        <v>-8.3384242424242423</v>
      </c>
      <c r="BS101" s="108">
        <v>-8.3995757575757573</v>
      </c>
      <c r="BT101" s="108">
        <v>-8.4619999999999997</v>
      </c>
    </row>
    <row r="102" spans="1:72" ht="21.75" thickBot="1" x14ac:dyDescent="0.4">
      <c r="A102" s="45" t="s">
        <v>75</v>
      </c>
      <c r="B102" s="35">
        <v>-59.210666666666668</v>
      </c>
      <c r="C102" s="35">
        <v>-57.744121212121215</v>
      </c>
      <c r="D102" s="108">
        <v>-56.386545454545448</v>
      </c>
      <c r="E102" s="108">
        <v>-55.126303030303028</v>
      </c>
      <c r="F102" s="108">
        <v>-54.007272727272728</v>
      </c>
      <c r="G102" s="108">
        <v>-54.098181818181814</v>
      </c>
      <c r="H102" s="108">
        <v>-53.722590361445782</v>
      </c>
      <c r="I102" s="108">
        <v>-52.728614457831327</v>
      </c>
      <c r="J102" s="108">
        <v>-51.80466666666667</v>
      </c>
      <c r="K102" s="108">
        <v>-50.912545454545459</v>
      </c>
      <c r="L102" s="108">
        <v>-50.100424242424246</v>
      </c>
      <c r="M102" s="108">
        <v>-49.041437216338885</v>
      </c>
      <c r="N102" s="108">
        <v>-47.70406959152799</v>
      </c>
      <c r="O102" s="108">
        <v>-46.366701966717095</v>
      </c>
      <c r="P102" s="108">
        <v>-45.0293343419062</v>
      </c>
      <c r="Q102" s="108">
        <v>-43.691966717095312</v>
      </c>
      <c r="R102" s="108">
        <v>-42.354599092284417</v>
      </c>
      <c r="S102" s="108">
        <v>-41.017231467473522</v>
      </c>
      <c r="T102" s="108">
        <v>-40.387639939485624</v>
      </c>
      <c r="U102" s="108">
        <v>-39.873267776096824</v>
      </c>
      <c r="V102" s="108">
        <v>-39.358895612708018</v>
      </c>
      <c r="W102" s="108">
        <v>-38.844523449319212</v>
      </c>
      <c r="X102" s="108">
        <v>-38.330151285930405</v>
      </c>
      <c r="Y102" s="108">
        <v>-37.815779122541606</v>
      </c>
      <c r="Z102" s="108">
        <v>-37.332272727272724</v>
      </c>
      <c r="AA102" s="108">
        <v>-36.941363636363633</v>
      </c>
      <c r="AB102" s="108">
        <v>-36.550454545454542</v>
      </c>
      <c r="AC102" s="108">
        <v>-36.159545454545452</v>
      </c>
      <c r="AD102" s="108">
        <v>-35.768636363636361</v>
      </c>
      <c r="AE102" s="108">
        <v>-35.37772727272727</v>
      </c>
      <c r="AF102" s="108">
        <v>-34.98681818181818</v>
      </c>
      <c r="AG102" s="108">
        <v>-34.647428139183056</v>
      </c>
      <c r="AH102" s="108">
        <v>-34.335779122541602</v>
      </c>
      <c r="AI102" s="108">
        <v>-34.024130105900149</v>
      </c>
      <c r="AJ102" s="108">
        <v>-33.712481089258702</v>
      </c>
      <c r="AK102" s="108">
        <v>-33.400832072617249</v>
      </c>
      <c r="AL102" s="108">
        <v>-33.089183055975795</v>
      </c>
      <c r="AM102" s="108">
        <v>-32.780027231467471</v>
      </c>
      <c r="AN102" s="108">
        <v>-32.530708018154314</v>
      </c>
      <c r="AO102" s="108">
        <v>-32.28138880484115</v>
      </c>
      <c r="AP102" s="108">
        <v>-32.032069591527986</v>
      </c>
      <c r="AQ102" s="108">
        <v>-31.782750378214825</v>
      </c>
      <c r="AR102" s="108">
        <v>-31.533431164901664</v>
      </c>
      <c r="AS102" s="108">
        <v>-31.284111951588503</v>
      </c>
      <c r="AT102" s="108">
        <v>-31.054048411497732</v>
      </c>
      <c r="AU102" s="108">
        <v>-30.849509833585476</v>
      </c>
      <c r="AV102" s="108">
        <v>-30.644971255673223</v>
      </c>
      <c r="AW102" s="108">
        <v>-30.440432677760967</v>
      </c>
      <c r="AX102" s="108">
        <v>-30.235894099848714</v>
      </c>
      <c r="AY102" s="108">
        <v>-30.031355521936458</v>
      </c>
      <c r="AZ102" s="108">
        <v>-29.826816944024205</v>
      </c>
      <c r="BA102" s="108">
        <v>-29.650599999999997</v>
      </c>
      <c r="BB102" s="108">
        <v>-29.480599999999999</v>
      </c>
      <c r="BC102" s="108">
        <v>-29.310599999999997</v>
      </c>
      <c r="BD102" s="108">
        <v>-29.140599999999999</v>
      </c>
      <c r="BE102" s="108">
        <v>-28.970599999999997</v>
      </c>
      <c r="BF102" s="108">
        <v>-28.800599999999999</v>
      </c>
      <c r="BG102" s="108">
        <v>-28.636181543116489</v>
      </c>
      <c r="BH102" s="108">
        <v>-28.49155219364599</v>
      </c>
      <c r="BI102" s="108">
        <v>-28.346922844175488</v>
      </c>
      <c r="BJ102" s="108">
        <v>-28.202293494704989</v>
      </c>
      <c r="BK102" s="108">
        <v>-28.05766414523449</v>
      </c>
      <c r="BL102" s="108">
        <v>-27.913034795763991</v>
      </c>
      <c r="BM102" s="108">
        <v>-27.768405446293492</v>
      </c>
      <c r="BN102" s="108">
        <v>-27.632884848484846</v>
      </c>
      <c r="BO102" s="108">
        <v>-27.503187878787877</v>
      </c>
      <c r="BP102" s="108">
        <v>-27.646048192771083</v>
      </c>
      <c r="BQ102" s="108">
        <v>-27.805636363636363</v>
      </c>
      <c r="BR102" s="108">
        <v>-27.977757575757575</v>
      </c>
      <c r="BS102" s="108">
        <v>-28.158545454545454</v>
      </c>
      <c r="BT102" s="108">
        <v>-28.344000000000001</v>
      </c>
    </row>
    <row r="103" spans="1:72" ht="21.75" thickBot="1" x14ac:dyDescent="0.4">
      <c r="A103" s="45" t="s">
        <v>76</v>
      </c>
      <c r="B103" s="35">
        <v>-31.207090909090908</v>
      </c>
      <c r="C103" s="35">
        <v>-30.56430303030303</v>
      </c>
      <c r="D103" s="108">
        <v>-29.970363636363633</v>
      </c>
      <c r="E103" s="108">
        <v>-29.425090909090908</v>
      </c>
      <c r="F103" s="108">
        <v>-28.902666666666665</v>
      </c>
      <c r="G103" s="108">
        <v>-28.436</v>
      </c>
      <c r="H103" s="108">
        <v>-27.993855421686746</v>
      </c>
      <c r="I103" s="108">
        <v>-27.58421686746988</v>
      </c>
      <c r="J103" s="108">
        <v>-27.205333333333336</v>
      </c>
      <c r="K103" s="108">
        <v>-26.840727272727275</v>
      </c>
      <c r="L103" s="108">
        <v>-26.513454545454543</v>
      </c>
      <c r="M103" s="108">
        <v>-26.21841149773071</v>
      </c>
      <c r="N103" s="108">
        <v>-25.959712556732221</v>
      </c>
      <c r="O103" s="108">
        <v>-25.701013615733736</v>
      </c>
      <c r="P103" s="108">
        <v>-25.44231467473525</v>
      </c>
      <c r="Q103" s="108">
        <v>-25.183615733736762</v>
      </c>
      <c r="R103" s="108">
        <v>-24.924916792738276</v>
      </c>
      <c r="S103" s="108">
        <v>-24.666217851739791</v>
      </c>
      <c r="T103" s="108">
        <v>-24.480378214826022</v>
      </c>
      <c r="U103" s="108">
        <v>-24.306399394856282</v>
      </c>
      <c r="V103" s="108">
        <v>-24.132420574886538</v>
      </c>
      <c r="W103" s="108">
        <v>-23.958441754916795</v>
      </c>
      <c r="X103" s="108">
        <v>-23.784462934947051</v>
      </c>
      <c r="Y103" s="108">
        <v>-23.610484114977307</v>
      </c>
      <c r="Z103" s="108">
        <v>-23.450454545454544</v>
      </c>
      <c r="AA103" s="108">
        <v>-23.332272727272727</v>
      </c>
      <c r="AB103" s="108">
        <v>-23.21409090909091</v>
      </c>
      <c r="AC103" s="108">
        <v>-23.095909090909092</v>
      </c>
      <c r="AD103" s="108">
        <v>-22.977727272727272</v>
      </c>
      <c r="AE103" s="108">
        <v>-22.859545454545454</v>
      </c>
      <c r="AF103" s="108">
        <v>-22.741363636363637</v>
      </c>
      <c r="AG103" s="108">
        <v>-22.64591527987897</v>
      </c>
      <c r="AH103" s="108">
        <v>-22.562708018154311</v>
      </c>
      <c r="AI103" s="108">
        <v>-22.479500756429651</v>
      </c>
      <c r="AJ103" s="108">
        <v>-22.396293494704992</v>
      </c>
      <c r="AK103" s="108">
        <v>-22.313086232980332</v>
      </c>
      <c r="AL103" s="108">
        <v>-22.229878971255673</v>
      </c>
      <c r="AM103" s="108">
        <v>-22.147857791225416</v>
      </c>
      <c r="AN103" s="108">
        <v>-22.094302571860815</v>
      </c>
      <c r="AO103" s="108">
        <v>-22.040747352496219</v>
      </c>
      <c r="AP103" s="108">
        <v>-21.987192133131618</v>
      </c>
      <c r="AQ103" s="108">
        <v>-21.933636913767018</v>
      </c>
      <c r="AR103" s="108">
        <v>-21.880081694402421</v>
      </c>
      <c r="AS103" s="108">
        <v>-21.82652647503782</v>
      </c>
      <c r="AT103" s="108">
        <v>-21.782599092284418</v>
      </c>
      <c r="AU103" s="108">
        <v>-21.751434190620273</v>
      </c>
      <c r="AV103" s="108">
        <v>-21.720269288956128</v>
      </c>
      <c r="AW103" s="108">
        <v>-21.68910438729198</v>
      </c>
      <c r="AX103" s="108">
        <v>-21.657939485627836</v>
      </c>
      <c r="AY103" s="108">
        <v>-21.626774583963691</v>
      </c>
      <c r="AZ103" s="108">
        <v>-21.595609682299546</v>
      </c>
      <c r="BA103" s="108">
        <v>-21.584906060606059</v>
      </c>
      <c r="BB103" s="108">
        <v>-21.57869393939394</v>
      </c>
      <c r="BC103" s="108">
        <v>-21.572481818181817</v>
      </c>
      <c r="BD103" s="108">
        <v>-21.566269696969698</v>
      </c>
      <c r="BE103" s="108">
        <v>-21.560057575757575</v>
      </c>
      <c r="BF103" s="108">
        <v>-21.553845454545453</v>
      </c>
      <c r="BG103" s="108">
        <v>-21.556888048411498</v>
      </c>
      <c r="BH103" s="108">
        <v>-21.592742813918306</v>
      </c>
      <c r="BI103" s="108">
        <v>-21.628597579425115</v>
      </c>
      <c r="BJ103" s="108">
        <v>-21.66445234493192</v>
      </c>
      <c r="BK103" s="108">
        <v>-21.700307110438729</v>
      </c>
      <c r="BL103" s="108">
        <v>-21.736161875945538</v>
      </c>
      <c r="BM103" s="108">
        <v>-21.772016641452346</v>
      </c>
      <c r="BN103" s="108">
        <v>-21.840715151515152</v>
      </c>
      <c r="BO103" s="108">
        <v>-21.930412121212118</v>
      </c>
      <c r="BP103" s="108">
        <v>-21.909710843373496</v>
      </c>
      <c r="BQ103" s="108">
        <v>-21.882363636363639</v>
      </c>
      <c r="BR103" s="108">
        <v>-21.850242424242424</v>
      </c>
      <c r="BS103" s="108">
        <v>-21.816545454545455</v>
      </c>
      <c r="BT103" s="108">
        <v>-21.782</v>
      </c>
    </row>
    <row r="104" spans="1:72" ht="21.75" thickBot="1" x14ac:dyDescent="0.4">
      <c r="A104" s="45" t="s">
        <v>77</v>
      </c>
      <c r="B104" s="35">
        <v>-78.24824242424242</v>
      </c>
      <c r="C104" s="35">
        <v>-75.856969696969699</v>
      </c>
      <c r="D104" s="108">
        <v>-73.796363636363623</v>
      </c>
      <c r="E104" s="108">
        <v>-71.965818181818179</v>
      </c>
      <c r="F104" s="108">
        <v>-70.363878787878789</v>
      </c>
      <c r="G104" s="108">
        <v>-70.412363636363636</v>
      </c>
      <c r="H104" s="108">
        <v>-69.849397590361448</v>
      </c>
      <c r="I104" s="108">
        <v>-68.475903614457835</v>
      </c>
      <c r="J104" s="108">
        <v>-67.207999999999998</v>
      </c>
      <c r="K104" s="108">
        <v>-65.989090909090919</v>
      </c>
      <c r="L104" s="108">
        <v>-64.898181818181811</v>
      </c>
      <c r="M104" s="108">
        <v>-63.486656580937968</v>
      </c>
      <c r="N104" s="108">
        <v>-61.713585476550676</v>
      </c>
      <c r="O104" s="108">
        <v>-59.940514372163385</v>
      </c>
      <c r="P104" s="108">
        <v>-58.167443267776093</v>
      </c>
      <c r="Q104" s="108">
        <v>-56.394372163388802</v>
      </c>
      <c r="R104" s="108">
        <v>-54.62130105900151</v>
      </c>
      <c r="S104" s="108">
        <v>-52.848229954614219</v>
      </c>
      <c r="T104" s="108">
        <v>-52.011921331316188</v>
      </c>
      <c r="U104" s="108">
        <v>-51.328108925869891</v>
      </c>
      <c r="V104" s="108">
        <v>-50.644296520423602</v>
      </c>
      <c r="W104" s="108">
        <v>-49.960484114977305</v>
      </c>
      <c r="X104" s="108">
        <v>-49.276671709531016</v>
      </c>
      <c r="Y104" s="108">
        <v>-48.592859304084719</v>
      </c>
      <c r="Z104" s="108">
        <v>-47.951212121212123</v>
      </c>
      <c r="AA104" s="108">
        <v>-47.436060606060607</v>
      </c>
      <c r="AB104" s="108">
        <v>-46.920909090909092</v>
      </c>
      <c r="AC104" s="108">
        <v>-46.405757575757576</v>
      </c>
      <c r="AD104" s="108">
        <v>-45.890606060606061</v>
      </c>
      <c r="AE104" s="108">
        <v>-45.375454545454545</v>
      </c>
      <c r="AF104" s="108">
        <v>-44.860303030303029</v>
      </c>
      <c r="AG104" s="108">
        <v>-44.412526475037822</v>
      </c>
      <c r="AH104" s="108">
        <v>-44.001028744326774</v>
      </c>
      <c r="AI104" s="108">
        <v>-43.589531013615733</v>
      </c>
      <c r="AJ104" s="108">
        <v>-43.178033282904693</v>
      </c>
      <c r="AK104" s="108">
        <v>-42.766535552193645</v>
      </c>
      <c r="AL104" s="108">
        <v>-42.355037821482604</v>
      </c>
      <c r="AM104" s="108">
        <v>-41.946832072617248</v>
      </c>
      <c r="AN104" s="108">
        <v>-41.61763388804841</v>
      </c>
      <c r="AO104" s="108">
        <v>-41.288435703479578</v>
      </c>
      <c r="AP104" s="108">
        <v>-40.95923751891074</v>
      </c>
      <c r="AQ104" s="108">
        <v>-40.630039334341909</v>
      </c>
      <c r="AR104" s="108">
        <v>-40.300841149773071</v>
      </c>
      <c r="AS104" s="108">
        <v>-39.971642965204239</v>
      </c>
      <c r="AT104" s="108">
        <v>-39.652332829046898</v>
      </c>
      <c r="AU104" s="108">
        <v>-39.346130105900151</v>
      </c>
      <c r="AV104" s="108">
        <v>-39.039927382753405</v>
      </c>
      <c r="AW104" s="108">
        <v>-38.733724659606658</v>
      </c>
      <c r="AX104" s="108">
        <v>-38.427521936459904</v>
      </c>
      <c r="AY104" s="108">
        <v>-38.121319213313157</v>
      </c>
      <c r="AZ104" s="108">
        <v>-37.81511649016641</v>
      </c>
      <c r="BA104" s="108">
        <v>-37.476230303030299</v>
      </c>
      <c r="BB104" s="108">
        <v>-37.130169696969695</v>
      </c>
      <c r="BC104" s="108">
        <v>-36.784109090909091</v>
      </c>
      <c r="BD104" s="108">
        <v>-36.43804848484848</v>
      </c>
      <c r="BE104" s="108">
        <v>-36.091987878787876</v>
      </c>
      <c r="BF104" s="108">
        <v>-35.745927272727272</v>
      </c>
      <c r="BG104" s="108">
        <v>-35.401046898638427</v>
      </c>
      <c r="BH104" s="108">
        <v>-35.060350983358546</v>
      </c>
      <c r="BI104" s="108">
        <v>-34.719655068078666</v>
      </c>
      <c r="BJ104" s="108">
        <v>-34.378959152798785</v>
      </c>
      <c r="BK104" s="108">
        <v>-34.038263237518905</v>
      </c>
      <c r="BL104" s="108">
        <v>-33.697567322239031</v>
      </c>
      <c r="BM104" s="108">
        <v>-33.356871406959151</v>
      </c>
      <c r="BN104" s="108">
        <v>-33.043587878787875</v>
      </c>
      <c r="BO104" s="108">
        <v>-32.747830303030298</v>
      </c>
      <c r="BP104" s="108">
        <v>-32.916433734939758</v>
      </c>
      <c r="BQ104" s="108">
        <v>-33.118545454545455</v>
      </c>
      <c r="BR104" s="108">
        <v>-33.353696969696969</v>
      </c>
      <c r="BS104" s="108">
        <v>-33.598303030303029</v>
      </c>
      <c r="BT104" s="108">
        <v>-33.847999999999999</v>
      </c>
    </row>
    <row r="105" spans="1:72" ht="21.75" thickBot="1" x14ac:dyDescent="0.4">
      <c r="A105" s="45" t="s">
        <v>78</v>
      </c>
      <c r="B105" s="35">
        <v>-97.810303030303032</v>
      </c>
      <c r="C105" s="35">
        <v>-94.821212121212113</v>
      </c>
      <c r="D105" s="108">
        <v>-92.245454545454535</v>
      </c>
      <c r="E105" s="108">
        <v>-89.957272727272724</v>
      </c>
      <c r="F105" s="108">
        <v>-87.954848484848483</v>
      </c>
      <c r="G105" s="108">
        <v>-88.015454545454546</v>
      </c>
      <c r="H105" s="108">
        <v>-87.311746987951807</v>
      </c>
      <c r="I105" s="108">
        <v>-85.594879518072275</v>
      </c>
      <c r="J105" s="108">
        <v>-84.01</v>
      </c>
      <c r="K105" s="108">
        <v>-82.486363636363649</v>
      </c>
      <c r="L105" s="108">
        <v>-81.122727272727275</v>
      </c>
      <c r="M105" s="108">
        <v>-79.358320726172465</v>
      </c>
      <c r="N105" s="108">
        <v>-77.141981845688349</v>
      </c>
      <c r="O105" s="108">
        <v>-74.925642965204233</v>
      </c>
      <c r="P105" s="108">
        <v>-72.709304084720117</v>
      </c>
      <c r="Q105" s="108">
        <v>-70.492965204236</v>
      </c>
      <c r="R105" s="108">
        <v>-68.276626323751884</v>
      </c>
      <c r="S105" s="108">
        <v>-66.060287443267768</v>
      </c>
      <c r="T105" s="108">
        <v>-65.014901664145228</v>
      </c>
      <c r="U105" s="108">
        <v>-64.160136157337362</v>
      </c>
      <c r="V105" s="108">
        <v>-63.305370650529497</v>
      </c>
      <c r="W105" s="108">
        <v>-62.450605143721631</v>
      </c>
      <c r="X105" s="108">
        <v>-61.595839636913766</v>
      </c>
      <c r="Y105" s="108">
        <v>-60.741074130105893</v>
      </c>
      <c r="Z105" s="108">
        <v>-59.939015151515143</v>
      </c>
      <c r="AA105" s="108">
        <v>-59.295075757575752</v>
      </c>
      <c r="AB105" s="108">
        <v>-58.651136363636361</v>
      </c>
      <c r="AC105" s="108">
        <v>-58.00719696969697</v>
      </c>
      <c r="AD105" s="108">
        <v>-57.363257575757572</v>
      </c>
      <c r="AE105" s="108">
        <v>-56.719318181818181</v>
      </c>
      <c r="AF105" s="108">
        <v>-56.07537878787879</v>
      </c>
      <c r="AG105" s="108">
        <v>-55.515658093797278</v>
      </c>
      <c r="AH105" s="108">
        <v>-55.001285930408471</v>
      </c>
      <c r="AI105" s="108">
        <v>-54.486913767019672</v>
      </c>
      <c r="AJ105" s="108">
        <v>-53.972541603630866</v>
      </c>
      <c r="AK105" s="108">
        <v>-53.45816944024206</v>
      </c>
      <c r="AL105" s="108">
        <v>-52.943797276853253</v>
      </c>
      <c r="AM105" s="108">
        <v>-52.433540090771565</v>
      </c>
      <c r="AN105" s="108">
        <v>-52.022042360060517</v>
      </c>
      <c r="AO105" s="108">
        <v>-51.610544629349469</v>
      </c>
      <c r="AP105" s="108">
        <v>-51.199046898638429</v>
      </c>
      <c r="AQ105" s="108">
        <v>-50.787549167927381</v>
      </c>
      <c r="AR105" s="108">
        <v>-50.37605143721634</v>
      </c>
      <c r="AS105" s="108">
        <v>-49.964553706505292</v>
      </c>
      <c r="AT105" s="108">
        <v>-49.565416036308619</v>
      </c>
      <c r="AU105" s="108">
        <v>-49.182662632375184</v>
      </c>
      <c r="AV105" s="108">
        <v>-48.799909228441749</v>
      </c>
      <c r="AW105" s="108">
        <v>-48.417155824508313</v>
      </c>
      <c r="AX105" s="108">
        <v>-48.034402420574885</v>
      </c>
      <c r="AY105" s="108">
        <v>-47.65164901664145</v>
      </c>
      <c r="AZ105" s="108">
        <v>-47.268895612708015</v>
      </c>
      <c r="BA105" s="108">
        <v>-46.845287878787872</v>
      </c>
      <c r="BB105" s="108">
        <v>-46.412712121212117</v>
      </c>
      <c r="BC105" s="108">
        <v>-45.980136363636362</v>
      </c>
      <c r="BD105" s="108">
        <v>-45.5475606060606</v>
      </c>
      <c r="BE105" s="108">
        <v>-45.114984848484845</v>
      </c>
      <c r="BF105" s="108">
        <v>-44.68240909090909</v>
      </c>
      <c r="BG105" s="108">
        <v>-44.25130862329803</v>
      </c>
      <c r="BH105" s="108">
        <v>-43.825438729198183</v>
      </c>
      <c r="BI105" s="108">
        <v>-43.399568835098329</v>
      </c>
      <c r="BJ105" s="108">
        <v>-42.973698940998482</v>
      </c>
      <c r="BK105" s="108">
        <v>-42.547829046898634</v>
      </c>
      <c r="BL105" s="108">
        <v>-42.12195915279878</v>
      </c>
      <c r="BM105" s="108">
        <v>-41.696089258698933</v>
      </c>
      <c r="BN105" s="108">
        <v>-41.30448484848484</v>
      </c>
      <c r="BO105" s="108">
        <v>-40.934787878787873</v>
      </c>
      <c r="BP105" s="108">
        <v>-41.145542168674694</v>
      </c>
      <c r="BQ105" s="108">
        <v>-41.398181818181818</v>
      </c>
      <c r="BR105" s="108">
        <v>-41.692121212121215</v>
      </c>
      <c r="BS105" s="108">
        <v>-41.99787878787879</v>
      </c>
      <c r="BT105" s="108">
        <v>-42.31</v>
      </c>
    </row>
    <row r="106" spans="1:72" ht="21.75" thickBot="1" x14ac:dyDescent="0.4">
      <c r="A106" s="45" t="s">
        <v>79</v>
      </c>
      <c r="B106" s="35">
        <v>-117.37236363636363</v>
      </c>
      <c r="C106" s="35">
        <v>-113.78545454545454</v>
      </c>
      <c r="D106" s="108">
        <v>-110.69454545454543</v>
      </c>
      <c r="E106" s="108">
        <v>-107.94872727272725</v>
      </c>
      <c r="F106" s="108">
        <v>-105.54581818181818</v>
      </c>
      <c r="G106" s="108">
        <v>-105.61854545454545</v>
      </c>
      <c r="H106" s="108">
        <v>-104.77409638554217</v>
      </c>
      <c r="I106" s="108">
        <v>-102.71385542168674</v>
      </c>
      <c r="J106" s="108">
        <v>-100.812</v>
      </c>
      <c r="K106" s="108">
        <v>-98.983636363636364</v>
      </c>
      <c r="L106" s="108">
        <v>-97.347272727272724</v>
      </c>
      <c r="M106" s="108">
        <v>-95.229984871406955</v>
      </c>
      <c r="N106" s="108">
        <v>-92.570378214826022</v>
      </c>
      <c r="O106" s="108">
        <v>-89.910771558245074</v>
      </c>
      <c r="P106" s="108">
        <v>-87.25116490166414</v>
      </c>
      <c r="Q106" s="108">
        <v>-84.591558245083206</v>
      </c>
      <c r="R106" s="108">
        <v>-81.931951588502272</v>
      </c>
      <c r="S106" s="108">
        <v>-79.272344931921339</v>
      </c>
      <c r="T106" s="108">
        <v>-78.017881996974282</v>
      </c>
      <c r="U106" s="108">
        <v>-76.99216338880484</v>
      </c>
      <c r="V106" s="108">
        <v>-75.966444780635399</v>
      </c>
      <c r="W106" s="108">
        <v>-74.940726172465958</v>
      </c>
      <c r="X106" s="108">
        <v>-73.915007564296531</v>
      </c>
      <c r="Y106" s="108">
        <v>-72.889288956127089</v>
      </c>
      <c r="Z106" s="108">
        <v>-71.926818181818192</v>
      </c>
      <c r="AA106" s="108">
        <v>-71.154090909090911</v>
      </c>
      <c r="AB106" s="108">
        <v>-70.381363636363645</v>
      </c>
      <c r="AC106" s="108">
        <v>-69.608636363636364</v>
      </c>
      <c r="AD106" s="108">
        <v>-68.835909090909084</v>
      </c>
      <c r="AE106" s="108">
        <v>-68.063181818181818</v>
      </c>
      <c r="AF106" s="108">
        <v>-67.290454545454537</v>
      </c>
      <c r="AG106" s="108">
        <v>-66.618789712556733</v>
      </c>
      <c r="AH106" s="108">
        <v>-66.001543116490168</v>
      </c>
      <c r="AI106" s="108">
        <v>-65.384296520423604</v>
      </c>
      <c r="AJ106" s="108">
        <v>-64.767049924357039</v>
      </c>
      <c r="AK106" s="108">
        <v>-64.14980332829046</v>
      </c>
      <c r="AL106" s="108">
        <v>-63.532556732223902</v>
      </c>
      <c r="AM106" s="108">
        <v>-62.920248108925868</v>
      </c>
      <c r="AN106" s="108">
        <v>-62.426450832072618</v>
      </c>
      <c r="AO106" s="108">
        <v>-61.932653555219368</v>
      </c>
      <c r="AP106" s="108">
        <v>-61.43885627836611</v>
      </c>
      <c r="AQ106" s="108">
        <v>-60.94505900151286</v>
      </c>
      <c r="AR106" s="108">
        <v>-60.451261724659609</v>
      </c>
      <c r="AS106" s="108">
        <v>-59.957464447806359</v>
      </c>
      <c r="AT106" s="108">
        <v>-59.478499243570354</v>
      </c>
      <c r="AU106" s="108">
        <v>-59.019195158850231</v>
      </c>
      <c r="AV106" s="108">
        <v>-58.559891074130107</v>
      </c>
      <c r="AW106" s="108">
        <v>-58.100586989409983</v>
      </c>
      <c r="AX106" s="108">
        <v>-57.641282904689866</v>
      </c>
      <c r="AY106" s="108">
        <v>-57.181978819969743</v>
      </c>
      <c r="AZ106" s="108">
        <v>-56.722674735249619</v>
      </c>
      <c r="BA106" s="108">
        <v>-56.214345454545452</v>
      </c>
      <c r="BB106" s="108">
        <v>-55.695254545454546</v>
      </c>
      <c r="BC106" s="108">
        <v>-55.176163636363633</v>
      </c>
      <c r="BD106" s="108">
        <v>-54.657072727272727</v>
      </c>
      <c r="BE106" s="108">
        <v>-54.137981818181814</v>
      </c>
      <c r="BF106" s="108">
        <v>-53.618890909090908</v>
      </c>
      <c r="BG106" s="108">
        <v>-53.101570347957633</v>
      </c>
      <c r="BH106" s="108">
        <v>-52.590526475037819</v>
      </c>
      <c r="BI106" s="108">
        <v>-52.079482602117999</v>
      </c>
      <c r="BJ106" s="108">
        <v>-51.568438729198178</v>
      </c>
      <c r="BK106" s="108">
        <v>-51.057394856278364</v>
      </c>
      <c r="BL106" s="108">
        <v>-50.546350983358543</v>
      </c>
      <c r="BM106" s="108">
        <v>-50.03530711043873</v>
      </c>
      <c r="BN106" s="108">
        <v>-49.565381818181812</v>
      </c>
      <c r="BO106" s="108">
        <v>-49.121745454545454</v>
      </c>
      <c r="BP106" s="108">
        <v>-49.374650602409638</v>
      </c>
      <c r="BQ106" s="108">
        <v>-49.677818181818182</v>
      </c>
      <c r="BR106" s="108">
        <v>-50.030545454545454</v>
      </c>
      <c r="BS106" s="108">
        <v>-50.397454545454544</v>
      </c>
      <c r="BT106" s="108">
        <v>-50.771999999999998</v>
      </c>
    </row>
    <row r="107" spans="1:72" ht="21.75" thickBot="1" x14ac:dyDescent="0.4">
      <c r="A107" s="45" t="s">
        <v>80</v>
      </c>
      <c r="B107" s="35">
        <v>-19.562060606060605</v>
      </c>
      <c r="C107" s="35">
        <v>-18.964242424242425</v>
      </c>
      <c r="D107" s="108">
        <v>-18.449090909090906</v>
      </c>
      <c r="E107" s="108">
        <v>-17.991454545454545</v>
      </c>
      <c r="F107" s="108">
        <v>-17.590969696969697</v>
      </c>
      <c r="G107" s="108">
        <v>-17.603090909090909</v>
      </c>
      <c r="H107" s="108">
        <v>-17.462349397590362</v>
      </c>
      <c r="I107" s="108">
        <v>-17.118975903614459</v>
      </c>
      <c r="J107" s="108">
        <v>-16.802</v>
      </c>
      <c r="K107" s="108">
        <v>-16.49727272727273</v>
      </c>
      <c r="L107" s="108">
        <v>-16.224545454545453</v>
      </c>
      <c r="M107" s="108">
        <v>-15.871664145234492</v>
      </c>
      <c r="N107" s="108">
        <v>-15.428396369137669</v>
      </c>
      <c r="O107" s="108">
        <v>-14.985128593040846</v>
      </c>
      <c r="P107" s="108">
        <v>-14.541860816944023</v>
      </c>
      <c r="Q107" s="108">
        <v>-14.0985930408472</v>
      </c>
      <c r="R107" s="108">
        <v>-13.655325264750378</v>
      </c>
      <c r="S107" s="108">
        <v>-13.212057488653555</v>
      </c>
      <c r="T107" s="108">
        <v>-13.002980332829047</v>
      </c>
      <c r="U107" s="108">
        <v>-12.832027231467473</v>
      </c>
      <c r="V107" s="108">
        <v>-12.6610741301059</v>
      </c>
      <c r="W107" s="108">
        <v>-12.490121028744326</v>
      </c>
      <c r="X107" s="108">
        <v>-12.319167927382754</v>
      </c>
      <c r="Y107" s="108">
        <v>-12.14821482602118</v>
      </c>
      <c r="Z107" s="108">
        <v>-11.987803030303031</v>
      </c>
      <c r="AA107" s="108">
        <v>-11.859015151515152</v>
      </c>
      <c r="AB107" s="108">
        <v>-11.730227272727273</v>
      </c>
      <c r="AC107" s="108">
        <v>-11.601439393939394</v>
      </c>
      <c r="AD107" s="108">
        <v>-11.472651515151515</v>
      </c>
      <c r="AE107" s="108">
        <v>-11.343863636363636</v>
      </c>
      <c r="AF107" s="108">
        <v>-11.215075757575757</v>
      </c>
      <c r="AG107" s="108">
        <v>-11.103131618759456</v>
      </c>
      <c r="AH107" s="108">
        <v>-11.000257186081694</v>
      </c>
      <c r="AI107" s="108">
        <v>-10.897382753403933</v>
      </c>
      <c r="AJ107" s="108">
        <v>-10.794508320726173</v>
      </c>
      <c r="AK107" s="108">
        <v>-10.691633888048411</v>
      </c>
      <c r="AL107" s="108">
        <v>-10.588759455370651</v>
      </c>
      <c r="AM107" s="108">
        <v>-10.486708018154312</v>
      </c>
      <c r="AN107" s="108">
        <v>-10.404408472012102</v>
      </c>
      <c r="AO107" s="108">
        <v>-10.322108925869895</v>
      </c>
      <c r="AP107" s="108">
        <v>-10.239809379727685</v>
      </c>
      <c r="AQ107" s="108">
        <v>-10.157509833585477</v>
      </c>
      <c r="AR107" s="108">
        <v>-10.075210287443268</v>
      </c>
      <c r="AS107" s="108">
        <v>-9.9929107413010598</v>
      </c>
      <c r="AT107" s="108">
        <v>-9.9130832072617245</v>
      </c>
      <c r="AU107" s="108">
        <v>-9.8365325264750378</v>
      </c>
      <c r="AV107" s="108">
        <v>-9.7599818456883511</v>
      </c>
      <c r="AW107" s="108">
        <v>-9.6834311649016644</v>
      </c>
      <c r="AX107" s="108">
        <v>-9.606880484114976</v>
      </c>
      <c r="AY107" s="108">
        <v>-9.5303298033282893</v>
      </c>
      <c r="AZ107" s="108">
        <v>-9.4537791225416026</v>
      </c>
      <c r="BA107" s="108">
        <v>-9.3690575757575747</v>
      </c>
      <c r="BB107" s="108">
        <v>-9.2825424242424237</v>
      </c>
      <c r="BC107" s="108">
        <v>-9.1960272727272727</v>
      </c>
      <c r="BD107" s="108">
        <v>-9.10951212121212</v>
      </c>
      <c r="BE107" s="108">
        <v>-9.022996969696969</v>
      </c>
      <c r="BF107" s="108">
        <v>-8.936481818181818</v>
      </c>
      <c r="BG107" s="108">
        <v>-8.8502617246596067</v>
      </c>
      <c r="BH107" s="108">
        <v>-8.7650877458396366</v>
      </c>
      <c r="BI107" s="108">
        <v>-8.6799137670196664</v>
      </c>
      <c r="BJ107" s="108">
        <v>-8.5947397881996963</v>
      </c>
      <c r="BK107" s="108">
        <v>-8.5095658093797262</v>
      </c>
      <c r="BL107" s="108">
        <v>-8.4243918305597578</v>
      </c>
      <c r="BM107" s="108">
        <v>-8.3392178517397877</v>
      </c>
      <c r="BN107" s="108">
        <v>-8.2608969696969687</v>
      </c>
      <c r="BO107" s="108">
        <v>-8.1869575757575745</v>
      </c>
      <c r="BP107" s="108">
        <v>-8.2291084337349396</v>
      </c>
      <c r="BQ107" s="108">
        <v>-8.2796363636363637</v>
      </c>
      <c r="BR107" s="108">
        <v>-8.3384242424242423</v>
      </c>
      <c r="BS107" s="108">
        <v>-8.3995757575757573</v>
      </c>
      <c r="BT107" s="108">
        <v>-8.4619999999999997</v>
      </c>
    </row>
    <row r="108" spans="1:72" ht="21.75" thickBot="1" x14ac:dyDescent="0.4">
      <c r="A108" s="45" t="s">
        <v>81</v>
      </c>
      <c r="B108" s="35">
        <v>-156.49648484848484</v>
      </c>
      <c r="C108" s="35">
        <v>-151.7139393939394</v>
      </c>
      <c r="D108" s="108">
        <v>-147.59272727272725</v>
      </c>
      <c r="E108" s="108">
        <v>-143.93163636363636</v>
      </c>
      <c r="F108" s="108">
        <v>-140.72775757575758</v>
      </c>
      <c r="G108" s="108">
        <v>-140.82472727272727</v>
      </c>
      <c r="H108" s="108">
        <v>-139.6987951807229</v>
      </c>
      <c r="I108" s="108">
        <v>-136.95180722891567</v>
      </c>
      <c r="J108" s="108">
        <v>-134.416</v>
      </c>
      <c r="K108" s="108">
        <v>-131.97818181818184</v>
      </c>
      <c r="L108" s="108">
        <v>-129.79636363636362</v>
      </c>
      <c r="M108" s="108">
        <v>-126.97331316187594</v>
      </c>
      <c r="N108" s="108">
        <v>-123.42717095310135</v>
      </c>
      <c r="O108" s="108">
        <v>-119.88102874432677</v>
      </c>
      <c r="P108" s="108">
        <v>-116.33488653555219</v>
      </c>
      <c r="Q108" s="108">
        <v>-112.7887443267776</v>
      </c>
      <c r="R108" s="108">
        <v>-109.24260211800302</v>
      </c>
      <c r="S108" s="108">
        <v>-105.69645990922844</v>
      </c>
      <c r="T108" s="108">
        <v>-104.02384266263238</v>
      </c>
      <c r="U108" s="108">
        <v>-102.65621785173978</v>
      </c>
      <c r="V108" s="108">
        <v>-101.2885930408472</v>
      </c>
      <c r="W108" s="108">
        <v>-99.92096822995461</v>
      </c>
      <c r="X108" s="108">
        <v>-98.553343419062031</v>
      </c>
      <c r="Y108" s="108">
        <v>-97.185718608169438</v>
      </c>
      <c r="Z108" s="108">
        <v>-95.902424242424246</v>
      </c>
      <c r="AA108" s="108">
        <v>-94.872121212121215</v>
      </c>
      <c r="AB108" s="108">
        <v>-93.841818181818184</v>
      </c>
      <c r="AC108" s="108">
        <v>-92.811515151515152</v>
      </c>
      <c r="AD108" s="108">
        <v>-91.781212121212121</v>
      </c>
      <c r="AE108" s="108">
        <v>-90.75090909090909</v>
      </c>
      <c r="AF108" s="108">
        <v>-89.720606060606059</v>
      </c>
      <c r="AG108" s="108">
        <v>-88.825052950075644</v>
      </c>
      <c r="AH108" s="108">
        <v>-88.002057488653548</v>
      </c>
      <c r="AI108" s="108">
        <v>-87.179062027231467</v>
      </c>
      <c r="AJ108" s="108">
        <v>-86.356066565809385</v>
      </c>
      <c r="AK108" s="108">
        <v>-85.53307110438729</v>
      </c>
      <c r="AL108" s="108">
        <v>-84.710075642965208</v>
      </c>
      <c r="AM108" s="108">
        <v>-83.893664145234496</v>
      </c>
      <c r="AN108" s="108">
        <v>-83.235267776096819</v>
      </c>
      <c r="AO108" s="108">
        <v>-82.576871406959157</v>
      </c>
      <c r="AP108" s="108">
        <v>-81.91847503782148</v>
      </c>
      <c r="AQ108" s="108">
        <v>-81.260078668683818</v>
      </c>
      <c r="AR108" s="108">
        <v>-80.601682299546141</v>
      </c>
      <c r="AS108" s="108">
        <v>-79.943285930408479</v>
      </c>
      <c r="AT108" s="108">
        <v>-79.304665658093796</v>
      </c>
      <c r="AU108" s="108">
        <v>-78.692260211800303</v>
      </c>
      <c r="AV108" s="108">
        <v>-78.079854765506809</v>
      </c>
      <c r="AW108" s="108">
        <v>-77.467449319213316</v>
      </c>
      <c r="AX108" s="108">
        <v>-76.855043872919808</v>
      </c>
      <c r="AY108" s="108">
        <v>-76.242638426626314</v>
      </c>
      <c r="AZ108" s="108">
        <v>-75.630232980332821</v>
      </c>
      <c r="BA108" s="108">
        <v>-74.952460606060598</v>
      </c>
      <c r="BB108" s="108">
        <v>-74.26033939393939</v>
      </c>
      <c r="BC108" s="108">
        <v>-73.568218181818182</v>
      </c>
      <c r="BD108" s="108">
        <v>-72.87609696969696</v>
      </c>
      <c r="BE108" s="108">
        <v>-72.183975757575752</v>
      </c>
      <c r="BF108" s="108">
        <v>-71.491854545454544</v>
      </c>
      <c r="BG108" s="108">
        <v>-70.802093797276854</v>
      </c>
      <c r="BH108" s="108">
        <v>-70.120701966717093</v>
      </c>
      <c r="BI108" s="108">
        <v>-69.439310136157331</v>
      </c>
      <c r="BJ108" s="108">
        <v>-68.75791830559757</v>
      </c>
      <c r="BK108" s="108">
        <v>-68.076526475037809</v>
      </c>
      <c r="BL108" s="108">
        <v>-67.395134644478063</v>
      </c>
      <c r="BM108" s="108">
        <v>-66.713742813918302</v>
      </c>
      <c r="BN108" s="108">
        <v>-66.08717575757575</v>
      </c>
      <c r="BO108" s="108">
        <v>-65.495660606060596</v>
      </c>
      <c r="BP108" s="108">
        <v>-65.832867469879517</v>
      </c>
      <c r="BQ108" s="108">
        <v>-66.237090909090909</v>
      </c>
      <c r="BR108" s="108">
        <v>-66.707393939393938</v>
      </c>
      <c r="BS108" s="108">
        <v>-67.196606060606058</v>
      </c>
      <c r="BT108" s="108">
        <v>-67.695999999999998</v>
      </c>
    </row>
    <row r="109" spans="1:72" ht="21.75" thickBot="1" x14ac:dyDescent="0.4">
      <c r="A109" s="45" t="s">
        <v>82</v>
      </c>
      <c r="B109" s="35">
        <v>-58.686181818181815</v>
      </c>
      <c r="C109" s="35">
        <v>-56.892727272727271</v>
      </c>
      <c r="D109" s="108">
        <v>-55.347272727272717</v>
      </c>
      <c r="E109" s="108">
        <v>-53.974363636363627</v>
      </c>
      <c r="F109" s="108">
        <v>-52.772909090909089</v>
      </c>
      <c r="G109" s="108">
        <v>-52.809272727272727</v>
      </c>
      <c r="H109" s="108">
        <v>-52.387048192771083</v>
      </c>
      <c r="I109" s="108">
        <v>-51.356927710843372</v>
      </c>
      <c r="J109" s="108">
        <v>-50.405999999999999</v>
      </c>
      <c r="K109" s="108">
        <v>-49.491818181818182</v>
      </c>
      <c r="L109" s="108">
        <v>-48.673636363636362</v>
      </c>
      <c r="M109" s="108">
        <v>-47.614992435703478</v>
      </c>
      <c r="N109" s="108">
        <v>-46.285189107413011</v>
      </c>
      <c r="O109" s="108">
        <v>-44.955385779122537</v>
      </c>
      <c r="P109" s="108">
        <v>-43.62558245083207</v>
      </c>
      <c r="Q109" s="108">
        <v>-42.295779122541603</v>
      </c>
      <c r="R109" s="108">
        <v>-40.965975794251136</v>
      </c>
      <c r="S109" s="108">
        <v>-39.636172465960669</v>
      </c>
      <c r="T109" s="108">
        <v>-39.008940998487141</v>
      </c>
      <c r="U109" s="108">
        <v>-38.49608169440242</v>
      </c>
      <c r="V109" s="108">
        <v>-37.9832223903177</v>
      </c>
      <c r="W109" s="108">
        <v>-37.470363086232979</v>
      </c>
      <c r="X109" s="108">
        <v>-36.957503782148265</v>
      </c>
      <c r="Y109" s="108">
        <v>-36.444644478063545</v>
      </c>
      <c r="Z109" s="108">
        <v>-35.963409090909096</v>
      </c>
      <c r="AA109" s="108">
        <v>-35.577045454545456</v>
      </c>
      <c r="AB109" s="108">
        <v>-35.190681818181822</v>
      </c>
      <c r="AC109" s="108">
        <v>-34.804318181818182</v>
      </c>
      <c r="AD109" s="108">
        <v>-34.417954545454542</v>
      </c>
      <c r="AE109" s="108">
        <v>-34.031590909090909</v>
      </c>
      <c r="AF109" s="108">
        <v>-33.645227272727269</v>
      </c>
      <c r="AG109" s="108">
        <v>-33.309394856278367</v>
      </c>
      <c r="AH109" s="108">
        <v>-33.000771558245084</v>
      </c>
      <c r="AI109" s="108">
        <v>-32.692148260211802</v>
      </c>
      <c r="AJ109" s="108">
        <v>-32.38352496217852</v>
      </c>
      <c r="AK109" s="108">
        <v>-32.07490166414523</v>
      </c>
      <c r="AL109" s="108">
        <v>-31.766278366111951</v>
      </c>
      <c r="AM109" s="108">
        <v>-31.460124054462934</v>
      </c>
      <c r="AN109" s="108">
        <v>-31.213225416036309</v>
      </c>
      <c r="AO109" s="108">
        <v>-30.966326777609684</v>
      </c>
      <c r="AP109" s="108">
        <v>-30.719428139183055</v>
      </c>
      <c r="AQ109" s="108">
        <v>-30.47252950075643</v>
      </c>
      <c r="AR109" s="108">
        <v>-30.225630862329805</v>
      </c>
      <c r="AS109" s="108">
        <v>-29.978732223903179</v>
      </c>
      <c r="AT109" s="108">
        <v>-29.739249621785177</v>
      </c>
      <c r="AU109" s="108">
        <v>-29.509597579425115</v>
      </c>
      <c r="AV109" s="108">
        <v>-29.279945537065053</v>
      </c>
      <c r="AW109" s="108">
        <v>-29.050293494704992</v>
      </c>
      <c r="AX109" s="108">
        <v>-28.820641452344933</v>
      </c>
      <c r="AY109" s="108">
        <v>-28.590989409984871</v>
      </c>
      <c r="AZ109" s="108">
        <v>-28.36133736762481</v>
      </c>
      <c r="BA109" s="108">
        <v>-28.107172727272726</v>
      </c>
      <c r="BB109" s="108">
        <v>-27.847627272727273</v>
      </c>
      <c r="BC109" s="108">
        <v>-27.588081818181816</v>
      </c>
      <c r="BD109" s="108">
        <v>-27.328536363636363</v>
      </c>
      <c r="BE109" s="108">
        <v>-27.068990909090907</v>
      </c>
      <c r="BF109" s="108">
        <v>-26.809445454545454</v>
      </c>
      <c r="BG109" s="108">
        <v>-26.550785173978817</v>
      </c>
      <c r="BH109" s="108">
        <v>-26.29526323751891</v>
      </c>
      <c r="BI109" s="108">
        <v>-26.039741301058999</v>
      </c>
      <c r="BJ109" s="108">
        <v>-25.784219364599089</v>
      </c>
      <c r="BK109" s="108">
        <v>-25.528697428139182</v>
      </c>
      <c r="BL109" s="108">
        <v>-25.273175491679272</v>
      </c>
      <c r="BM109" s="108">
        <v>-25.017653555219365</v>
      </c>
      <c r="BN109" s="108">
        <v>-24.782690909090906</v>
      </c>
      <c r="BO109" s="108">
        <v>-24.560872727272727</v>
      </c>
      <c r="BP109" s="108">
        <v>-24.687325301204819</v>
      </c>
      <c r="BQ109" s="108">
        <v>-24.838909090909091</v>
      </c>
      <c r="BR109" s="108">
        <v>-25.015272727272727</v>
      </c>
      <c r="BS109" s="108">
        <v>-25.198727272727272</v>
      </c>
      <c r="BT109" s="108">
        <v>-25.385999999999999</v>
      </c>
    </row>
    <row r="110" spans="1:72" ht="21.75" thickBot="1" x14ac:dyDescent="0.4">
      <c r="A110" s="45" t="s">
        <v>83</v>
      </c>
      <c r="B110" s="35">
        <v>-39.12412121212121</v>
      </c>
      <c r="C110" s="35">
        <v>-37.92848484848485</v>
      </c>
      <c r="D110" s="108">
        <v>-36.898181818181811</v>
      </c>
      <c r="E110" s="108">
        <v>-35.982909090909089</v>
      </c>
      <c r="F110" s="108">
        <v>-35.181939393939395</v>
      </c>
      <c r="G110" s="108">
        <v>-35.206181818181818</v>
      </c>
      <c r="H110" s="108">
        <v>-34.924698795180724</v>
      </c>
      <c r="I110" s="108">
        <v>-34.237951807228917</v>
      </c>
      <c r="J110" s="108">
        <v>-33.603999999999999</v>
      </c>
      <c r="K110" s="108">
        <v>-32.99454545454546</v>
      </c>
      <c r="L110" s="108">
        <v>-32.449090909090906</v>
      </c>
      <c r="M110" s="108">
        <v>-31.743328290468984</v>
      </c>
      <c r="N110" s="108">
        <v>-30.856792738275338</v>
      </c>
      <c r="O110" s="108">
        <v>-29.970257186081692</v>
      </c>
      <c r="P110" s="108">
        <v>-29.083721633888047</v>
      </c>
      <c r="Q110" s="108">
        <v>-28.197186081694401</v>
      </c>
      <c r="R110" s="108">
        <v>-27.310650529500755</v>
      </c>
      <c r="S110" s="108">
        <v>-26.424114977307109</v>
      </c>
      <c r="T110" s="108">
        <v>-26.005960665658094</v>
      </c>
      <c r="U110" s="108">
        <v>-25.664054462934946</v>
      </c>
      <c r="V110" s="108">
        <v>-25.322148260211801</v>
      </c>
      <c r="W110" s="108">
        <v>-24.980242057488653</v>
      </c>
      <c r="X110" s="108">
        <v>-24.638335854765508</v>
      </c>
      <c r="Y110" s="108">
        <v>-24.296429652042359</v>
      </c>
      <c r="Z110" s="108">
        <v>-23.975606060606061</v>
      </c>
      <c r="AA110" s="108">
        <v>-23.718030303030304</v>
      </c>
      <c r="AB110" s="108">
        <v>-23.460454545454546</v>
      </c>
      <c r="AC110" s="108">
        <v>-23.202878787878788</v>
      </c>
      <c r="AD110" s="108">
        <v>-22.94530303030303</v>
      </c>
      <c r="AE110" s="108">
        <v>-22.687727272727273</v>
      </c>
      <c r="AF110" s="108">
        <v>-22.430151515151515</v>
      </c>
      <c r="AG110" s="108">
        <v>-22.206263237518911</v>
      </c>
      <c r="AH110" s="108">
        <v>-22.000514372163387</v>
      </c>
      <c r="AI110" s="108">
        <v>-21.794765506807867</v>
      </c>
      <c r="AJ110" s="108">
        <v>-21.589016641452346</v>
      </c>
      <c r="AK110" s="108">
        <v>-21.383267776096822</v>
      </c>
      <c r="AL110" s="108">
        <v>-21.177518910741302</v>
      </c>
      <c r="AM110" s="108">
        <v>-20.973416036308624</v>
      </c>
      <c r="AN110" s="108">
        <v>-20.808816944024205</v>
      </c>
      <c r="AO110" s="108">
        <v>-20.644217851739789</v>
      </c>
      <c r="AP110" s="108">
        <v>-20.47961875945537</v>
      </c>
      <c r="AQ110" s="108">
        <v>-20.315019667170954</v>
      </c>
      <c r="AR110" s="108">
        <v>-20.150420574886535</v>
      </c>
      <c r="AS110" s="108">
        <v>-19.98582148260212</v>
      </c>
      <c r="AT110" s="108">
        <v>-19.826166414523449</v>
      </c>
      <c r="AU110" s="108">
        <v>-19.673065052950076</v>
      </c>
      <c r="AV110" s="108">
        <v>-19.519963691376702</v>
      </c>
      <c r="AW110" s="108">
        <v>-19.366862329803329</v>
      </c>
      <c r="AX110" s="108">
        <v>-19.213760968229952</v>
      </c>
      <c r="AY110" s="108">
        <v>-19.060659606656579</v>
      </c>
      <c r="AZ110" s="108">
        <v>-18.907558245083205</v>
      </c>
      <c r="BA110" s="108">
        <v>-18.738115151515149</v>
      </c>
      <c r="BB110" s="108">
        <v>-18.565084848484847</v>
      </c>
      <c r="BC110" s="108">
        <v>-18.392054545454545</v>
      </c>
      <c r="BD110" s="108">
        <v>-18.21902424242424</v>
      </c>
      <c r="BE110" s="108">
        <v>-18.045993939393938</v>
      </c>
      <c r="BF110" s="108">
        <v>-17.872963636363636</v>
      </c>
      <c r="BG110" s="108">
        <v>-17.700523449319213</v>
      </c>
      <c r="BH110" s="108">
        <v>-17.530175491679273</v>
      </c>
      <c r="BI110" s="108">
        <v>-17.359827534039333</v>
      </c>
      <c r="BJ110" s="108">
        <v>-17.189479576399393</v>
      </c>
      <c r="BK110" s="108">
        <v>-17.019131618759452</v>
      </c>
      <c r="BL110" s="108">
        <v>-16.848783661119516</v>
      </c>
      <c r="BM110" s="108">
        <v>-16.678435703479575</v>
      </c>
      <c r="BN110" s="108">
        <v>-16.521793939393937</v>
      </c>
      <c r="BO110" s="108">
        <v>-16.373915151515149</v>
      </c>
      <c r="BP110" s="108">
        <v>-16.458216867469879</v>
      </c>
      <c r="BQ110" s="108">
        <v>-16.559272727272727</v>
      </c>
      <c r="BR110" s="108">
        <v>-16.676848484848485</v>
      </c>
      <c r="BS110" s="108">
        <v>-16.799151515151515</v>
      </c>
      <c r="BT110" s="108">
        <v>-16.923999999999999</v>
      </c>
    </row>
    <row r="111" spans="1:72" ht="21.75" thickBot="1" x14ac:dyDescent="0.4">
      <c r="A111" s="45" t="s">
        <v>2</v>
      </c>
      <c r="B111" s="35">
        <v>-19.562060606060605</v>
      </c>
      <c r="C111" s="35">
        <v>-18.964242424242425</v>
      </c>
      <c r="D111" s="108">
        <v>-18.449090909090906</v>
      </c>
      <c r="E111" s="108">
        <v>-17.991454545454545</v>
      </c>
      <c r="F111" s="108">
        <v>-17.590969696969697</v>
      </c>
      <c r="G111" s="108">
        <v>-17.603090909090909</v>
      </c>
      <c r="H111" s="108">
        <v>-17.462349397590362</v>
      </c>
      <c r="I111" s="108">
        <v>-17.118975903614459</v>
      </c>
      <c r="J111" s="108">
        <v>-16.802</v>
      </c>
      <c r="K111" s="108">
        <v>-16.49727272727273</v>
      </c>
      <c r="L111" s="108">
        <v>-16.224545454545453</v>
      </c>
      <c r="M111" s="108">
        <v>-15.871664145234492</v>
      </c>
      <c r="N111" s="108">
        <v>-15.428396369137669</v>
      </c>
      <c r="O111" s="108">
        <v>-14.985128593040846</v>
      </c>
      <c r="P111" s="108">
        <v>-14.541860816944023</v>
      </c>
      <c r="Q111" s="108">
        <v>-14.0985930408472</v>
      </c>
      <c r="R111" s="108">
        <v>-13.655325264750378</v>
      </c>
      <c r="S111" s="108">
        <v>-13.212057488653555</v>
      </c>
      <c r="T111" s="108">
        <v>-13.002980332829047</v>
      </c>
      <c r="U111" s="108">
        <v>-12.832027231467473</v>
      </c>
      <c r="V111" s="108">
        <v>-12.6610741301059</v>
      </c>
      <c r="W111" s="108">
        <v>-12.490121028744326</v>
      </c>
      <c r="X111" s="108">
        <v>-12.319167927382754</v>
      </c>
      <c r="Y111" s="108">
        <v>-12.14821482602118</v>
      </c>
      <c r="Z111" s="108">
        <v>-11.987803030303031</v>
      </c>
      <c r="AA111" s="108">
        <v>-11.859015151515152</v>
      </c>
      <c r="AB111" s="108">
        <v>-11.730227272727273</v>
      </c>
      <c r="AC111" s="108">
        <v>-11.601439393939394</v>
      </c>
      <c r="AD111" s="108">
        <v>-11.472651515151515</v>
      </c>
      <c r="AE111" s="108">
        <v>-11.343863636363636</v>
      </c>
      <c r="AF111" s="108">
        <v>-11.215075757575757</v>
      </c>
      <c r="AG111" s="108">
        <v>-11.103131618759456</v>
      </c>
      <c r="AH111" s="108">
        <v>-11.000257186081694</v>
      </c>
      <c r="AI111" s="108">
        <v>-10.897382753403933</v>
      </c>
      <c r="AJ111" s="108">
        <v>-10.794508320726173</v>
      </c>
      <c r="AK111" s="108">
        <v>-10.691633888048411</v>
      </c>
      <c r="AL111" s="108">
        <v>-10.588759455370651</v>
      </c>
      <c r="AM111" s="108">
        <v>-10.486708018154312</v>
      </c>
      <c r="AN111" s="108">
        <v>-10.404408472012102</v>
      </c>
      <c r="AO111" s="108">
        <v>-10.322108925869895</v>
      </c>
      <c r="AP111" s="108">
        <v>-10.239809379727685</v>
      </c>
      <c r="AQ111" s="108">
        <v>-10.157509833585477</v>
      </c>
      <c r="AR111" s="108">
        <v>-10.075210287443268</v>
      </c>
      <c r="AS111" s="108">
        <v>-9.9929107413010598</v>
      </c>
      <c r="AT111" s="108">
        <v>-9.9130832072617245</v>
      </c>
      <c r="AU111" s="108">
        <v>-9.8365325264750378</v>
      </c>
      <c r="AV111" s="108">
        <v>-9.7599818456883511</v>
      </c>
      <c r="AW111" s="108">
        <v>-9.6834311649016644</v>
      </c>
      <c r="AX111" s="108">
        <v>-9.606880484114976</v>
      </c>
      <c r="AY111" s="108">
        <v>-9.5303298033282893</v>
      </c>
      <c r="AZ111" s="108">
        <v>-9.4537791225416026</v>
      </c>
      <c r="BA111" s="108">
        <v>-9.3690575757575747</v>
      </c>
      <c r="BB111" s="108">
        <v>-9.2825424242424237</v>
      </c>
      <c r="BC111" s="108">
        <v>-9.1960272727272727</v>
      </c>
      <c r="BD111" s="108">
        <v>-9.10951212121212</v>
      </c>
      <c r="BE111" s="108">
        <v>-9.022996969696969</v>
      </c>
      <c r="BF111" s="108">
        <v>-8.936481818181818</v>
      </c>
      <c r="BG111" s="108">
        <v>-8.8502617246596067</v>
      </c>
      <c r="BH111" s="108">
        <v>-8.7650877458396366</v>
      </c>
      <c r="BI111" s="108">
        <v>-8.6799137670196664</v>
      </c>
      <c r="BJ111" s="108">
        <v>-8.5947397881996963</v>
      </c>
      <c r="BK111" s="108">
        <v>-8.5095658093797262</v>
      </c>
      <c r="BL111" s="108">
        <v>-8.4243918305597578</v>
      </c>
      <c r="BM111" s="108">
        <v>-8.3392178517397877</v>
      </c>
      <c r="BN111" s="108">
        <v>-8.2608969696969687</v>
      </c>
      <c r="BO111" s="108">
        <v>-8.1869575757575745</v>
      </c>
      <c r="BP111" s="108">
        <v>-8.2291084337349396</v>
      </c>
      <c r="BQ111" s="108">
        <v>-8.2796363636363637</v>
      </c>
      <c r="BR111" s="108">
        <v>-8.3384242424242423</v>
      </c>
      <c r="BS111" s="108">
        <v>-8.3995757575757573</v>
      </c>
      <c r="BT111" s="108">
        <v>-8.4619999999999997</v>
      </c>
    </row>
    <row r="112" spans="1:72" ht="21.75" thickBot="1" x14ac:dyDescent="0.4">
      <c r="A112" s="45" t="s">
        <v>1</v>
      </c>
      <c r="B112" s="35">
        <v>-18.61</v>
      </c>
      <c r="C112" s="35">
        <v>-18.612303030303028</v>
      </c>
      <c r="D112" s="108">
        <v>-18.618363636363636</v>
      </c>
      <c r="E112" s="108">
        <v>-18.624424242424244</v>
      </c>
      <c r="F112" s="108">
        <v>-18.630969696969697</v>
      </c>
      <c r="G112" s="108">
        <v>-18.643090909090908</v>
      </c>
      <c r="H112" s="108">
        <v>-18.655180722891565</v>
      </c>
      <c r="I112" s="108">
        <v>-18.667228915662651</v>
      </c>
      <c r="J112" s="108">
        <v>-18.679333333333336</v>
      </c>
      <c r="K112" s="108">
        <v>-18.692181818181819</v>
      </c>
      <c r="L112" s="108">
        <v>-18.710363636363635</v>
      </c>
      <c r="M112" s="108">
        <v>-18.728532526475036</v>
      </c>
      <c r="N112" s="108">
        <v>-18.746686838124052</v>
      </c>
      <c r="O112" s="108">
        <v>-18.764841149773069</v>
      </c>
      <c r="P112" s="108">
        <v>-18.782995461422086</v>
      </c>
      <c r="Q112" s="108">
        <v>-18.801149773071103</v>
      </c>
      <c r="R112" s="108">
        <v>-18.81930408472012</v>
      </c>
      <c r="S112" s="108">
        <v>-18.837458396369136</v>
      </c>
      <c r="T112" s="108">
        <v>-18.856913767019666</v>
      </c>
      <c r="U112" s="108">
        <v>-18.876580937972768</v>
      </c>
      <c r="V112" s="108">
        <v>-18.896248108925871</v>
      </c>
      <c r="W112" s="108">
        <v>-18.91591527987897</v>
      </c>
      <c r="X112" s="108">
        <v>-18.935582450832072</v>
      </c>
      <c r="Y112" s="108">
        <v>-18.955249621785175</v>
      </c>
      <c r="Z112" s="108">
        <v>-18.975303030303028</v>
      </c>
      <c r="AA112" s="108">
        <v>-18.996515151515151</v>
      </c>
      <c r="AB112" s="108">
        <v>-19.017727272727271</v>
      </c>
      <c r="AC112" s="108">
        <v>-19.038939393939394</v>
      </c>
      <c r="AD112" s="108">
        <v>-19.060151515151514</v>
      </c>
      <c r="AE112" s="108">
        <v>-19.081363636363637</v>
      </c>
      <c r="AF112" s="108">
        <v>-19.102575757575757</v>
      </c>
      <c r="AG112" s="108">
        <v>-19.12376701966717</v>
      </c>
      <c r="AH112" s="108">
        <v>-19.144947049924358</v>
      </c>
      <c r="AI112" s="108">
        <v>-19.166127080181543</v>
      </c>
      <c r="AJ112" s="108">
        <v>-19.187307110438727</v>
      </c>
      <c r="AK112" s="108">
        <v>-19.208487140695915</v>
      </c>
      <c r="AL112" s="108">
        <v>-19.2296671709531</v>
      </c>
      <c r="AM112" s="108">
        <v>-19.250786686838126</v>
      </c>
      <c r="AN112" s="108">
        <v>-19.270453857791225</v>
      </c>
      <c r="AO112" s="108">
        <v>-19.290121028744327</v>
      </c>
      <c r="AP112" s="108">
        <v>-19.309788199697426</v>
      </c>
      <c r="AQ112" s="108">
        <v>-19.329455370650528</v>
      </c>
      <c r="AR112" s="108">
        <v>-19.349122541603631</v>
      </c>
      <c r="AS112" s="108">
        <v>-19.36878971255673</v>
      </c>
      <c r="AT112" s="108">
        <v>-19.389107413010588</v>
      </c>
      <c r="AU112" s="108">
        <v>-19.410287443267777</v>
      </c>
      <c r="AV112" s="108">
        <v>-19.431467473524961</v>
      </c>
      <c r="AW112" s="108">
        <v>-19.452647503782149</v>
      </c>
      <c r="AX112" s="108">
        <v>-19.473827534039334</v>
      </c>
      <c r="AY112" s="108">
        <v>-19.495007564296522</v>
      </c>
      <c r="AZ112" s="108">
        <v>-19.516187594553706</v>
      </c>
      <c r="BA112" s="108">
        <v>-19.539878787878788</v>
      </c>
      <c r="BB112" s="108">
        <v>-19.564121212121211</v>
      </c>
      <c r="BC112" s="108">
        <v>-19.588363636363635</v>
      </c>
      <c r="BD112" s="108">
        <v>-19.612606060606062</v>
      </c>
      <c r="BE112" s="108">
        <v>-19.636848484848485</v>
      </c>
      <c r="BF112" s="108">
        <v>-19.661090909090909</v>
      </c>
      <c r="BG112" s="108">
        <v>-19.690650529500758</v>
      </c>
      <c r="BH112" s="108">
        <v>-19.739062027231469</v>
      </c>
      <c r="BI112" s="108">
        <v>-19.787473524962177</v>
      </c>
      <c r="BJ112" s="108">
        <v>-19.835885022692889</v>
      </c>
      <c r="BK112" s="108">
        <v>-19.8842965204236</v>
      </c>
      <c r="BL112" s="108">
        <v>-19.932708018154312</v>
      </c>
      <c r="BM112" s="108">
        <v>-19.981119515885023</v>
      </c>
      <c r="BN112" s="108">
        <v>-20.070242424242426</v>
      </c>
      <c r="BO112" s="108">
        <v>-20.18539393939394</v>
      </c>
      <c r="BP112" s="108">
        <v>-20.224698795180725</v>
      </c>
      <c r="BQ112" s="108">
        <v>-20.260909090909092</v>
      </c>
      <c r="BR112" s="108">
        <v>-20.297272727272727</v>
      </c>
      <c r="BS112" s="108">
        <v>-20.329696969696968</v>
      </c>
      <c r="BT112" s="108">
        <v>-20.36</v>
      </c>
    </row>
    <row r="113" spans="1:72" ht="21.75" thickBot="1" x14ac:dyDescent="0.4">
      <c r="A113" s="45" t="s">
        <v>59</v>
      </c>
      <c r="B113" s="35">
        <v>-59.735151515151514</v>
      </c>
      <c r="C113" s="35">
        <v>-58.595515151515151</v>
      </c>
      <c r="D113" s="108">
        <v>-57.42581818181818</v>
      </c>
      <c r="E113" s="108">
        <v>-56.278242424242421</v>
      </c>
      <c r="F113" s="108">
        <v>-55.241636363636367</v>
      </c>
      <c r="G113" s="108">
        <v>-55.387090909090908</v>
      </c>
      <c r="H113" s="108">
        <v>-55.058132530120481</v>
      </c>
      <c r="I113" s="108">
        <v>-54.100301204819282</v>
      </c>
      <c r="J113" s="108">
        <v>-53.203333333333333</v>
      </c>
      <c r="K113" s="108">
        <v>-52.333272727272728</v>
      </c>
      <c r="L113" s="108">
        <v>-51.527212121212123</v>
      </c>
      <c r="M113" s="108">
        <v>-50.467881996974285</v>
      </c>
      <c r="N113" s="108">
        <v>-49.122950075642969</v>
      </c>
      <c r="O113" s="108">
        <v>-47.778018154311653</v>
      </c>
      <c r="P113" s="108">
        <v>-46.43308623298033</v>
      </c>
      <c r="Q113" s="108">
        <v>-45.088154311649021</v>
      </c>
      <c r="R113" s="108">
        <v>-43.743222390317698</v>
      </c>
      <c r="S113" s="108">
        <v>-42.398290468986382</v>
      </c>
      <c r="T113" s="108">
        <v>-41.766338880484113</v>
      </c>
      <c r="U113" s="108">
        <v>-41.250453857791221</v>
      </c>
      <c r="V113" s="108">
        <v>-40.734568835098337</v>
      </c>
      <c r="W113" s="108">
        <v>-40.218683812405445</v>
      </c>
      <c r="X113" s="108">
        <v>-39.702798789712553</v>
      </c>
      <c r="Y113" s="108">
        <v>-39.186913767019668</v>
      </c>
      <c r="Z113" s="108">
        <v>-38.701136363636358</v>
      </c>
      <c r="AA113" s="108">
        <v>-38.305681818181817</v>
      </c>
      <c r="AB113" s="108">
        <v>-37.910227272727269</v>
      </c>
      <c r="AC113" s="108">
        <v>-37.514772727272728</v>
      </c>
      <c r="AD113" s="108">
        <v>-37.11931818181818</v>
      </c>
      <c r="AE113" s="108">
        <v>-36.723863636363632</v>
      </c>
      <c r="AF113" s="108">
        <v>-36.328409090909091</v>
      </c>
      <c r="AG113" s="108">
        <v>-35.985461422087745</v>
      </c>
      <c r="AH113" s="108">
        <v>-35.67078668683812</v>
      </c>
      <c r="AI113" s="108">
        <v>-35.356111951588503</v>
      </c>
      <c r="AJ113" s="108">
        <v>-35.041437216338878</v>
      </c>
      <c r="AK113" s="108">
        <v>-34.72676248108926</v>
      </c>
      <c r="AL113" s="108">
        <v>-34.412087745839635</v>
      </c>
      <c r="AM113" s="108">
        <v>-34.099930408472012</v>
      </c>
      <c r="AN113" s="108">
        <v>-33.848190620272312</v>
      </c>
      <c r="AO113" s="108">
        <v>-33.59645083207262</v>
      </c>
      <c r="AP113" s="108">
        <v>-33.34471104387292</v>
      </c>
      <c r="AQ113" s="108">
        <v>-33.09297125567322</v>
      </c>
      <c r="AR113" s="108">
        <v>-32.841231467473527</v>
      </c>
      <c r="AS113" s="108">
        <v>-32.589491679273827</v>
      </c>
      <c r="AT113" s="108">
        <v>-32.368847201210286</v>
      </c>
      <c r="AU113" s="108">
        <v>-32.189422087745839</v>
      </c>
      <c r="AV113" s="108">
        <v>-32.009996974281393</v>
      </c>
      <c r="AW113" s="108">
        <v>-31.830571860816942</v>
      </c>
      <c r="AX113" s="108">
        <v>-31.651146747352495</v>
      </c>
      <c r="AY113" s="108">
        <v>-31.471721633888045</v>
      </c>
      <c r="AZ113" s="108">
        <v>-31.292296520423598</v>
      </c>
      <c r="BA113" s="108">
        <v>-31.194027272727272</v>
      </c>
      <c r="BB113" s="108">
        <v>-31.113572727272725</v>
      </c>
      <c r="BC113" s="108">
        <v>-31.033118181818178</v>
      </c>
      <c r="BD113" s="108">
        <v>-30.952663636363635</v>
      </c>
      <c r="BE113" s="108">
        <v>-30.872209090909088</v>
      </c>
      <c r="BF113" s="108">
        <v>-30.791754545454545</v>
      </c>
      <c r="BG113" s="108">
        <v>-30.721577912254158</v>
      </c>
      <c r="BH113" s="108">
        <v>-30.687841149773071</v>
      </c>
      <c r="BI113" s="108">
        <v>-30.65410438729198</v>
      </c>
      <c r="BJ113" s="108">
        <v>-30.620367624810893</v>
      </c>
      <c r="BK113" s="108">
        <v>-30.586630862329802</v>
      </c>
      <c r="BL113" s="108">
        <v>-30.552894099848714</v>
      </c>
      <c r="BM113" s="108">
        <v>-30.519157337367623</v>
      </c>
      <c r="BN113" s="108">
        <v>-30.483078787878789</v>
      </c>
      <c r="BO113" s="108">
        <v>-30.445503030303033</v>
      </c>
      <c r="BP113" s="108">
        <v>-30.604771084337351</v>
      </c>
      <c r="BQ113" s="108">
        <v>-30.772363636363639</v>
      </c>
      <c r="BR113" s="108">
        <v>-30.940242424242427</v>
      </c>
      <c r="BS113" s="108">
        <v>-31.118363636363636</v>
      </c>
      <c r="BT113" s="108">
        <v>-31.302</v>
      </c>
    </row>
    <row r="114" spans="1:72" ht="21.75" thickBot="1" x14ac:dyDescent="0.4">
      <c r="A114" s="45" t="s">
        <v>84</v>
      </c>
      <c r="B114" s="35">
        <v>-20.086545454545455</v>
      </c>
      <c r="C114" s="35">
        <v>-19.815636363636365</v>
      </c>
      <c r="D114" s="108">
        <v>-19.488363636363633</v>
      </c>
      <c r="E114" s="108">
        <v>-19.143393939393938</v>
      </c>
      <c r="F114" s="108">
        <v>-18.825333333333333</v>
      </c>
      <c r="G114" s="108">
        <v>-18.891999999999999</v>
      </c>
      <c r="H114" s="108">
        <v>-18.797891566265061</v>
      </c>
      <c r="I114" s="108">
        <v>-18.49066265060241</v>
      </c>
      <c r="J114" s="108">
        <v>-18.200666666666667</v>
      </c>
      <c r="K114" s="108">
        <v>-17.917999999999999</v>
      </c>
      <c r="L114" s="108">
        <v>-17.651333333333334</v>
      </c>
      <c r="M114" s="108">
        <v>-17.298108925869897</v>
      </c>
      <c r="N114" s="108">
        <v>-16.847276853252648</v>
      </c>
      <c r="O114" s="108">
        <v>-16.396444780635402</v>
      </c>
      <c r="P114" s="108">
        <v>-15.945612708018155</v>
      </c>
      <c r="Q114" s="108">
        <v>-15.494780635400907</v>
      </c>
      <c r="R114" s="108">
        <v>-15.04394856278366</v>
      </c>
      <c r="S114" s="108">
        <v>-14.593116490166413</v>
      </c>
      <c r="T114" s="108">
        <v>-14.381679273827533</v>
      </c>
      <c r="U114" s="108">
        <v>-14.209213313161875</v>
      </c>
      <c r="V114" s="108">
        <v>-14.036747352496217</v>
      </c>
      <c r="W114" s="108">
        <v>-13.864281391830559</v>
      </c>
      <c r="X114" s="108">
        <v>-13.691815431164901</v>
      </c>
      <c r="Y114" s="108">
        <v>-13.519349470499243</v>
      </c>
      <c r="Z114" s="108">
        <v>-13.356666666666667</v>
      </c>
      <c r="AA114" s="108">
        <v>-13.223333333333334</v>
      </c>
      <c r="AB114" s="108">
        <v>-13.09</v>
      </c>
      <c r="AC114" s="108">
        <v>-12.956666666666667</v>
      </c>
      <c r="AD114" s="108">
        <v>-12.823333333333334</v>
      </c>
      <c r="AE114" s="108">
        <v>-12.69</v>
      </c>
      <c r="AF114" s="108">
        <v>-12.556666666666667</v>
      </c>
      <c r="AG114" s="108">
        <v>-12.441164901664145</v>
      </c>
      <c r="AH114" s="108">
        <v>-12.335264750378215</v>
      </c>
      <c r="AI114" s="108">
        <v>-12.229364599092285</v>
      </c>
      <c r="AJ114" s="108">
        <v>-12.123464447806354</v>
      </c>
      <c r="AK114" s="108">
        <v>-12.017564296520424</v>
      </c>
      <c r="AL114" s="108">
        <v>-11.911664145234493</v>
      </c>
      <c r="AM114" s="108">
        <v>-11.806611195158851</v>
      </c>
      <c r="AN114" s="108">
        <v>-11.721891074130106</v>
      </c>
      <c r="AO114" s="108">
        <v>-11.637170953101363</v>
      </c>
      <c r="AP114" s="108">
        <v>-11.552450832072617</v>
      </c>
      <c r="AQ114" s="108">
        <v>-11.467730711043874</v>
      </c>
      <c r="AR114" s="108">
        <v>-11.383010590015129</v>
      </c>
      <c r="AS114" s="108">
        <v>-11.298290468986385</v>
      </c>
      <c r="AT114" s="108">
        <v>-11.227881996974281</v>
      </c>
      <c r="AU114" s="108">
        <v>-11.176444780635402</v>
      </c>
      <c r="AV114" s="108">
        <v>-11.125007564296521</v>
      </c>
      <c r="AW114" s="108">
        <v>-11.07357034795764</v>
      </c>
      <c r="AX114" s="108">
        <v>-11.022133131618759</v>
      </c>
      <c r="AY114" s="108">
        <v>-10.97069591527988</v>
      </c>
      <c r="AZ114" s="108">
        <v>-10.919258698940999</v>
      </c>
      <c r="BA114" s="108">
        <v>-10.912484848484848</v>
      </c>
      <c r="BB114" s="108">
        <v>-10.915515151515152</v>
      </c>
      <c r="BC114" s="108">
        <v>-10.918545454545454</v>
      </c>
      <c r="BD114" s="108">
        <v>-10.921575757575757</v>
      </c>
      <c r="BE114" s="108">
        <v>-10.924606060606061</v>
      </c>
      <c r="BF114" s="108">
        <v>-10.927636363636363</v>
      </c>
      <c r="BG114" s="108">
        <v>-10.935658093797276</v>
      </c>
      <c r="BH114" s="108">
        <v>-10.961376701966717</v>
      </c>
      <c r="BI114" s="108">
        <v>-10.987095310136157</v>
      </c>
      <c r="BJ114" s="108">
        <v>-11.012813918305598</v>
      </c>
      <c r="BK114" s="108">
        <v>-11.038532526475038</v>
      </c>
      <c r="BL114" s="108">
        <v>-11.064251134644477</v>
      </c>
      <c r="BM114" s="108">
        <v>-11.089969742813919</v>
      </c>
      <c r="BN114" s="108">
        <v>-11.11109090909091</v>
      </c>
      <c r="BO114" s="108">
        <v>-11.129272727272728</v>
      </c>
      <c r="BP114" s="108">
        <v>-11.187831325301206</v>
      </c>
      <c r="BQ114" s="108">
        <v>-11.246363636363636</v>
      </c>
      <c r="BR114" s="108">
        <v>-11.300909090909091</v>
      </c>
      <c r="BS114" s="108">
        <v>-11.359393939393939</v>
      </c>
      <c r="BT114" s="108">
        <v>-11.42</v>
      </c>
    </row>
    <row r="115" spans="1:72" ht="21.75" thickBot="1" x14ac:dyDescent="0.4">
      <c r="A115" s="45" t="s">
        <v>85</v>
      </c>
      <c r="B115" s="35">
        <v>-11.645030303030303</v>
      </c>
      <c r="C115" s="35">
        <v>-11.600060606060607</v>
      </c>
      <c r="D115" s="108">
        <v>-11.521272727272727</v>
      </c>
      <c r="E115" s="108">
        <v>-11.433636363636364</v>
      </c>
      <c r="F115" s="108">
        <v>-11.311696969696969</v>
      </c>
      <c r="G115" s="108">
        <v>-10.832909090909091</v>
      </c>
      <c r="H115" s="108">
        <v>-10.531506024096386</v>
      </c>
      <c r="I115" s="108">
        <v>-10.465240963855422</v>
      </c>
      <c r="J115" s="108">
        <v>-10.403333333333332</v>
      </c>
      <c r="K115" s="108">
        <v>-10.343454545454545</v>
      </c>
      <c r="L115" s="108">
        <v>-10.28890909090909</v>
      </c>
      <c r="M115" s="108">
        <v>-10.346747352496218</v>
      </c>
      <c r="N115" s="108">
        <v>-10.531316187594554</v>
      </c>
      <c r="O115" s="108">
        <v>-10.715885022692889</v>
      </c>
      <c r="P115" s="108">
        <v>-10.900453857791225</v>
      </c>
      <c r="Q115" s="108">
        <v>-11.085022692889561</v>
      </c>
      <c r="R115" s="108">
        <v>-11.269591527987897</v>
      </c>
      <c r="S115" s="108">
        <v>-11.454160363086235</v>
      </c>
      <c r="T115" s="108">
        <v>-11.477397881996975</v>
      </c>
      <c r="U115" s="108">
        <v>-11.474372163388805</v>
      </c>
      <c r="V115" s="108">
        <v>-11.471346444780636</v>
      </c>
      <c r="W115" s="108">
        <v>-11.468320726172466</v>
      </c>
      <c r="X115" s="108">
        <v>-11.465295007564297</v>
      </c>
      <c r="Y115" s="108">
        <v>-11.462269288956128</v>
      </c>
      <c r="Z115" s="108">
        <v>-11.462651515151515</v>
      </c>
      <c r="AA115" s="108">
        <v>-11.473257575757577</v>
      </c>
      <c r="AB115" s="108">
        <v>-11.483863636363637</v>
      </c>
      <c r="AC115" s="108">
        <v>-11.494469696969697</v>
      </c>
      <c r="AD115" s="108">
        <v>-11.505075757575758</v>
      </c>
      <c r="AE115" s="108">
        <v>-11.515681818181818</v>
      </c>
      <c r="AF115" s="108">
        <v>-11.526287878787878</v>
      </c>
      <c r="AG115" s="108">
        <v>-11.542783661119515</v>
      </c>
      <c r="AH115" s="108">
        <v>-11.562450832072617</v>
      </c>
      <c r="AI115" s="108">
        <v>-11.582118003025718</v>
      </c>
      <c r="AJ115" s="108">
        <v>-11.60178517397882</v>
      </c>
      <c r="AK115" s="108">
        <v>-11.621452344931921</v>
      </c>
      <c r="AL115" s="108">
        <v>-11.641119515885023</v>
      </c>
      <c r="AM115" s="108">
        <v>-11.661149773071104</v>
      </c>
      <c r="AN115" s="108">
        <v>-11.689894099848715</v>
      </c>
      <c r="AO115" s="108">
        <v>-11.718638426626324</v>
      </c>
      <c r="AP115" s="108">
        <v>-11.747382753403933</v>
      </c>
      <c r="AQ115" s="108">
        <v>-11.776127080181542</v>
      </c>
      <c r="AR115" s="108">
        <v>-11.804871406959153</v>
      </c>
      <c r="AS115" s="108">
        <v>-11.833615733736762</v>
      </c>
      <c r="AT115" s="108">
        <v>-11.869515885022693</v>
      </c>
      <c r="AU115" s="108">
        <v>-11.914901664145233</v>
      </c>
      <c r="AV115" s="108">
        <v>-11.960287443267775</v>
      </c>
      <c r="AW115" s="108">
        <v>-12.005673222390318</v>
      </c>
      <c r="AX115" s="108">
        <v>-12.05105900151286</v>
      </c>
      <c r="AY115" s="108">
        <v>-12.096444780635402</v>
      </c>
      <c r="AZ115" s="108">
        <v>-12.141830559757944</v>
      </c>
      <c r="BA115" s="108">
        <v>-12.215848484848486</v>
      </c>
      <c r="BB115" s="108">
        <v>-12.296151515151516</v>
      </c>
      <c r="BC115" s="108">
        <v>-12.376454545454546</v>
      </c>
      <c r="BD115" s="108">
        <v>-12.456757575757576</v>
      </c>
      <c r="BE115" s="108">
        <v>-12.537060606060606</v>
      </c>
      <c r="BF115" s="108">
        <v>-12.617363636363637</v>
      </c>
      <c r="BG115" s="108">
        <v>-12.706626323751891</v>
      </c>
      <c r="BH115" s="108">
        <v>-12.82765506807867</v>
      </c>
      <c r="BI115" s="108">
        <v>-12.948683812405447</v>
      </c>
      <c r="BJ115" s="108">
        <v>-13.069712556732224</v>
      </c>
      <c r="BK115" s="108">
        <v>-13.190741301059003</v>
      </c>
      <c r="BL115" s="108">
        <v>-13.31177004538578</v>
      </c>
      <c r="BM115" s="108">
        <v>-13.432798789712557</v>
      </c>
      <c r="BN115" s="108">
        <v>-13.579818181818183</v>
      </c>
      <c r="BO115" s="108">
        <v>-13.743454545454545</v>
      </c>
      <c r="BP115" s="108">
        <v>-13.680602409638555</v>
      </c>
      <c r="BQ115" s="108">
        <v>-13.602727272727273</v>
      </c>
      <c r="BR115" s="108">
        <v>-13.511818181818182</v>
      </c>
      <c r="BS115" s="108">
        <v>-13.416969696969698</v>
      </c>
      <c r="BT115" s="108">
        <v>-13.32</v>
      </c>
    </row>
    <row r="116" spans="1:72" ht="21.75" thickBot="1" x14ac:dyDescent="0.4">
      <c r="A116" s="45" t="s">
        <v>88</v>
      </c>
      <c r="B116" s="35">
        <v>-19.562060606060605</v>
      </c>
      <c r="C116" s="35">
        <v>-18.964242424242425</v>
      </c>
      <c r="D116" s="108">
        <v>-18.449090909090906</v>
      </c>
      <c r="E116" s="108">
        <v>-17.991454545454545</v>
      </c>
      <c r="F116" s="108">
        <v>-17.590969696969697</v>
      </c>
      <c r="G116" s="108">
        <v>-17.603090909090909</v>
      </c>
      <c r="H116" s="108">
        <v>-17.462349397590362</v>
      </c>
      <c r="I116" s="108">
        <v>-17.118975903614459</v>
      </c>
      <c r="J116" s="108">
        <v>-16.802</v>
      </c>
      <c r="K116" s="108">
        <v>-16.49727272727273</v>
      </c>
      <c r="L116" s="108">
        <v>-16.224545454545453</v>
      </c>
      <c r="M116" s="108">
        <v>-15.871664145234492</v>
      </c>
      <c r="N116" s="108">
        <v>-15.428396369137669</v>
      </c>
      <c r="O116" s="108">
        <v>-14.985128593040846</v>
      </c>
      <c r="P116" s="108">
        <v>-14.541860816944023</v>
      </c>
      <c r="Q116" s="108">
        <v>-14.0985930408472</v>
      </c>
      <c r="R116" s="108">
        <v>-13.655325264750378</v>
      </c>
      <c r="S116" s="108">
        <v>-13.212057488653555</v>
      </c>
      <c r="T116" s="108">
        <v>-13.002980332829047</v>
      </c>
      <c r="U116" s="108">
        <v>-12.832027231467473</v>
      </c>
      <c r="V116" s="108">
        <v>-12.6610741301059</v>
      </c>
      <c r="W116" s="108">
        <v>-12.490121028744326</v>
      </c>
      <c r="X116" s="108">
        <v>-12.319167927382754</v>
      </c>
      <c r="Y116" s="108">
        <v>-12.14821482602118</v>
      </c>
      <c r="Z116" s="108">
        <v>-11.987803030303031</v>
      </c>
      <c r="AA116" s="108">
        <v>-11.859015151515152</v>
      </c>
      <c r="AB116" s="108">
        <v>-11.730227272727273</v>
      </c>
      <c r="AC116" s="108">
        <v>-11.601439393939394</v>
      </c>
      <c r="AD116" s="108">
        <v>-11.472651515151515</v>
      </c>
      <c r="AE116" s="108">
        <v>-11.343863636363636</v>
      </c>
      <c r="AF116" s="108">
        <v>-11.215075757575757</v>
      </c>
      <c r="AG116" s="108">
        <v>-11.103131618759456</v>
      </c>
      <c r="AH116" s="108">
        <v>-11.000257186081694</v>
      </c>
      <c r="AI116" s="108">
        <v>-10.897382753403933</v>
      </c>
      <c r="AJ116" s="108">
        <v>-10.794508320726173</v>
      </c>
      <c r="AK116" s="108">
        <v>-10.691633888048411</v>
      </c>
      <c r="AL116" s="108">
        <v>-10.588759455370651</v>
      </c>
      <c r="AM116" s="108">
        <v>-10.486708018154312</v>
      </c>
      <c r="AN116" s="108">
        <v>-10.404408472012102</v>
      </c>
      <c r="AO116" s="108">
        <v>-10.322108925869895</v>
      </c>
      <c r="AP116" s="108">
        <v>-10.239809379727685</v>
      </c>
      <c r="AQ116" s="108">
        <v>-10.157509833585477</v>
      </c>
      <c r="AR116" s="108">
        <v>-10.075210287443268</v>
      </c>
      <c r="AS116" s="108">
        <v>-9.9929107413010598</v>
      </c>
      <c r="AT116" s="108">
        <v>-9.9130832072617245</v>
      </c>
      <c r="AU116" s="108">
        <v>-9.8365325264750378</v>
      </c>
      <c r="AV116" s="108">
        <v>-9.7599818456883511</v>
      </c>
      <c r="AW116" s="108">
        <v>-9.6834311649016644</v>
      </c>
      <c r="AX116" s="108">
        <v>-9.606880484114976</v>
      </c>
      <c r="AY116" s="108">
        <v>-9.5303298033282893</v>
      </c>
      <c r="AZ116" s="108">
        <v>-9.4537791225416026</v>
      </c>
      <c r="BA116" s="108">
        <v>-9.3690575757575747</v>
      </c>
      <c r="BB116" s="108">
        <v>-9.2825424242424237</v>
      </c>
      <c r="BC116" s="108">
        <v>-9.1960272727272727</v>
      </c>
      <c r="BD116" s="108">
        <v>-9.10951212121212</v>
      </c>
      <c r="BE116" s="108">
        <v>-9.022996969696969</v>
      </c>
      <c r="BF116" s="108">
        <v>-8.936481818181818</v>
      </c>
      <c r="BG116" s="108">
        <v>-8.8502617246596067</v>
      </c>
      <c r="BH116" s="108">
        <v>-8.7650877458396366</v>
      </c>
      <c r="BI116" s="108">
        <v>-8.6799137670196664</v>
      </c>
      <c r="BJ116" s="108">
        <v>-8.5947397881996963</v>
      </c>
      <c r="BK116" s="108">
        <v>-8.5095658093797262</v>
      </c>
      <c r="BL116" s="108">
        <v>-8.4243918305597578</v>
      </c>
      <c r="BM116" s="108">
        <v>-8.3392178517397877</v>
      </c>
      <c r="BN116" s="108">
        <v>-8.2608969696969687</v>
      </c>
      <c r="BO116" s="108">
        <v>-8.1869575757575745</v>
      </c>
      <c r="BP116" s="108">
        <v>-8.2291084337349396</v>
      </c>
      <c r="BQ116" s="108">
        <v>-8.2796363636363637</v>
      </c>
      <c r="BR116" s="108">
        <v>-8.3384242424242423</v>
      </c>
      <c r="BS116" s="108">
        <v>-8.3995757575757573</v>
      </c>
      <c r="BT116" s="108">
        <v>-8.4619999999999997</v>
      </c>
    </row>
    <row r="117" spans="1:72" ht="21.75" thickBot="1" x14ac:dyDescent="0.4">
      <c r="A117" s="45" t="s">
        <v>86</v>
      </c>
      <c r="B117" s="35">
        <v>-31.207090909090908</v>
      </c>
      <c r="C117" s="35">
        <v>-30.56430303030303</v>
      </c>
      <c r="D117" s="108">
        <v>-29.970363636363633</v>
      </c>
      <c r="E117" s="108">
        <v>-29.425090909090908</v>
      </c>
      <c r="F117" s="108">
        <v>-28.902666666666665</v>
      </c>
      <c r="G117" s="108">
        <v>-28.436</v>
      </c>
      <c r="H117" s="108">
        <v>-27.993855421686746</v>
      </c>
      <c r="I117" s="108">
        <v>-27.58421686746988</v>
      </c>
      <c r="J117" s="108">
        <v>-27.205333333333336</v>
      </c>
      <c r="K117" s="108">
        <v>-26.840727272727275</v>
      </c>
      <c r="L117" s="108">
        <v>-26.513454545454543</v>
      </c>
      <c r="M117" s="108">
        <v>-26.21841149773071</v>
      </c>
      <c r="N117" s="108">
        <v>-25.959712556732221</v>
      </c>
      <c r="O117" s="108">
        <v>-25.701013615733736</v>
      </c>
      <c r="P117" s="108">
        <v>-25.44231467473525</v>
      </c>
      <c r="Q117" s="108">
        <v>-25.183615733736762</v>
      </c>
      <c r="R117" s="108">
        <v>-24.924916792738276</v>
      </c>
      <c r="S117" s="108">
        <v>-24.666217851739791</v>
      </c>
      <c r="T117" s="108">
        <v>-24.480378214826022</v>
      </c>
      <c r="U117" s="108">
        <v>-24.306399394856282</v>
      </c>
      <c r="V117" s="108">
        <v>-24.132420574886538</v>
      </c>
      <c r="W117" s="108">
        <v>-23.958441754916795</v>
      </c>
      <c r="X117" s="108">
        <v>-23.784462934947051</v>
      </c>
      <c r="Y117" s="108">
        <v>-23.610484114977307</v>
      </c>
      <c r="Z117" s="108">
        <v>-23.450454545454544</v>
      </c>
      <c r="AA117" s="108">
        <v>-23.332272727272727</v>
      </c>
      <c r="AB117" s="108">
        <v>-23.21409090909091</v>
      </c>
      <c r="AC117" s="108">
        <v>-23.095909090909092</v>
      </c>
      <c r="AD117" s="108">
        <v>-22.977727272727272</v>
      </c>
      <c r="AE117" s="108">
        <v>-22.859545454545454</v>
      </c>
      <c r="AF117" s="108">
        <v>-22.741363636363637</v>
      </c>
      <c r="AG117" s="108">
        <v>-22.64591527987897</v>
      </c>
      <c r="AH117" s="108">
        <v>-22.562708018154311</v>
      </c>
      <c r="AI117" s="108">
        <v>-22.479500756429651</v>
      </c>
      <c r="AJ117" s="108">
        <v>-22.396293494704992</v>
      </c>
      <c r="AK117" s="108">
        <v>-22.313086232980332</v>
      </c>
      <c r="AL117" s="108">
        <v>-22.229878971255673</v>
      </c>
      <c r="AM117" s="108">
        <v>-22.147857791225416</v>
      </c>
      <c r="AN117" s="108">
        <v>-22.094302571860815</v>
      </c>
      <c r="AO117" s="108">
        <v>-22.040747352496219</v>
      </c>
      <c r="AP117" s="108">
        <v>-21.987192133131618</v>
      </c>
      <c r="AQ117" s="108">
        <v>-21.933636913767018</v>
      </c>
      <c r="AR117" s="108">
        <v>-21.880081694402421</v>
      </c>
      <c r="AS117" s="108">
        <v>-21.82652647503782</v>
      </c>
      <c r="AT117" s="108">
        <v>-21.782599092284418</v>
      </c>
      <c r="AU117" s="108">
        <v>-21.751434190620273</v>
      </c>
      <c r="AV117" s="108">
        <v>-21.720269288956128</v>
      </c>
      <c r="AW117" s="108">
        <v>-21.68910438729198</v>
      </c>
      <c r="AX117" s="108">
        <v>-21.657939485627836</v>
      </c>
      <c r="AY117" s="108">
        <v>-21.626774583963691</v>
      </c>
      <c r="AZ117" s="108">
        <v>-21.595609682299546</v>
      </c>
      <c r="BA117" s="108">
        <v>-21.584906060606059</v>
      </c>
      <c r="BB117" s="108">
        <v>-21.57869393939394</v>
      </c>
      <c r="BC117" s="108">
        <v>-21.572481818181817</v>
      </c>
      <c r="BD117" s="108">
        <v>-21.566269696969698</v>
      </c>
      <c r="BE117" s="108">
        <v>-21.560057575757575</v>
      </c>
      <c r="BF117" s="108">
        <v>-21.553845454545453</v>
      </c>
      <c r="BG117" s="108">
        <v>-21.556888048411498</v>
      </c>
      <c r="BH117" s="108">
        <v>-21.592742813918306</v>
      </c>
      <c r="BI117" s="108">
        <v>-21.628597579425115</v>
      </c>
      <c r="BJ117" s="108">
        <v>-21.66445234493192</v>
      </c>
      <c r="BK117" s="108">
        <v>-21.700307110438729</v>
      </c>
      <c r="BL117" s="108">
        <v>-21.736161875945538</v>
      </c>
      <c r="BM117" s="108">
        <v>-21.772016641452346</v>
      </c>
      <c r="BN117" s="108">
        <v>-21.840715151515152</v>
      </c>
      <c r="BO117" s="108">
        <v>-21.930412121212118</v>
      </c>
      <c r="BP117" s="108">
        <v>-21.909710843373496</v>
      </c>
      <c r="BQ117" s="108">
        <v>-21.882363636363639</v>
      </c>
      <c r="BR117" s="108">
        <v>-21.850242424242424</v>
      </c>
      <c r="BS117" s="108">
        <v>-21.816545454545455</v>
      </c>
      <c r="BT117" s="108">
        <v>-21.782</v>
      </c>
    </row>
    <row r="118" spans="1:72" ht="21.75" thickBot="1" x14ac:dyDescent="0.4">
      <c r="A118" s="45" t="s">
        <v>26</v>
      </c>
      <c r="B118" s="35">
        <v>-18.61</v>
      </c>
      <c r="C118" s="35">
        <v>-18.612303030303028</v>
      </c>
      <c r="D118" s="108">
        <v>-18.618363636363636</v>
      </c>
      <c r="E118" s="108">
        <v>-18.624424242424244</v>
      </c>
      <c r="F118" s="108">
        <v>-18.630969696969697</v>
      </c>
      <c r="G118" s="108">
        <v>-18.643090909090908</v>
      </c>
      <c r="H118" s="108">
        <v>-18.655180722891565</v>
      </c>
      <c r="I118" s="108">
        <v>-18.667228915662651</v>
      </c>
      <c r="J118" s="108">
        <v>-18.679333333333336</v>
      </c>
      <c r="K118" s="108">
        <v>-18.692181818181819</v>
      </c>
      <c r="L118" s="108">
        <v>-18.710363636363635</v>
      </c>
      <c r="M118" s="108">
        <v>-18.728532526475036</v>
      </c>
      <c r="N118" s="108">
        <v>-18.746686838124052</v>
      </c>
      <c r="O118" s="108">
        <v>-18.764841149773069</v>
      </c>
      <c r="P118" s="108">
        <v>-18.782995461422086</v>
      </c>
      <c r="Q118" s="108">
        <v>-18.801149773071103</v>
      </c>
      <c r="R118" s="108">
        <v>-18.81930408472012</v>
      </c>
      <c r="S118" s="108">
        <v>-18.837458396369136</v>
      </c>
      <c r="T118" s="108">
        <v>-18.856913767019666</v>
      </c>
      <c r="U118" s="108">
        <v>-18.876580937972768</v>
      </c>
      <c r="V118" s="108">
        <v>-18.896248108925871</v>
      </c>
      <c r="W118" s="108">
        <v>-18.91591527987897</v>
      </c>
      <c r="X118" s="108">
        <v>-18.935582450832072</v>
      </c>
      <c r="Y118" s="108">
        <v>-18.955249621785175</v>
      </c>
      <c r="Z118" s="108">
        <v>-18.975303030303028</v>
      </c>
      <c r="AA118" s="108">
        <v>-18.996515151515151</v>
      </c>
      <c r="AB118" s="108">
        <v>-19.017727272727271</v>
      </c>
      <c r="AC118" s="108">
        <v>-19.038939393939394</v>
      </c>
      <c r="AD118" s="108">
        <v>-19.060151515151514</v>
      </c>
      <c r="AE118" s="108">
        <v>-19.081363636363637</v>
      </c>
      <c r="AF118" s="108">
        <v>-19.102575757575757</v>
      </c>
      <c r="AG118" s="108">
        <v>-19.12376701966717</v>
      </c>
      <c r="AH118" s="108">
        <v>-19.144947049924358</v>
      </c>
      <c r="AI118" s="108">
        <v>-19.166127080181543</v>
      </c>
      <c r="AJ118" s="108">
        <v>-19.187307110438727</v>
      </c>
      <c r="AK118" s="108">
        <v>-19.208487140695915</v>
      </c>
      <c r="AL118" s="108">
        <v>-19.2296671709531</v>
      </c>
      <c r="AM118" s="108">
        <v>-19.250786686838126</v>
      </c>
      <c r="AN118" s="108">
        <v>-19.270453857791225</v>
      </c>
      <c r="AO118" s="108">
        <v>-19.290121028744327</v>
      </c>
      <c r="AP118" s="108">
        <v>-19.309788199697426</v>
      </c>
      <c r="AQ118" s="108">
        <v>-19.329455370650528</v>
      </c>
      <c r="AR118" s="108">
        <v>-19.349122541603631</v>
      </c>
      <c r="AS118" s="108">
        <v>-19.36878971255673</v>
      </c>
      <c r="AT118" s="108">
        <v>-19.389107413010588</v>
      </c>
      <c r="AU118" s="108">
        <v>-19.410287443267777</v>
      </c>
      <c r="AV118" s="108">
        <v>-19.431467473524961</v>
      </c>
      <c r="AW118" s="108">
        <v>-19.452647503782149</v>
      </c>
      <c r="AX118" s="108">
        <v>-19.473827534039334</v>
      </c>
      <c r="AY118" s="108">
        <v>-19.495007564296522</v>
      </c>
      <c r="AZ118" s="108">
        <v>-19.516187594553706</v>
      </c>
      <c r="BA118" s="108">
        <v>-19.539878787878788</v>
      </c>
      <c r="BB118" s="108">
        <v>-19.564121212121211</v>
      </c>
      <c r="BC118" s="108">
        <v>-19.588363636363635</v>
      </c>
      <c r="BD118" s="108">
        <v>-19.612606060606062</v>
      </c>
      <c r="BE118" s="108">
        <v>-19.636848484848485</v>
      </c>
      <c r="BF118" s="108">
        <v>-19.661090909090909</v>
      </c>
      <c r="BG118" s="108">
        <v>-19.690650529500758</v>
      </c>
      <c r="BH118" s="108">
        <v>-19.739062027231469</v>
      </c>
      <c r="BI118" s="108">
        <v>-19.787473524962177</v>
      </c>
      <c r="BJ118" s="108">
        <v>-19.835885022692889</v>
      </c>
      <c r="BK118" s="108">
        <v>-19.8842965204236</v>
      </c>
      <c r="BL118" s="108">
        <v>-19.932708018154312</v>
      </c>
      <c r="BM118" s="108">
        <v>-19.981119515885023</v>
      </c>
      <c r="BN118" s="108">
        <v>-20.070242424242426</v>
      </c>
      <c r="BO118" s="108">
        <v>-20.18539393939394</v>
      </c>
      <c r="BP118" s="108">
        <v>-20.224698795180725</v>
      </c>
      <c r="BQ118" s="108">
        <v>-20.260909090909092</v>
      </c>
      <c r="BR118" s="108">
        <v>-20.297272727272727</v>
      </c>
      <c r="BS118" s="108">
        <v>-20.329696969696968</v>
      </c>
      <c r="BT118" s="108">
        <v>-20.36</v>
      </c>
    </row>
    <row r="119" spans="1:72" ht="21.75" thickBot="1" x14ac:dyDescent="0.4">
      <c r="A119" s="45" t="s">
        <v>5</v>
      </c>
      <c r="B119" s="35">
        <v>-20.086545454545455</v>
      </c>
      <c r="C119" s="35">
        <v>-19.815636363636365</v>
      </c>
      <c r="D119" s="108">
        <v>-19.488363636363633</v>
      </c>
      <c r="E119" s="108">
        <v>-19.143393939393938</v>
      </c>
      <c r="F119" s="108">
        <v>-18.825333333333333</v>
      </c>
      <c r="G119" s="108">
        <v>-18.891999999999999</v>
      </c>
      <c r="H119" s="108">
        <v>-18.797891566265061</v>
      </c>
      <c r="I119" s="108">
        <v>-18.49066265060241</v>
      </c>
      <c r="J119" s="108">
        <v>-18.200666666666667</v>
      </c>
      <c r="K119" s="108">
        <v>-17.917999999999999</v>
      </c>
      <c r="L119" s="108">
        <v>-17.651333333333334</v>
      </c>
      <c r="M119" s="108">
        <v>-17.298108925869897</v>
      </c>
      <c r="N119" s="108">
        <v>-16.847276853252648</v>
      </c>
      <c r="O119" s="108">
        <v>-16.396444780635402</v>
      </c>
      <c r="P119" s="108">
        <v>-15.945612708018155</v>
      </c>
      <c r="Q119" s="108">
        <v>-15.494780635400907</v>
      </c>
      <c r="R119" s="108">
        <v>-15.04394856278366</v>
      </c>
      <c r="S119" s="108">
        <v>-14.593116490166413</v>
      </c>
      <c r="T119" s="108">
        <v>-14.381679273827533</v>
      </c>
      <c r="U119" s="108">
        <v>-14.209213313161875</v>
      </c>
      <c r="V119" s="108">
        <v>-14.036747352496217</v>
      </c>
      <c r="W119" s="108">
        <v>-13.864281391830559</v>
      </c>
      <c r="X119" s="108">
        <v>-13.691815431164901</v>
      </c>
      <c r="Y119" s="108">
        <v>-13.519349470499243</v>
      </c>
      <c r="Z119" s="108">
        <v>-13.356666666666667</v>
      </c>
      <c r="AA119" s="108">
        <v>-13.223333333333334</v>
      </c>
      <c r="AB119" s="108">
        <v>-13.09</v>
      </c>
      <c r="AC119" s="108">
        <v>-12.956666666666667</v>
      </c>
      <c r="AD119" s="108">
        <v>-12.823333333333334</v>
      </c>
      <c r="AE119" s="108">
        <v>-12.69</v>
      </c>
      <c r="AF119" s="108">
        <v>-12.556666666666667</v>
      </c>
      <c r="AG119" s="108">
        <v>-12.441164901664145</v>
      </c>
      <c r="AH119" s="108">
        <v>-12.335264750378215</v>
      </c>
      <c r="AI119" s="108">
        <v>-12.229364599092285</v>
      </c>
      <c r="AJ119" s="108">
        <v>-12.123464447806354</v>
      </c>
      <c r="AK119" s="108">
        <v>-12.017564296520424</v>
      </c>
      <c r="AL119" s="108">
        <v>-11.911664145234493</v>
      </c>
      <c r="AM119" s="108">
        <v>-11.806611195158851</v>
      </c>
      <c r="AN119" s="108">
        <v>-11.721891074130106</v>
      </c>
      <c r="AO119" s="108">
        <v>-11.637170953101363</v>
      </c>
      <c r="AP119" s="108">
        <v>-11.552450832072617</v>
      </c>
      <c r="AQ119" s="108">
        <v>-11.467730711043874</v>
      </c>
      <c r="AR119" s="108">
        <v>-11.383010590015129</v>
      </c>
      <c r="AS119" s="108">
        <v>-11.298290468986385</v>
      </c>
      <c r="AT119" s="108">
        <v>-11.227881996974281</v>
      </c>
      <c r="AU119" s="108">
        <v>-11.176444780635402</v>
      </c>
      <c r="AV119" s="108">
        <v>-11.125007564296521</v>
      </c>
      <c r="AW119" s="108">
        <v>-11.07357034795764</v>
      </c>
      <c r="AX119" s="108">
        <v>-11.022133131618759</v>
      </c>
      <c r="AY119" s="108">
        <v>-10.97069591527988</v>
      </c>
      <c r="AZ119" s="108">
        <v>-10.919258698940999</v>
      </c>
      <c r="BA119" s="108">
        <v>-10.912484848484848</v>
      </c>
      <c r="BB119" s="108">
        <v>-10.915515151515152</v>
      </c>
      <c r="BC119" s="108">
        <v>-10.918545454545454</v>
      </c>
      <c r="BD119" s="108">
        <v>-10.921575757575757</v>
      </c>
      <c r="BE119" s="108">
        <v>-10.924606060606061</v>
      </c>
      <c r="BF119" s="108">
        <v>-10.927636363636363</v>
      </c>
      <c r="BG119" s="108">
        <v>-10.935658093797276</v>
      </c>
      <c r="BH119" s="108">
        <v>-10.961376701966717</v>
      </c>
      <c r="BI119" s="108">
        <v>-10.987095310136157</v>
      </c>
      <c r="BJ119" s="108">
        <v>-11.012813918305598</v>
      </c>
      <c r="BK119" s="108">
        <v>-11.038532526475038</v>
      </c>
      <c r="BL119" s="108">
        <v>-11.064251134644477</v>
      </c>
      <c r="BM119" s="108">
        <v>-11.089969742813919</v>
      </c>
      <c r="BN119" s="108">
        <v>-11.11109090909091</v>
      </c>
      <c r="BO119" s="108">
        <v>-11.129272727272728</v>
      </c>
      <c r="BP119" s="108">
        <v>-11.187831325301206</v>
      </c>
      <c r="BQ119" s="108">
        <v>-11.246363636363636</v>
      </c>
      <c r="BR119" s="108">
        <v>-11.300909090909091</v>
      </c>
      <c r="BS119" s="108">
        <v>-11.359393939393939</v>
      </c>
      <c r="BT119" s="108">
        <v>-11.42</v>
      </c>
    </row>
    <row r="120" spans="1:72" ht="21.75" thickBot="1" x14ac:dyDescent="0.4">
      <c r="A120" s="38" t="s">
        <v>6</v>
      </c>
      <c r="B120" s="35">
        <v>-11.645030303030303</v>
      </c>
      <c r="C120" s="35">
        <v>-11.600060606060607</v>
      </c>
      <c r="D120" s="108">
        <v>-11.521272727272727</v>
      </c>
      <c r="E120" s="108">
        <v>-11.433636363636364</v>
      </c>
      <c r="F120" s="108">
        <v>-11.311696969696969</v>
      </c>
      <c r="G120" s="108">
        <v>-10.832909090909091</v>
      </c>
      <c r="H120" s="108">
        <v>-10.531506024096386</v>
      </c>
      <c r="I120" s="108">
        <v>-10.465240963855422</v>
      </c>
      <c r="J120" s="108">
        <v>-10.403333333333332</v>
      </c>
      <c r="K120" s="108">
        <v>-10.343454545454545</v>
      </c>
      <c r="L120" s="108">
        <v>-10.28890909090909</v>
      </c>
      <c r="M120" s="108">
        <v>-10.346747352496218</v>
      </c>
      <c r="N120" s="108">
        <v>-10.531316187594554</v>
      </c>
      <c r="O120" s="108">
        <v>-10.715885022692889</v>
      </c>
      <c r="P120" s="108">
        <v>-10.900453857791225</v>
      </c>
      <c r="Q120" s="108">
        <v>-11.085022692889561</v>
      </c>
      <c r="R120" s="108">
        <v>-11.269591527987897</v>
      </c>
      <c r="S120" s="108">
        <v>-11.454160363086235</v>
      </c>
      <c r="T120" s="108">
        <v>-11.477397881996975</v>
      </c>
      <c r="U120" s="108">
        <v>-11.474372163388805</v>
      </c>
      <c r="V120" s="108">
        <v>-11.471346444780636</v>
      </c>
      <c r="W120" s="108">
        <v>-11.468320726172466</v>
      </c>
      <c r="X120" s="108">
        <v>-11.465295007564297</v>
      </c>
      <c r="Y120" s="108">
        <v>-11.462269288956128</v>
      </c>
      <c r="Z120" s="108">
        <v>-11.462651515151515</v>
      </c>
      <c r="AA120" s="108">
        <v>-11.473257575757577</v>
      </c>
      <c r="AB120" s="108">
        <v>-11.483863636363637</v>
      </c>
      <c r="AC120" s="108">
        <v>-11.494469696969697</v>
      </c>
      <c r="AD120" s="108">
        <v>-11.505075757575758</v>
      </c>
      <c r="AE120" s="108">
        <v>-11.515681818181818</v>
      </c>
      <c r="AF120" s="108">
        <v>-11.526287878787878</v>
      </c>
      <c r="AG120" s="108">
        <v>-11.542783661119515</v>
      </c>
      <c r="AH120" s="108">
        <v>-11.562450832072617</v>
      </c>
      <c r="AI120" s="108">
        <v>-11.582118003025718</v>
      </c>
      <c r="AJ120" s="108">
        <v>-11.60178517397882</v>
      </c>
      <c r="AK120" s="108">
        <v>-11.621452344931921</v>
      </c>
      <c r="AL120" s="108">
        <v>-11.641119515885023</v>
      </c>
      <c r="AM120" s="108">
        <v>-11.661149773071104</v>
      </c>
      <c r="AN120" s="108">
        <v>-11.689894099848715</v>
      </c>
      <c r="AO120" s="108">
        <v>-11.718638426626324</v>
      </c>
      <c r="AP120" s="108">
        <v>-11.747382753403933</v>
      </c>
      <c r="AQ120" s="108">
        <v>-11.776127080181542</v>
      </c>
      <c r="AR120" s="108">
        <v>-11.804871406959153</v>
      </c>
      <c r="AS120" s="108">
        <v>-11.833615733736762</v>
      </c>
      <c r="AT120" s="108">
        <v>-11.869515885022693</v>
      </c>
      <c r="AU120" s="108">
        <v>-11.914901664145233</v>
      </c>
      <c r="AV120" s="108">
        <v>-11.960287443267775</v>
      </c>
      <c r="AW120" s="108">
        <v>-12.005673222390318</v>
      </c>
      <c r="AX120" s="108">
        <v>-12.05105900151286</v>
      </c>
      <c r="AY120" s="108">
        <v>-12.096444780635402</v>
      </c>
      <c r="AZ120" s="108">
        <v>-12.141830559757944</v>
      </c>
      <c r="BA120" s="108">
        <v>-12.215848484848486</v>
      </c>
      <c r="BB120" s="108">
        <v>-12.296151515151516</v>
      </c>
      <c r="BC120" s="108">
        <v>-12.376454545454546</v>
      </c>
      <c r="BD120" s="108">
        <v>-12.456757575757576</v>
      </c>
      <c r="BE120" s="108">
        <v>-12.537060606060606</v>
      </c>
      <c r="BF120" s="108">
        <v>-12.617363636363637</v>
      </c>
      <c r="BG120" s="108">
        <v>-12.706626323751891</v>
      </c>
      <c r="BH120" s="108">
        <v>-12.82765506807867</v>
      </c>
      <c r="BI120" s="108">
        <v>-12.948683812405447</v>
      </c>
      <c r="BJ120" s="108">
        <v>-13.069712556732224</v>
      </c>
      <c r="BK120" s="108">
        <v>-13.190741301059003</v>
      </c>
      <c r="BL120" s="108">
        <v>-13.31177004538578</v>
      </c>
      <c r="BM120" s="108">
        <v>-13.432798789712557</v>
      </c>
      <c r="BN120" s="108">
        <v>-13.579818181818183</v>
      </c>
      <c r="BO120" s="108">
        <v>-13.743454545454545</v>
      </c>
      <c r="BP120" s="108">
        <v>-13.680602409638555</v>
      </c>
      <c r="BQ120" s="108">
        <v>-13.602727272727273</v>
      </c>
      <c r="BR120" s="108">
        <v>-13.511818181818182</v>
      </c>
      <c r="BS120" s="108">
        <v>-13.416969696969698</v>
      </c>
      <c r="BT120" s="108">
        <v>-13.32</v>
      </c>
    </row>
    <row r="121" spans="1:72" ht="21.75" thickBot="1" x14ac:dyDescent="0.4">
      <c r="A121" s="38" t="s">
        <v>7</v>
      </c>
      <c r="B121" s="35">
        <v>-19.562060606060605</v>
      </c>
      <c r="C121" s="35">
        <v>-18.964242424242425</v>
      </c>
      <c r="D121" s="108">
        <v>-18.449090909090906</v>
      </c>
      <c r="E121" s="108">
        <v>-17.991454545454545</v>
      </c>
      <c r="F121" s="108">
        <v>-17.590969696969697</v>
      </c>
      <c r="G121" s="108">
        <v>-17.603090909090909</v>
      </c>
      <c r="H121" s="108">
        <v>-17.462349397590362</v>
      </c>
      <c r="I121" s="108">
        <v>-17.118975903614459</v>
      </c>
      <c r="J121" s="108">
        <v>-16.802</v>
      </c>
      <c r="K121" s="108">
        <v>-16.49727272727273</v>
      </c>
      <c r="L121" s="108">
        <v>-16.224545454545453</v>
      </c>
      <c r="M121" s="108">
        <v>-15.871664145234492</v>
      </c>
      <c r="N121" s="108">
        <v>-15.428396369137669</v>
      </c>
      <c r="O121" s="108">
        <v>-14.985128593040846</v>
      </c>
      <c r="P121" s="108">
        <v>-14.541860816944023</v>
      </c>
      <c r="Q121" s="108">
        <v>-14.0985930408472</v>
      </c>
      <c r="R121" s="108">
        <v>-13.655325264750378</v>
      </c>
      <c r="S121" s="108">
        <v>-13.212057488653555</v>
      </c>
      <c r="T121" s="108">
        <v>-13.002980332829047</v>
      </c>
      <c r="U121" s="108">
        <v>-12.832027231467473</v>
      </c>
      <c r="V121" s="108">
        <v>-12.6610741301059</v>
      </c>
      <c r="W121" s="108">
        <v>-12.490121028744326</v>
      </c>
      <c r="X121" s="108">
        <v>-12.319167927382754</v>
      </c>
      <c r="Y121" s="108">
        <v>-12.14821482602118</v>
      </c>
      <c r="Z121" s="108">
        <v>-11.987803030303031</v>
      </c>
      <c r="AA121" s="108">
        <v>-11.859015151515152</v>
      </c>
      <c r="AB121" s="108">
        <v>-11.730227272727273</v>
      </c>
      <c r="AC121" s="108">
        <v>-11.601439393939394</v>
      </c>
      <c r="AD121" s="108">
        <v>-11.472651515151515</v>
      </c>
      <c r="AE121" s="108">
        <v>-11.343863636363636</v>
      </c>
      <c r="AF121" s="108">
        <v>-11.215075757575757</v>
      </c>
      <c r="AG121" s="108">
        <v>-11.103131618759456</v>
      </c>
      <c r="AH121" s="108">
        <v>-11.000257186081694</v>
      </c>
      <c r="AI121" s="108">
        <v>-10.897382753403933</v>
      </c>
      <c r="AJ121" s="108">
        <v>-10.794508320726173</v>
      </c>
      <c r="AK121" s="108">
        <v>-10.691633888048411</v>
      </c>
      <c r="AL121" s="108">
        <v>-10.588759455370651</v>
      </c>
      <c r="AM121" s="108">
        <v>-10.486708018154312</v>
      </c>
      <c r="AN121" s="108">
        <v>-10.404408472012102</v>
      </c>
      <c r="AO121" s="108">
        <v>-10.322108925869895</v>
      </c>
      <c r="AP121" s="108">
        <v>-10.239809379727685</v>
      </c>
      <c r="AQ121" s="108">
        <v>-10.157509833585477</v>
      </c>
      <c r="AR121" s="108">
        <v>-10.075210287443268</v>
      </c>
      <c r="AS121" s="108">
        <v>-9.9929107413010598</v>
      </c>
      <c r="AT121" s="108">
        <v>-9.9130832072617245</v>
      </c>
      <c r="AU121" s="108">
        <v>-9.8365325264750378</v>
      </c>
      <c r="AV121" s="108">
        <v>-9.7599818456883511</v>
      </c>
      <c r="AW121" s="108">
        <v>-9.6834311649016644</v>
      </c>
      <c r="AX121" s="108">
        <v>-9.606880484114976</v>
      </c>
      <c r="AY121" s="108">
        <v>-9.5303298033282893</v>
      </c>
      <c r="AZ121" s="108">
        <v>-9.4537791225416026</v>
      </c>
      <c r="BA121" s="108">
        <v>-9.3690575757575747</v>
      </c>
      <c r="BB121" s="108">
        <v>-9.2825424242424237</v>
      </c>
      <c r="BC121" s="108">
        <v>-9.1960272727272727</v>
      </c>
      <c r="BD121" s="108">
        <v>-9.10951212121212</v>
      </c>
      <c r="BE121" s="108">
        <v>-9.022996969696969</v>
      </c>
      <c r="BF121" s="108">
        <v>-8.936481818181818</v>
      </c>
      <c r="BG121" s="108">
        <v>-8.8502617246596067</v>
      </c>
      <c r="BH121" s="108">
        <v>-8.7650877458396366</v>
      </c>
      <c r="BI121" s="108">
        <v>-8.6799137670196664</v>
      </c>
      <c r="BJ121" s="108">
        <v>-8.5947397881996963</v>
      </c>
      <c r="BK121" s="108">
        <v>-8.5095658093797262</v>
      </c>
      <c r="BL121" s="108">
        <v>-8.4243918305597578</v>
      </c>
      <c r="BM121" s="108">
        <v>-8.3392178517397877</v>
      </c>
      <c r="BN121" s="108">
        <v>-8.2608969696969687</v>
      </c>
      <c r="BO121" s="108">
        <v>-8.1869575757575745</v>
      </c>
      <c r="BP121" s="108">
        <v>-8.2291084337349396</v>
      </c>
      <c r="BQ121" s="108">
        <v>-8.2796363636363637</v>
      </c>
      <c r="BR121" s="108">
        <v>-8.3384242424242423</v>
      </c>
      <c r="BS121" s="108">
        <v>-8.3995757575757573</v>
      </c>
      <c r="BT121" s="108">
        <v>-8.4619999999999997</v>
      </c>
    </row>
    <row r="122" spans="1:72" ht="21.75" thickBot="1" x14ac:dyDescent="0.4">
      <c r="A122" s="3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</row>
    <row r="123" spans="1:72" ht="21.75" thickBot="1" x14ac:dyDescent="0.4">
      <c r="A123" s="3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</row>
    <row r="124" spans="1:72" ht="21.75" thickBot="1" x14ac:dyDescent="0.4">
      <c r="A124" s="3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</row>
    <row r="125" spans="1:72" ht="21.75" thickBot="1" x14ac:dyDescent="0.4">
      <c r="A125" s="3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</row>
    <row r="126" spans="1:72" ht="21.75" thickBot="1" x14ac:dyDescent="0.4">
      <c r="A126" s="3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</row>
    <row r="127" spans="1:72" ht="21.75" thickBot="1" x14ac:dyDescent="0.4">
      <c r="A127" s="3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</row>
    <row r="128" spans="1:72" ht="21.75" thickBot="1" x14ac:dyDescent="0.4">
      <c r="A128" s="3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</row>
    <row r="129" spans="1:72" ht="21.75" thickBot="1" x14ac:dyDescent="0.4">
      <c r="A129" s="3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49</v>
      </c>
      <c r="B133" s="35">
        <v>-20.542000000000002</v>
      </c>
      <c r="C133" s="35">
        <v>-19.978848484848484</v>
      </c>
      <c r="D133" s="108">
        <v>-19.47581818181818</v>
      </c>
      <c r="E133" s="108">
        <v>-19.437333333333331</v>
      </c>
      <c r="F133" s="108">
        <v>-19.571739788199697</v>
      </c>
      <c r="G133" s="108">
        <v>-19.718487140695913</v>
      </c>
      <c r="H133" s="108">
        <v>-19.865234493192133</v>
      </c>
      <c r="I133" s="108">
        <v>-20.01198184568835</v>
      </c>
      <c r="J133" s="108">
        <v>-20.15872919818457</v>
      </c>
      <c r="K133" s="108">
        <v>-20.305476550680787</v>
      </c>
      <c r="L133" s="108">
        <v>-20.452223903177007</v>
      </c>
      <c r="M133" s="108">
        <v>-20.601104387291983</v>
      </c>
      <c r="N133" s="108">
        <v>-20.752390317700456</v>
      </c>
      <c r="O133" s="108">
        <v>-20.903676248108926</v>
      </c>
      <c r="P133" s="108">
        <v>-21.0549621785174</v>
      </c>
      <c r="Q133" s="108">
        <v>-21.20624810892587</v>
      </c>
      <c r="R133" s="108">
        <v>-21.357534039334343</v>
      </c>
      <c r="S133" s="108">
        <v>-21.508819969742817</v>
      </c>
      <c r="T133" s="108">
        <v>-21.66030303030303</v>
      </c>
      <c r="U133" s="108">
        <v>-21.810545454545455</v>
      </c>
      <c r="V133" s="108">
        <v>-21.956</v>
      </c>
      <c r="W133" s="108">
        <v>-22.104848484848485</v>
      </c>
      <c r="X133" s="108">
        <v>-22.256363636363638</v>
      </c>
      <c r="Y133" s="108">
        <v>-22.407048192771086</v>
      </c>
      <c r="Z133" s="108">
        <v>-22.556363636363635</v>
      </c>
      <c r="AA133" s="108">
        <v>-22.701818181818183</v>
      </c>
      <c r="AB133" s="108">
        <v>-22.847272727272728</v>
      </c>
      <c r="AC133" s="108">
        <v>-22.992727272727272</v>
      </c>
      <c r="AD133" s="108">
        <v>-23.138181818181817</v>
      </c>
      <c r="AE133" s="108">
        <v>-23.283636363636361</v>
      </c>
      <c r="AF133" s="108">
        <v>-23.42909090909091</v>
      </c>
      <c r="AG133" s="108">
        <v>-23.574545454545454</v>
      </c>
      <c r="AH133" s="108">
        <v>-23.72</v>
      </c>
      <c r="AI133" s="108">
        <v>-23.858554216867468</v>
      </c>
      <c r="AJ133" s="108">
        <v>-23.997393939393938</v>
      </c>
      <c r="AK133" s="108">
        <v>-24.136787878787878</v>
      </c>
      <c r="AL133" s="108">
        <v>-24.276181818181819</v>
      </c>
      <c r="AM133" s="108">
        <v>-24.415446293494703</v>
      </c>
      <c r="AN133" s="108">
        <v>-24.551603630862328</v>
      </c>
      <c r="AO133" s="108">
        <v>-24.687760968229952</v>
      </c>
      <c r="AP133" s="108">
        <v>-24.82391830559758</v>
      </c>
      <c r="AQ133" s="108">
        <v>-24.960075642965204</v>
      </c>
      <c r="AR133" s="108">
        <v>-25.096232980332829</v>
      </c>
      <c r="AS133" s="108">
        <v>-25.232390317700453</v>
      </c>
      <c r="AT133" s="108">
        <v>-25.367333333333331</v>
      </c>
      <c r="AU133" s="108">
        <v>-25.500666666666667</v>
      </c>
      <c r="AV133" s="108">
        <v>-25.634</v>
      </c>
      <c r="AW133" s="108">
        <v>-25.767333333333333</v>
      </c>
      <c r="AX133" s="108">
        <v>-25.900666666666666</v>
      </c>
      <c r="AY133" s="108">
        <v>-26.030722891566263</v>
      </c>
      <c r="AZ133" s="108">
        <v>-26.15722891566265</v>
      </c>
      <c r="BA133" s="108">
        <v>-26.284363636363636</v>
      </c>
      <c r="BB133" s="108">
        <v>-26.411636363636365</v>
      </c>
      <c r="BC133" s="108">
        <v>-26.538909090909094</v>
      </c>
      <c r="BD133" s="108">
        <v>-26.666181818181819</v>
      </c>
      <c r="BE133" s="108">
        <v>-26.793454545454544</v>
      </c>
      <c r="BF133" s="108">
        <v>-26.920727272727273</v>
      </c>
      <c r="BG133" s="108">
        <v>-27.046959152798788</v>
      </c>
      <c r="BH133" s="108">
        <v>-27.169500756429652</v>
      </c>
      <c r="BI133" s="108">
        <v>-27.292042360060513</v>
      </c>
      <c r="BJ133" s="108">
        <v>-27.414583963691378</v>
      </c>
      <c r="BK133" s="108">
        <v>-27.537125567322239</v>
      </c>
      <c r="BL133" s="108">
        <v>-27.659667170953099</v>
      </c>
      <c r="BM133" s="108">
        <v>-27.782208774583964</v>
      </c>
      <c r="BN133" s="108">
        <v>-27.903939393939392</v>
      </c>
      <c r="BO133" s="108">
        <v>-28.025151515151517</v>
      </c>
      <c r="BP133" s="108">
        <v>-28.145662650602411</v>
      </c>
      <c r="BQ133" s="108">
        <v>-28.264545454545456</v>
      </c>
      <c r="BR133" s="108">
        <v>-28.379696969696973</v>
      </c>
      <c r="BS133" s="108">
        <v>-28.49878787878788</v>
      </c>
      <c r="BT133" s="108">
        <v>-28.62</v>
      </c>
    </row>
    <row r="134" spans="1:72" ht="21.75" thickBot="1" x14ac:dyDescent="0.4">
      <c r="A134" s="45" t="s">
        <v>50</v>
      </c>
      <c r="B134" s="35">
        <v>-17.800424242424242</v>
      </c>
      <c r="C134" s="35">
        <v>-17.456424242424241</v>
      </c>
      <c r="D134" s="108">
        <v>-17.104909090909093</v>
      </c>
      <c r="E134" s="108">
        <v>-16.195939393939394</v>
      </c>
      <c r="F134" s="108">
        <v>-15.11251134644478</v>
      </c>
      <c r="G134" s="108">
        <v>-14.393903177004537</v>
      </c>
      <c r="H134" s="108">
        <v>-13.675295007564296</v>
      </c>
      <c r="I134" s="108">
        <v>-12.956686838124053</v>
      </c>
      <c r="J134" s="108">
        <v>-12.238078668683812</v>
      </c>
      <c r="K134" s="108">
        <v>-11.519470499243571</v>
      </c>
      <c r="L134" s="108">
        <v>-10.800862329803328</v>
      </c>
      <c r="M134" s="108">
        <v>-10.166086232980334</v>
      </c>
      <c r="N134" s="108">
        <v>-9.6258441754916788</v>
      </c>
      <c r="O134" s="108">
        <v>-9.0856021180030258</v>
      </c>
      <c r="P134" s="108">
        <v>-8.5453600605143727</v>
      </c>
      <c r="Q134" s="108">
        <v>-8.0051180030257179</v>
      </c>
      <c r="R134" s="108">
        <v>-7.4648759455370648</v>
      </c>
      <c r="S134" s="108">
        <v>-6.92463388804841</v>
      </c>
      <c r="T134" s="108">
        <v>-6.4502727272727265</v>
      </c>
      <c r="U134" s="108">
        <v>-5.9919818181818165</v>
      </c>
      <c r="V134" s="108">
        <v>-5.553799999999999</v>
      </c>
      <c r="W134" s="108">
        <v>-5.1285151515151508</v>
      </c>
      <c r="X134" s="108">
        <v>-4.7133636363636358</v>
      </c>
      <c r="Y134" s="108">
        <v>-4.3903915662650599</v>
      </c>
      <c r="Z134" s="108">
        <v>-4.1610606060606061</v>
      </c>
      <c r="AA134" s="108">
        <v>-4.1853030303030305</v>
      </c>
      <c r="AB134" s="108">
        <v>-4.2099090909090906</v>
      </c>
      <c r="AC134" s="108">
        <v>-4.2347575757575759</v>
      </c>
      <c r="AD134" s="108">
        <v>-4.2590303030303032</v>
      </c>
      <c r="AE134" s="108">
        <v>-4.2834545454545454</v>
      </c>
      <c r="AF134" s="108">
        <v>-4.3083030303030307</v>
      </c>
      <c r="AG134" s="108">
        <v>-4.3331515151515152</v>
      </c>
      <c r="AH134" s="108">
        <v>-4.3579999999999997</v>
      </c>
      <c r="AI134" s="108">
        <v>-4.3826987951807226</v>
      </c>
      <c r="AJ134" s="108">
        <v>-4.4074484848484845</v>
      </c>
      <c r="AK134" s="108">
        <v>-4.4322969696969698</v>
      </c>
      <c r="AL134" s="108">
        <v>-4.4571454545454543</v>
      </c>
      <c r="AM134" s="108">
        <v>-4.4819803328290471</v>
      </c>
      <c r="AN134" s="108">
        <v>-4.5064886535552189</v>
      </c>
      <c r="AO134" s="108">
        <v>-4.5309969742813916</v>
      </c>
      <c r="AP134" s="108">
        <v>-4.5555052950075643</v>
      </c>
      <c r="AQ134" s="108">
        <v>-4.5800136157337361</v>
      </c>
      <c r="AR134" s="108">
        <v>-4.6045219364599088</v>
      </c>
      <c r="AS134" s="108">
        <v>-4.6290302571860815</v>
      </c>
      <c r="AT134" s="108">
        <v>-4.6534242424242418</v>
      </c>
      <c r="AU134" s="108">
        <v>-4.6776666666666662</v>
      </c>
      <c r="AV134" s="108">
        <v>-4.7014363636363639</v>
      </c>
      <c r="AW134" s="108">
        <v>-4.7251515151515155</v>
      </c>
      <c r="AX134" s="108">
        <v>-4.7493939393939391</v>
      </c>
      <c r="AY134" s="108">
        <v>-4.7732771084337342</v>
      </c>
      <c r="AZ134" s="108">
        <v>-4.7967710843373492</v>
      </c>
      <c r="BA134" s="108">
        <v>-4.8203818181818185</v>
      </c>
      <c r="BB134" s="108">
        <v>-4.8439151515151515</v>
      </c>
      <c r="BC134" s="108">
        <v>-4.8669454545454549</v>
      </c>
      <c r="BD134" s="108">
        <v>-4.8902909090909095</v>
      </c>
      <c r="BE134" s="108">
        <v>-4.9139272727272729</v>
      </c>
      <c r="BF134" s="108">
        <v>-4.9370363636363637</v>
      </c>
      <c r="BG134" s="108">
        <v>-4.9599591527987901</v>
      </c>
      <c r="BH134" s="108">
        <v>-4.9825007564296522</v>
      </c>
      <c r="BI134" s="108">
        <v>-5.0050423600605143</v>
      </c>
      <c r="BJ134" s="108">
        <v>-5.0275839636913773</v>
      </c>
      <c r="BK134" s="108">
        <v>-5.0501255673222394</v>
      </c>
      <c r="BL134" s="108">
        <v>-5.0726671709531015</v>
      </c>
      <c r="BM134" s="108">
        <v>-5.0952087745839636</v>
      </c>
      <c r="BN134" s="108">
        <v>-5.1176787878787877</v>
      </c>
      <c r="BO134" s="108">
        <v>-5.1401030303030302</v>
      </c>
      <c r="BP134" s="108">
        <v>-5.1618192771084335</v>
      </c>
      <c r="BQ134" s="108">
        <v>-5.1837272727272721</v>
      </c>
      <c r="BR134" s="108">
        <v>-5.2061515151515154</v>
      </c>
      <c r="BS134" s="108">
        <v>-5.2281818181818185</v>
      </c>
      <c r="BT134" s="108">
        <v>-5.25</v>
      </c>
    </row>
    <row r="135" spans="1:72" ht="21.75" thickBot="1" x14ac:dyDescent="0.4">
      <c r="A135" s="45" t="s">
        <v>57</v>
      </c>
      <c r="B135" s="35">
        <v>-185.67569696969699</v>
      </c>
      <c r="C135" s="35">
        <v>-180.34381818181819</v>
      </c>
      <c r="D135" s="108">
        <v>-175.3801818181818</v>
      </c>
      <c r="E135" s="108">
        <v>-170.78375757575756</v>
      </c>
      <c r="F135" s="108">
        <v>-166.40006051437217</v>
      </c>
      <c r="G135" s="108">
        <v>-162.9008169440242</v>
      </c>
      <c r="H135" s="108">
        <v>-159.40157337367626</v>
      </c>
      <c r="I135" s="108">
        <v>-155.90232980332831</v>
      </c>
      <c r="J135" s="108">
        <v>-152.40308623298034</v>
      </c>
      <c r="K135" s="108">
        <v>-148.9038426626324</v>
      </c>
      <c r="L135" s="108">
        <v>-145.40459909228443</v>
      </c>
      <c r="M135" s="108">
        <v>-142.38957639939488</v>
      </c>
      <c r="N135" s="108">
        <v>-139.9205900151286</v>
      </c>
      <c r="O135" s="108">
        <v>-137.45160363086234</v>
      </c>
      <c r="P135" s="108">
        <v>-134.98261724659608</v>
      </c>
      <c r="Q135" s="108">
        <v>-132.51363086232982</v>
      </c>
      <c r="R135" s="108">
        <v>-130.04464447806353</v>
      </c>
      <c r="S135" s="108">
        <v>-127.57565809379727</v>
      </c>
      <c r="T135" s="108">
        <v>-125.49436363636363</v>
      </c>
      <c r="U135" s="108">
        <v>-123.50036363636364</v>
      </c>
      <c r="V135" s="108">
        <v>-121.59733333333334</v>
      </c>
      <c r="W135" s="108">
        <v>-119.77915151515151</v>
      </c>
      <c r="X135" s="108">
        <v>-118.02763636363636</v>
      </c>
      <c r="Y135" s="108">
        <v>-116.39536144578314</v>
      </c>
      <c r="Z135" s="108">
        <v>-114.79515151515152</v>
      </c>
      <c r="AA135" s="108">
        <v>-113.25575757575758</v>
      </c>
      <c r="AB135" s="108">
        <v>-111.77454545454545</v>
      </c>
      <c r="AC135" s="108">
        <v>-110.33212121212121</v>
      </c>
      <c r="AD135" s="108">
        <v>-108.98181818181817</v>
      </c>
      <c r="AE135" s="108">
        <v>-107.69454545454545</v>
      </c>
      <c r="AF135" s="108">
        <v>-106.54303030303031</v>
      </c>
      <c r="AG135" s="108">
        <v>-105.63575757575758</v>
      </c>
      <c r="AH135" s="108">
        <v>-104.86</v>
      </c>
      <c r="AI135" s="108">
        <v>-104.13108433734939</v>
      </c>
      <c r="AJ135" s="108">
        <v>-103.42127272727272</v>
      </c>
      <c r="AK135" s="108">
        <v>-102.74854545454545</v>
      </c>
      <c r="AL135" s="108">
        <v>-102.10090909090908</v>
      </c>
      <c r="AM135" s="108">
        <v>-101.46845688350984</v>
      </c>
      <c r="AN135" s="108">
        <v>-100.92987897125568</v>
      </c>
      <c r="AO135" s="108">
        <v>-100.39130105900152</v>
      </c>
      <c r="AP135" s="108">
        <v>-99.852723146747351</v>
      </c>
      <c r="AQ135" s="108">
        <v>-99.314145234493196</v>
      </c>
      <c r="AR135" s="108">
        <v>-98.775567322239027</v>
      </c>
      <c r="AS135" s="108">
        <v>-98.236989409984872</v>
      </c>
      <c r="AT135" s="108">
        <v>-97.731939393939385</v>
      </c>
      <c r="AU135" s="108">
        <v>-97.271333333333331</v>
      </c>
      <c r="AV135" s="108">
        <v>-96.835309090909092</v>
      </c>
      <c r="AW135" s="108">
        <v>-96.41031515151515</v>
      </c>
      <c r="AX135" s="108">
        <v>-96.012739393939398</v>
      </c>
      <c r="AY135" s="108">
        <v>-95.620939759036148</v>
      </c>
      <c r="AZ135" s="108">
        <v>-95.235397590361444</v>
      </c>
      <c r="BA135" s="108">
        <v>-94.883721212121202</v>
      </c>
      <c r="BB135" s="108">
        <v>-94.68001212121213</v>
      </c>
      <c r="BC135" s="108">
        <v>-95.162436363636374</v>
      </c>
      <c r="BD135" s="108">
        <v>-95.644230303030312</v>
      </c>
      <c r="BE135" s="108">
        <v>-96.125442424242422</v>
      </c>
      <c r="BF135" s="108">
        <v>-96.608763636363634</v>
      </c>
      <c r="BG135" s="108">
        <v>-97.090574886535563</v>
      </c>
      <c r="BH135" s="108">
        <v>-97.565915279878979</v>
      </c>
      <c r="BI135" s="108">
        <v>-98.041255673222395</v>
      </c>
      <c r="BJ135" s="108">
        <v>-98.51659606656581</v>
      </c>
      <c r="BK135" s="108">
        <v>-98.991936459909226</v>
      </c>
      <c r="BL135" s="108">
        <v>-99.467276853252656</v>
      </c>
      <c r="BM135" s="108">
        <v>-99.942617246596072</v>
      </c>
      <c r="BN135" s="108">
        <v>-100.4208</v>
      </c>
      <c r="BO135" s="108">
        <v>-100.9008</v>
      </c>
      <c r="BP135" s="108">
        <v>-101.38149397590361</v>
      </c>
      <c r="BQ135" s="108">
        <v>-101.8590909090909</v>
      </c>
      <c r="BR135" s="108">
        <v>-102.32939393939394</v>
      </c>
      <c r="BS135" s="108">
        <v>-102.81545454545454</v>
      </c>
      <c r="BT135" s="108">
        <v>-103.31</v>
      </c>
    </row>
    <row r="136" spans="1:72" ht="21.75" thickBot="1" x14ac:dyDescent="0.4">
      <c r="A136" s="45" t="s">
        <v>53</v>
      </c>
      <c r="B136" s="35">
        <v>-62.024848484848484</v>
      </c>
      <c r="C136" s="35">
        <v>-60.203636363636363</v>
      </c>
      <c r="D136" s="108">
        <v>-58.476363636363629</v>
      </c>
      <c r="E136" s="108">
        <v>-56.235878787878782</v>
      </c>
      <c r="F136" s="108">
        <v>-53.842420574886532</v>
      </c>
      <c r="G136" s="108">
        <v>-51.87267776096823</v>
      </c>
      <c r="H136" s="108">
        <v>-49.902934947049921</v>
      </c>
      <c r="I136" s="108">
        <v>-47.93319213313162</v>
      </c>
      <c r="J136" s="108">
        <v>-45.963449319213311</v>
      </c>
      <c r="K136" s="108">
        <v>-43.993706505295009</v>
      </c>
      <c r="L136" s="108">
        <v>-42.0239636913767</v>
      </c>
      <c r="M136" s="108">
        <v>-40.293131618759453</v>
      </c>
      <c r="N136" s="108">
        <v>-38.831709531013615</v>
      </c>
      <c r="O136" s="108">
        <v>-37.370287443267777</v>
      </c>
      <c r="P136" s="108">
        <v>-35.908865355521932</v>
      </c>
      <c r="Q136" s="108">
        <v>-34.447443267776094</v>
      </c>
      <c r="R136" s="108">
        <v>-32.986021180030257</v>
      </c>
      <c r="S136" s="108">
        <v>-31.524599092284415</v>
      </c>
      <c r="T136" s="108">
        <v>-30.256727272727272</v>
      </c>
      <c r="U136" s="108">
        <v>-29.034363636363636</v>
      </c>
      <c r="V136" s="108">
        <v>-27.864666666666665</v>
      </c>
      <c r="W136" s="108">
        <v>-26.732303030303029</v>
      </c>
      <c r="X136" s="108">
        <v>-25.629272727272728</v>
      </c>
      <c r="Y136" s="108">
        <v>-24.58710843373494</v>
      </c>
      <c r="Z136" s="108">
        <v>-23.563030303030303</v>
      </c>
      <c r="AA136" s="108">
        <v>-22.575151515151514</v>
      </c>
      <c r="AB136" s="108">
        <v>-21.616363636363637</v>
      </c>
      <c r="AC136" s="108">
        <v>-20.676969696969696</v>
      </c>
      <c r="AD136" s="108">
        <v>-19.783636363636361</v>
      </c>
      <c r="AE136" s="108">
        <v>-18.921818181818182</v>
      </c>
      <c r="AF136" s="108">
        <v>-18.127878787878789</v>
      </c>
      <c r="AG136" s="108">
        <v>-17.456060606060607</v>
      </c>
      <c r="AH136" s="108">
        <v>-16.850000000000001</v>
      </c>
      <c r="AI136" s="108">
        <v>-16.277710843373494</v>
      </c>
      <c r="AJ136" s="108">
        <v>-15.714545454545457</v>
      </c>
      <c r="AK136" s="108">
        <v>-15.16909090909091</v>
      </c>
      <c r="AL136" s="108">
        <v>-14.63618181818182</v>
      </c>
      <c r="AM136" s="108">
        <v>-14.111059001512862</v>
      </c>
      <c r="AN136" s="108">
        <v>-13.637534039334344</v>
      </c>
      <c r="AO136" s="108">
        <v>-13.164009077155827</v>
      </c>
      <c r="AP136" s="108">
        <v>-12.690484114977309</v>
      </c>
      <c r="AQ136" s="108">
        <v>-12.216959152798792</v>
      </c>
      <c r="AR136" s="108">
        <v>-11.743434190620274</v>
      </c>
      <c r="AS136" s="108">
        <v>-11.269909228441756</v>
      </c>
      <c r="AT136" s="108">
        <v>-10.814969696969699</v>
      </c>
      <c r="AU136" s="108">
        <v>-10.384666666666668</v>
      </c>
      <c r="AV136" s="108">
        <v>-9.9666545454545474</v>
      </c>
      <c r="AW136" s="108">
        <v>-9.5541575757575767</v>
      </c>
      <c r="AX136" s="108">
        <v>-9.1553696969696983</v>
      </c>
      <c r="AY136" s="108">
        <v>-8.7643855421686752</v>
      </c>
      <c r="AZ136" s="108">
        <v>-8.3818554216867458</v>
      </c>
      <c r="BA136" s="108">
        <v>-8.0153151515151499</v>
      </c>
      <c r="BB136" s="108">
        <v>-7.7225515151515154</v>
      </c>
      <c r="BC136" s="108">
        <v>-7.7728545454545452</v>
      </c>
      <c r="BD136" s="108">
        <v>-7.8228424242424239</v>
      </c>
      <c r="BE136" s="108">
        <v>-7.8725393939393937</v>
      </c>
      <c r="BF136" s="108">
        <v>-7.9232909090909089</v>
      </c>
      <c r="BG136" s="108">
        <v>-7.9748487140695916</v>
      </c>
      <c r="BH136" s="108">
        <v>-8.0287065052950073</v>
      </c>
      <c r="BI136" s="108">
        <v>-8.0825642965204239</v>
      </c>
      <c r="BJ136" s="108">
        <v>-8.1364220877458404</v>
      </c>
      <c r="BK136" s="108">
        <v>-8.190279878971257</v>
      </c>
      <c r="BL136" s="108">
        <v>-8.2441376701966718</v>
      </c>
      <c r="BM136" s="108">
        <v>-8.2979954614220883</v>
      </c>
      <c r="BN136" s="108">
        <v>-8.3544909090909094</v>
      </c>
      <c r="BO136" s="108">
        <v>-8.4126727272727262</v>
      </c>
      <c r="BP136" s="108">
        <v>-8.472253012048192</v>
      </c>
      <c r="BQ136" s="108">
        <v>-8.5327272727272732</v>
      </c>
      <c r="BR136" s="108">
        <v>-8.5951515151515157</v>
      </c>
      <c r="BS136" s="108">
        <v>-8.6595454545454551</v>
      </c>
      <c r="BT136" s="108">
        <v>-8.7249999999999996</v>
      </c>
    </row>
    <row r="137" spans="1:72" ht="21.75" thickBot="1" x14ac:dyDescent="0.4">
      <c r="A137" s="45" t="s">
        <v>58</v>
      </c>
      <c r="B137" s="35">
        <v>-58.884424242424245</v>
      </c>
      <c r="C137" s="35">
        <v>-57.414121212121216</v>
      </c>
      <c r="D137" s="108">
        <v>-56.05654545454545</v>
      </c>
      <c r="E137" s="108">
        <v>-55.07060606060606</v>
      </c>
      <c r="F137" s="108">
        <v>-54.255990922844177</v>
      </c>
      <c r="G137" s="108">
        <v>-53.830877458396365</v>
      </c>
      <c r="H137" s="108">
        <v>-53.405763993948561</v>
      </c>
      <c r="I137" s="108">
        <v>-52.980650529500757</v>
      </c>
      <c r="J137" s="108">
        <v>-52.555537065052953</v>
      </c>
      <c r="K137" s="108">
        <v>-52.130423600605148</v>
      </c>
      <c r="L137" s="108">
        <v>-51.705310136157344</v>
      </c>
      <c r="M137" s="108">
        <v>-51.368295007564299</v>
      </c>
      <c r="N137" s="108">
        <v>-51.130624810892591</v>
      </c>
      <c r="O137" s="108">
        <v>-50.892954614220884</v>
      </c>
      <c r="P137" s="108">
        <v>-50.655284417549176</v>
      </c>
      <c r="Q137" s="108">
        <v>-50.417614220877461</v>
      </c>
      <c r="R137" s="108">
        <v>-50.179944024205753</v>
      </c>
      <c r="S137" s="108">
        <v>-49.942273827534045</v>
      </c>
      <c r="T137" s="108">
        <v>-49.770878787878793</v>
      </c>
      <c r="U137" s="108">
        <v>-49.61307272727273</v>
      </c>
      <c r="V137" s="108">
        <v>-49.465800000000002</v>
      </c>
      <c r="W137" s="108">
        <v>-49.338212121212116</v>
      </c>
      <c r="X137" s="108">
        <v>-49.226090909090907</v>
      </c>
      <c r="Y137" s="108">
        <v>-49.204487951807231</v>
      </c>
      <c r="Z137" s="108">
        <v>-49.273787878787878</v>
      </c>
      <c r="AA137" s="108">
        <v>-49.588939393939398</v>
      </c>
      <c r="AB137" s="108">
        <v>-49.904454545454549</v>
      </c>
      <c r="AC137" s="108">
        <v>-50.220212121212121</v>
      </c>
      <c r="AD137" s="108">
        <v>-50.535393939393941</v>
      </c>
      <c r="AE137" s="108">
        <v>-50.850727272727276</v>
      </c>
      <c r="AF137" s="108">
        <v>-51.166484848484849</v>
      </c>
      <c r="AG137" s="108">
        <v>-51.482242424242422</v>
      </c>
      <c r="AH137" s="108">
        <v>-51.797999999999995</v>
      </c>
      <c r="AI137" s="108">
        <v>-52.099807228915658</v>
      </c>
      <c r="AJ137" s="108">
        <v>-52.402236363636362</v>
      </c>
      <c r="AK137" s="108">
        <v>-52.705872727272727</v>
      </c>
      <c r="AL137" s="108">
        <v>-53.009509090909091</v>
      </c>
      <c r="AM137" s="108">
        <v>-53.31287291981846</v>
      </c>
      <c r="AN137" s="108">
        <v>-53.609695915279879</v>
      </c>
      <c r="AO137" s="108">
        <v>-53.906518910741298</v>
      </c>
      <c r="AP137" s="108">
        <v>-54.203341906202724</v>
      </c>
      <c r="AQ137" s="108">
        <v>-54.500164901664142</v>
      </c>
      <c r="AR137" s="108">
        <v>-54.796987897125568</v>
      </c>
      <c r="AS137" s="108">
        <v>-55.093810892586987</v>
      </c>
      <c r="AT137" s="108">
        <v>-55.388090909090906</v>
      </c>
      <c r="AU137" s="108">
        <v>-55.679000000000002</v>
      </c>
      <c r="AV137" s="108">
        <v>-55.969436363636362</v>
      </c>
      <c r="AW137" s="108">
        <v>-56.259818181818183</v>
      </c>
      <c r="AX137" s="108">
        <v>-56.550727272727272</v>
      </c>
      <c r="AY137" s="108">
        <v>-56.834722891566265</v>
      </c>
      <c r="AZ137" s="108">
        <v>-57.11122891566265</v>
      </c>
      <c r="BA137" s="108">
        <v>-57.389109090909095</v>
      </c>
      <c r="BB137" s="108">
        <v>-57.667187878787885</v>
      </c>
      <c r="BC137" s="108">
        <v>-57.944763636363639</v>
      </c>
      <c r="BD137" s="108">
        <v>-58.222654545454546</v>
      </c>
      <c r="BE137" s="108">
        <v>-58.500836363636367</v>
      </c>
      <c r="BF137" s="108">
        <v>-58.778490909090905</v>
      </c>
      <c r="BG137" s="108">
        <v>-59.053877458396364</v>
      </c>
      <c r="BH137" s="108">
        <v>-59.321502269288956</v>
      </c>
      <c r="BI137" s="108">
        <v>-59.589127080181541</v>
      </c>
      <c r="BJ137" s="108">
        <v>-59.856751891074126</v>
      </c>
      <c r="BK137" s="108">
        <v>-60.124376701966717</v>
      </c>
      <c r="BL137" s="108">
        <v>-60.392001512859302</v>
      </c>
      <c r="BM137" s="108">
        <v>-60.659626323751887</v>
      </c>
      <c r="BN137" s="108">
        <v>-60.925557575757573</v>
      </c>
      <c r="BO137" s="108">
        <v>-61.190406060606058</v>
      </c>
      <c r="BP137" s="108">
        <v>-61.453144578313257</v>
      </c>
      <c r="BQ137" s="108">
        <v>-61.712818181818186</v>
      </c>
      <c r="BR137" s="108">
        <v>-61.965545454545456</v>
      </c>
      <c r="BS137" s="108">
        <v>-62.225757575757576</v>
      </c>
      <c r="BT137" s="108">
        <v>-62.49</v>
      </c>
    </row>
    <row r="138" spans="1:72" ht="21.75" thickBot="1" x14ac:dyDescent="0.4">
      <c r="A138" s="45" t="s">
        <v>51</v>
      </c>
      <c r="B138" s="35">
        <v>-82.566848484848478</v>
      </c>
      <c r="C138" s="35">
        <v>-80.182484848484847</v>
      </c>
      <c r="D138" s="108">
        <v>-77.952181818181813</v>
      </c>
      <c r="E138" s="108">
        <v>-75.673212121212117</v>
      </c>
      <c r="F138" s="108">
        <v>-73.414160363086239</v>
      </c>
      <c r="G138" s="108">
        <v>-71.591164901664143</v>
      </c>
      <c r="H138" s="108">
        <v>-69.768169440242062</v>
      </c>
      <c r="I138" s="108">
        <v>-67.945173978819966</v>
      </c>
      <c r="J138" s="108">
        <v>-66.122178517397884</v>
      </c>
      <c r="K138" s="108">
        <v>-64.299183055975789</v>
      </c>
      <c r="L138" s="108">
        <v>-62.476187594553707</v>
      </c>
      <c r="M138" s="108">
        <v>-60.894236006051436</v>
      </c>
      <c r="N138" s="108">
        <v>-59.584099848714068</v>
      </c>
      <c r="O138" s="108">
        <v>-58.2739636913767</v>
      </c>
      <c r="P138" s="108">
        <v>-56.963827534039332</v>
      </c>
      <c r="Q138" s="108">
        <v>-55.653691376701964</v>
      </c>
      <c r="R138" s="108">
        <v>-54.343555219364596</v>
      </c>
      <c r="S138" s="108">
        <v>-53.033419062027228</v>
      </c>
      <c r="T138" s="108">
        <v>-51.917030303030302</v>
      </c>
      <c r="U138" s="108">
        <v>-50.844909090909091</v>
      </c>
      <c r="V138" s="108">
        <v>-49.820666666666668</v>
      </c>
      <c r="W138" s="108">
        <v>-48.837151515151518</v>
      </c>
      <c r="X138" s="108">
        <v>-47.885636363636358</v>
      </c>
      <c r="Y138" s="108">
        <v>-46.994156626506019</v>
      </c>
      <c r="Z138" s="108">
        <v>-46.119393939393937</v>
      </c>
      <c r="AA138" s="108">
        <v>-45.276969696969694</v>
      </c>
      <c r="AB138" s="108">
        <v>-44.463636363636361</v>
      </c>
      <c r="AC138" s="108">
        <v>-43.669696969696965</v>
      </c>
      <c r="AD138" s="108">
        <v>-42.921818181818182</v>
      </c>
      <c r="AE138" s="108">
        <v>-42.205454545454543</v>
      </c>
      <c r="AF138" s="108">
        <v>-41.556969696969695</v>
      </c>
      <c r="AG138" s="108">
        <v>-41.030606060606061</v>
      </c>
      <c r="AH138" s="108">
        <v>-40.57</v>
      </c>
      <c r="AI138" s="108">
        <v>-40.136265060240966</v>
      </c>
      <c r="AJ138" s="108">
        <v>-39.711939393939396</v>
      </c>
      <c r="AK138" s="108">
        <v>-39.30587878787879</v>
      </c>
      <c r="AL138" s="108">
        <v>-38.912363636363636</v>
      </c>
      <c r="AM138" s="108">
        <v>-38.526505295007567</v>
      </c>
      <c r="AN138" s="108">
        <v>-38.189137670196672</v>
      </c>
      <c r="AO138" s="108">
        <v>-37.851770045385777</v>
      </c>
      <c r="AP138" s="108">
        <v>-37.514402420574889</v>
      </c>
      <c r="AQ138" s="108">
        <v>-37.177034795763994</v>
      </c>
      <c r="AR138" s="108">
        <v>-36.839667170953106</v>
      </c>
      <c r="AS138" s="108">
        <v>-36.502299546142211</v>
      </c>
      <c r="AT138" s="108">
        <v>-36.182303030303032</v>
      </c>
      <c r="AU138" s="108">
        <v>-35.885333333333335</v>
      </c>
      <c r="AV138" s="108">
        <v>-35.600654545454546</v>
      </c>
      <c r="AW138" s="108">
        <v>-35.321490909090912</v>
      </c>
      <c r="AX138" s="108">
        <v>-35.056036363636366</v>
      </c>
      <c r="AY138" s="108">
        <v>-34.795108433734939</v>
      </c>
      <c r="AZ138" s="108">
        <v>-34.539084337349401</v>
      </c>
      <c r="BA138" s="108">
        <v>-34.29967878787879</v>
      </c>
      <c r="BB138" s="108">
        <v>-34.134187878787877</v>
      </c>
      <c r="BC138" s="108">
        <v>-34.311763636363636</v>
      </c>
      <c r="BD138" s="108">
        <v>-34.489024242424243</v>
      </c>
      <c r="BE138" s="108">
        <v>-34.665993939393942</v>
      </c>
      <c r="BF138" s="108">
        <v>-34.844018181818178</v>
      </c>
      <c r="BG138" s="108">
        <v>-35.021807866868379</v>
      </c>
      <c r="BH138" s="108">
        <v>-35.198207261724662</v>
      </c>
      <c r="BI138" s="108">
        <v>-35.374606656580937</v>
      </c>
      <c r="BJ138" s="108">
        <v>-35.551006051437213</v>
      </c>
      <c r="BK138" s="108">
        <v>-35.727405446293496</v>
      </c>
      <c r="BL138" s="108">
        <v>-35.903804841149771</v>
      </c>
      <c r="BM138" s="108">
        <v>-36.080204236006054</v>
      </c>
      <c r="BN138" s="108">
        <v>-36.258430303030302</v>
      </c>
      <c r="BO138" s="108">
        <v>-36.437824242424242</v>
      </c>
      <c r="BP138" s="108">
        <v>-36.617915662650603</v>
      </c>
      <c r="BQ138" s="108">
        <v>-36.797272727272727</v>
      </c>
      <c r="BR138" s="108">
        <v>-36.974848484848486</v>
      </c>
      <c r="BS138" s="108">
        <v>-37.158333333333339</v>
      </c>
      <c r="BT138" s="108">
        <v>-37.344999999999999</v>
      </c>
    </row>
    <row r="139" spans="1:72" ht="21.75" thickBot="1" x14ac:dyDescent="0.4">
      <c r="A139" s="45" t="s">
        <v>52</v>
      </c>
      <c r="B139" s="35">
        <v>-38.342424242424244</v>
      </c>
      <c r="C139" s="35">
        <v>-37.435272727272732</v>
      </c>
      <c r="D139" s="108">
        <v>-36.580727272727273</v>
      </c>
      <c r="E139" s="108">
        <v>-35.633272727272725</v>
      </c>
      <c r="F139" s="108">
        <v>-34.684251134644477</v>
      </c>
      <c r="G139" s="108">
        <v>-34.112390317700452</v>
      </c>
      <c r="H139" s="108">
        <v>-33.540529500756428</v>
      </c>
      <c r="I139" s="108">
        <v>-32.968668683812403</v>
      </c>
      <c r="J139" s="108">
        <v>-32.396807866868379</v>
      </c>
      <c r="K139" s="108">
        <v>-31.824947049924358</v>
      </c>
      <c r="L139" s="108">
        <v>-31.253086232980337</v>
      </c>
      <c r="M139" s="108">
        <v>-30.767190620272316</v>
      </c>
      <c r="N139" s="108">
        <v>-30.378234493192135</v>
      </c>
      <c r="O139" s="108">
        <v>-29.989278366111954</v>
      </c>
      <c r="P139" s="108">
        <v>-29.600322239031772</v>
      </c>
      <c r="Q139" s="108">
        <v>-29.211366111951591</v>
      </c>
      <c r="R139" s="108">
        <v>-28.822409984871406</v>
      </c>
      <c r="S139" s="108">
        <v>-28.433453857791225</v>
      </c>
      <c r="T139" s="108">
        <v>-28.110575757575759</v>
      </c>
      <c r="U139" s="108">
        <v>-27.802527272727271</v>
      </c>
      <c r="V139" s="108">
        <v>-27.509799999999998</v>
      </c>
      <c r="W139" s="108">
        <v>-27.233363636363634</v>
      </c>
      <c r="X139" s="108">
        <v>-26.969727272727269</v>
      </c>
      <c r="Y139" s="108">
        <v>-26.797439759036145</v>
      </c>
      <c r="Z139" s="108">
        <v>-26.717424242424244</v>
      </c>
      <c r="AA139" s="108">
        <v>-26.887121212121215</v>
      </c>
      <c r="AB139" s="108">
        <v>-27.057181818181821</v>
      </c>
      <c r="AC139" s="108">
        <v>-27.227484848484849</v>
      </c>
      <c r="AD139" s="108">
        <v>-27.397212121212121</v>
      </c>
      <c r="AE139" s="108">
        <v>-27.567090909090908</v>
      </c>
      <c r="AF139" s="108">
        <v>-27.737393939393939</v>
      </c>
      <c r="AG139" s="108">
        <v>-27.907696969696971</v>
      </c>
      <c r="AH139" s="108">
        <v>-28.077999999999999</v>
      </c>
      <c r="AI139" s="108">
        <v>-28.241253012048194</v>
      </c>
      <c r="AJ139" s="108">
        <v>-28.404842424242425</v>
      </c>
      <c r="AK139" s="108">
        <v>-28.569084848484849</v>
      </c>
      <c r="AL139" s="108">
        <v>-28.733327272727273</v>
      </c>
      <c r="AM139" s="108">
        <v>-28.89742662632375</v>
      </c>
      <c r="AN139" s="108">
        <v>-29.058092284417548</v>
      </c>
      <c r="AO139" s="108">
        <v>-29.218757942511346</v>
      </c>
      <c r="AP139" s="108">
        <v>-29.379423600605143</v>
      </c>
      <c r="AQ139" s="108">
        <v>-29.540089258698938</v>
      </c>
      <c r="AR139" s="108">
        <v>-29.700754916792736</v>
      </c>
      <c r="AS139" s="108">
        <v>-29.861420574886534</v>
      </c>
      <c r="AT139" s="108">
        <v>-30.020757575757575</v>
      </c>
      <c r="AU139" s="108">
        <v>-30.178333333333335</v>
      </c>
      <c r="AV139" s="108">
        <v>-30.335436363636365</v>
      </c>
      <c r="AW139" s="108">
        <v>-30.49248484848485</v>
      </c>
      <c r="AX139" s="108">
        <v>-30.650060606060606</v>
      </c>
      <c r="AY139" s="108">
        <v>-30.803999999999998</v>
      </c>
      <c r="AZ139" s="108">
        <v>-30.954000000000001</v>
      </c>
      <c r="BA139" s="108">
        <v>-31.104745454545455</v>
      </c>
      <c r="BB139" s="108">
        <v>-31.255551515151517</v>
      </c>
      <c r="BC139" s="108">
        <v>-31.405854545454549</v>
      </c>
      <c r="BD139" s="108">
        <v>-31.556472727272727</v>
      </c>
      <c r="BE139" s="108">
        <v>-31.707381818181815</v>
      </c>
      <c r="BF139" s="108">
        <v>-31.857763636363636</v>
      </c>
      <c r="BG139" s="108">
        <v>-32.00691830559758</v>
      </c>
      <c r="BH139" s="108">
        <v>-32.152001512859307</v>
      </c>
      <c r="BI139" s="108">
        <v>-32.297084720121028</v>
      </c>
      <c r="BJ139" s="108">
        <v>-32.442167927382755</v>
      </c>
      <c r="BK139" s="108">
        <v>-32.587251134644475</v>
      </c>
      <c r="BL139" s="108">
        <v>-32.732334341906203</v>
      </c>
      <c r="BM139" s="108">
        <v>-32.877417549167923</v>
      </c>
      <c r="BN139" s="108">
        <v>-33.021618181818184</v>
      </c>
      <c r="BO139" s="108">
        <v>-33.165254545454545</v>
      </c>
      <c r="BP139" s="108">
        <v>-33.307481927710839</v>
      </c>
      <c r="BQ139" s="108">
        <v>-33.448272727272723</v>
      </c>
      <c r="BR139" s="108">
        <v>-33.585848484848484</v>
      </c>
      <c r="BS139" s="108">
        <v>-33.726969696969697</v>
      </c>
      <c r="BT139" s="108">
        <v>-33.870000000000005</v>
      </c>
    </row>
    <row r="140" spans="1:72" ht="21.75" thickBot="1" x14ac:dyDescent="0.4">
      <c r="A140" s="45" t="s">
        <v>59</v>
      </c>
      <c r="B140" s="35">
        <v>-144.59169696969695</v>
      </c>
      <c r="C140" s="35">
        <v>-140.3861212121212</v>
      </c>
      <c r="D140" s="108">
        <v>-136.42854545454543</v>
      </c>
      <c r="E140" s="108">
        <v>-131.90909090909091</v>
      </c>
      <c r="F140" s="108">
        <v>-127.25658093797277</v>
      </c>
      <c r="G140" s="108">
        <v>-123.46384266263237</v>
      </c>
      <c r="H140" s="108">
        <v>-119.67110438729198</v>
      </c>
      <c r="I140" s="108">
        <v>-115.87836611195159</v>
      </c>
      <c r="J140" s="108">
        <v>-112.0856278366112</v>
      </c>
      <c r="K140" s="108">
        <v>-108.2928895612708</v>
      </c>
      <c r="L140" s="108">
        <v>-104.5001512859304</v>
      </c>
      <c r="M140" s="108">
        <v>-101.18736762481089</v>
      </c>
      <c r="N140" s="108">
        <v>-98.415809379727676</v>
      </c>
      <c r="O140" s="108">
        <v>-95.644251134644477</v>
      </c>
      <c r="P140" s="108">
        <v>-92.872692889561264</v>
      </c>
      <c r="Q140" s="108">
        <v>-90.101134644478066</v>
      </c>
      <c r="R140" s="108">
        <v>-87.329576399394853</v>
      </c>
      <c r="S140" s="108">
        <v>-84.55801815431164</v>
      </c>
      <c r="T140" s="108">
        <v>-82.173757575757577</v>
      </c>
      <c r="U140" s="108">
        <v>-79.879272727272721</v>
      </c>
      <c r="V140" s="108">
        <v>-77.685333333333332</v>
      </c>
      <c r="W140" s="108">
        <v>-75.569454545454533</v>
      </c>
      <c r="X140" s="108">
        <v>-73.514909090909086</v>
      </c>
      <c r="Y140" s="108">
        <v>-71.581265060240966</v>
      </c>
      <c r="Z140" s="108">
        <v>-69.682424242424247</v>
      </c>
      <c r="AA140" s="108">
        <v>-67.852121212121219</v>
      </c>
      <c r="AB140" s="108">
        <v>-66.08</v>
      </c>
      <c r="AC140" s="108">
        <v>-64.346666666666664</v>
      </c>
      <c r="AD140" s="108">
        <v>-62.705454545454543</v>
      </c>
      <c r="AE140" s="108">
        <v>-61.127272727272732</v>
      </c>
      <c r="AF140" s="108">
        <v>-59.684848484848487</v>
      </c>
      <c r="AG140" s="108">
        <v>-58.486666666666672</v>
      </c>
      <c r="AH140" s="108">
        <v>-57.42</v>
      </c>
      <c r="AI140" s="108">
        <v>-56.413975903614457</v>
      </c>
      <c r="AJ140" s="108">
        <v>-55.426484848484847</v>
      </c>
      <c r="AK140" s="108">
        <v>-54.474969696969701</v>
      </c>
      <c r="AL140" s="108">
        <v>-53.548545454545454</v>
      </c>
      <c r="AM140" s="108">
        <v>-52.637564296520431</v>
      </c>
      <c r="AN140" s="108">
        <v>-51.82667170953102</v>
      </c>
      <c r="AO140" s="108">
        <v>-51.015779122541609</v>
      </c>
      <c r="AP140" s="108">
        <v>-50.204886535552198</v>
      </c>
      <c r="AQ140" s="108">
        <v>-49.393993948562787</v>
      </c>
      <c r="AR140" s="108">
        <v>-48.583101361573377</v>
      </c>
      <c r="AS140" s="108">
        <v>-47.772208774583973</v>
      </c>
      <c r="AT140" s="108">
        <v>-46.99727272727273</v>
      </c>
      <c r="AU140" s="108">
        <v>-46.27</v>
      </c>
      <c r="AV140" s="108">
        <v>-45.567309090909099</v>
      </c>
      <c r="AW140" s="108">
        <v>-44.87564848484849</v>
      </c>
      <c r="AX140" s="108">
        <v>-44.211406060606066</v>
      </c>
      <c r="AY140" s="108">
        <v>-43.559493975903614</v>
      </c>
      <c r="AZ140" s="108">
        <v>-42.920939759036138</v>
      </c>
      <c r="BA140" s="108">
        <v>-42.314993939393936</v>
      </c>
      <c r="BB140" s="108">
        <v>-41.856739393939392</v>
      </c>
      <c r="BC140" s="108">
        <v>-42.084618181818186</v>
      </c>
      <c r="BD140" s="108">
        <v>-42.311866666666667</v>
      </c>
      <c r="BE140" s="108">
        <v>-42.538533333333334</v>
      </c>
      <c r="BF140" s="108">
        <v>-42.767309090909087</v>
      </c>
      <c r="BG140" s="108">
        <v>-42.996656580937973</v>
      </c>
      <c r="BH140" s="108">
        <v>-43.226913767019667</v>
      </c>
      <c r="BI140" s="108">
        <v>-43.457170953101361</v>
      </c>
      <c r="BJ140" s="108">
        <v>-43.687428139183055</v>
      </c>
      <c r="BK140" s="108">
        <v>-43.917685325264756</v>
      </c>
      <c r="BL140" s="108">
        <v>-44.14794251134645</v>
      </c>
      <c r="BM140" s="108">
        <v>-44.378199697428144</v>
      </c>
      <c r="BN140" s="108">
        <v>-44.612921212121215</v>
      </c>
      <c r="BO140" s="108">
        <v>-44.85049696969697</v>
      </c>
      <c r="BP140" s="108">
        <v>-45.090168674698795</v>
      </c>
      <c r="BQ140" s="108">
        <v>-45.33</v>
      </c>
      <c r="BR140" s="108">
        <v>-45.57</v>
      </c>
      <c r="BS140" s="108">
        <v>-45.81787878787879</v>
      </c>
      <c r="BT140" s="108">
        <v>-46.07</v>
      </c>
    </row>
    <row r="141" spans="1:72" ht="21.75" thickBot="1" x14ac:dyDescent="0.4">
      <c r="A141" s="45" t="s">
        <v>1</v>
      </c>
      <c r="B141" s="35">
        <v>-18.95</v>
      </c>
      <c r="C141" s="35">
        <v>-18.954606060606061</v>
      </c>
      <c r="D141" s="108">
        <v>-18.966727272727272</v>
      </c>
      <c r="E141" s="108">
        <v>-19.080606060606058</v>
      </c>
      <c r="F141" s="108">
        <v>-19.221089258698939</v>
      </c>
      <c r="G141" s="108">
        <v>-19.234704992435702</v>
      </c>
      <c r="H141" s="108">
        <v>-19.248320726172466</v>
      </c>
      <c r="I141" s="108">
        <v>-19.261936459909226</v>
      </c>
      <c r="J141" s="108">
        <v>-19.275552193645989</v>
      </c>
      <c r="K141" s="108">
        <v>-19.289167927382753</v>
      </c>
      <c r="L141" s="108">
        <v>-19.302783661119516</v>
      </c>
      <c r="M141" s="108">
        <v>-19.318532526475035</v>
      </c>
      <c r="N141" s="108">
        <v>-19.336686838124052</v>
      </c>
      <c r="O141" s="108">
        <v>-19.354841149773069</v>
      </c>
      <c r="P141" s="108">
        <v>-19.372995461422086</v>
      </c>
      <c r="Q141" s="108">
        <v>-19.391149773071103</v>
      </c>
      <c r="R141" s="108">
        <v>-19.409304084720119</v>
      </c>
      <c r="S141" s="108">
        <v>-19.427458396369136</v>
      </c>
      <c r="T141" s="108">
        <v>-19.445636363636364</v>
      </c>
      <c r="U141" s="108">
        <v>-19.463818181818183</v>
      </c>
      <c r="V141" s="108">
        <v>-19.481999999999999</v>
      </c>
      <c r="W141" s="108">
        <v>-19.500181818181819</v>
      </c>
      <c r="X141" s="108">
        <v>-19.518363636363635</v>
      </c>
      <c r="Y141" s="108">
        <v>-19.492590361445782</v>
      </c>
      <c r="Z141" s="108">
        <v>-19.433636363636364</v>
      </c>
      <c r="AA141" s="108">
        <v>-19.288181818181819</v>
      </c>
      <c r="AB141" s="108">
        <v>-19.200909090909089</v>
      </c>
      <c r="AC141" s="108">
        <v>-19.152424242424242</v>
      </c>
      <c r="AD141" s="108">
        <v>-19.144242424242425</v>
      </c>
      <c r="AE141" s="108">
        <v>-19.14</v>
      </c>
      <c r="AF141" s="108">
        <v>-19.14</v>
      </c>
      <c r="AG141" s="108">
        <v>-19.147878787878788</v>
      </c>
      <c r="AH141" s="108">
        <v>-19.16</v>
      </c>
      <c r="AI141" s="108">
        <v>-19.178072289156628</v>
      </c>
      <c r="AJ141" s="108">
        <v>-19.19618181818182</v>
      </c>
      <c r="AK141" s="108">
        <v>-19.214363636363636</v>
      </c>
      <c r="AL141" s="108">
        <v>-19.232545454545455</v>
      </c>
      <c r="AM141" s="108">
        <v>-19.250786686838126</v>
      </c>
      <c r="AN141" s="108">
        <v>-19.270453857791225</v>
      </c>
      <c r="AO141" s="108">
        <v>-19.290121028744327</v>
      </c>
      <c r="AP141" s="108">
        <v>-19.309788199697426</v>
      </c>
      <c r="AQ141" s="108">
        <v>-19.329455370650528</v>
      </c>
      <c r="AR141" s="108">
        <v>-19.349122541603631</v>
      </c>
      <c r="AS141" s="108">
        <v>-19.36878971255673</v>
      </c>
      <c r="AT141" s="108">
        <v>-19.390424242424242</v>
      </c>
      <c r="AU141" s="108">
        <v>-19.414666666666669</v>
      </c>
      <c r="AV141" s="108">
        <v>-19.43418181818182</v>
      </c>
      <c r="AW141" s="108">
        <v>-19.452363636363636</v>
      </c>
      <c r="AX141" s="108">
        <v>-19.470545454545455</v>
      </c>
      <c r="AY141" s="108">
        <v>-19.488674698795183</v>
      </c>
      <c r="AZ141" s="108">
        <v>-19.506746987951807</v>
      </c>
      <c r="BA141" s="108">
        <v>-19.52987878787879</v>
      </c>
      <c r="BB141" s="108">
        <v>-19.553090909090908</v>
      </c>
      <c r="BC141" s="108">
        <v>-19.571272727272728</v>
      </c>
      <c r="BD141" s="108">
        <v>-19.589454545454544</v>
      </c>
      <c r="BE141" s="108">
        <v>-19.607636363636363</v>
      </c>
      <c r="BF141" s="108">
        <v>-19.625818181818182</v>
      </c>
      <c r="BG141" s="108">
        <v>-19.643993948562784</v>
      </c>
      <c r="BH141" s="108">
        <v>-19.662148260211801</v>
      </c>
      <c r="BI141" s="108">
        <v>-19.680302571860818</v>
      </c>
      <c r="BJ141" s="108">
        <v>-19.698456883509834</v>
      </c>
      <c r="BK141" s="108">
        <v>-19.716611195158851</v>
      </c>
      <c r="BL141" s="108">
        <v>-19.734765506807868</v>
      </c>
      <c r="BM141" s="108">
        <v>-19.752919818456885</v>
      </c>
      <c r="BN141" s="108">
        <v>-19.771090909090908</v>
      </c>
      <c r="BO141" s="108">
        <v>-19.789272727272728</v>
      </c>
      <c r="BP141" s="108">
        <v>-19.807349397590361</v>
      </c>
      <c r="BQ141" s="108">
        <v>-19.825454545454544</v>
      </c>
      <c r="BR141" s="108">
        <v>-19.843636363636364</v>
      </c>
      <c r="BS141" s="108">
        <v>-19.861818181818183</v>
      </c>
      <c r="BT141" s="108">
        <v>-19.88</v>
      </c>
    </row>
    <row r="142" spans="1:72" ht="21.75" thickBot="1" x14ac:dyDescent="0.4">
      <c r="A142" s="45" t="s">
        <v>54</v>
      </c>
      <c r="B142" s="35">
        <v>-62.024848484848484</v>
      </c>
      <c r="C142" s="35">
        <v>-60.203636363636363</v>
      </c>
      <c r="D142" s="108">
        <v>-58.476363636363629</v>
      </c>
      <c r="E142" s="108">
        <v>-56.235878787878782</v>
      </c>
      <c r="F142" s="108">
        <v>-53.842420574886532</v>
      </c>
      <c r="G142" s="108">
        <v>-51.87267776096823</v>
      </c>
      <c r="H142" s="108">
        <v>-49.902934947049921</v>
      </c>
      <c r="I142" s="108">
        <v>-47.93319213313162</v>
      </c>
      <c r="J142" s="108">
        <v>-45.963449319213311</v>
      </c>
      <c r="K142" s="108">
        <v>-43.993706505295009</v>
      </c>
      <c r="L142" s="108">
        <v>-42.0239636913767</v>
      </c>
      <c r="M142" s="108">
        <v>-40.293131618759453</v>
      </c>
      <c r="N142" s="108">
        <v>-38.831709531013615</v>
      </c>
      <c r="O142" s="108">
        <v>-37.370287443267777</v>
      </c>
      <c r="P142" s="108">
        <v>-35.908865355521932</v>
      </c>
      <c r="Q142" s="108">
        <v>-34.447443267776094</v>
      </c>
      <c r="R142" s="108">
        <v>-32.986021180030257</v>
      </c>
      <c r="S142" s="108">
        <v>-31.524599092284415</v>
      </c>
      <c r="T142" s="108">
        <v>-30.256727272727272</v>
      </c>
      <c r="U142" s="108">
        <v>-29.034363636363636</v>
      </c>
      <c r="V142" s="108">
        <v>-27.864666666666665</v>
      </c>
      <c r="W142" s="108">
        <v>-26.732303030303029</v>
      </c>
      <c r="X142" s="108">
        <v>-25.629272727272728</v>
      </c>
      <c r="Y142" s="108">
        <v>-24.58710843373494</v>
      </c>
      <c r="Z142" s="108">
        <v>-23.563030303030303</v>
      </c>
      <c r="AA142" s="108">
        <v>-22.575151515151514</v>
      </c>
      <c r="AB142" s="108">
        <v>-21.616363636363637</v>
      </c>
      <c r="AC142" s="108">
        <v>-20.676969696969696</v>
      </c>
      <c r="AD142" s="108">
        <v>-19.783636363636361</v>
      </c>
      <c r="AE142" s="108">
        <v>-18.921818181818182</v>
      </c>
      <c r="AF142" s="108">
        <v>-18.127878787878789</v>
      </c>
      <c r="AG142" s="108">
        <v>-17.456060606060607</v>
      </c>
      <c r="AH142" s="108">
        <v>-16.850000000000001</v>
      </c>
      <c r="AI142" s="108">
        <v>-16.277710843373494</v>
      </c>
      <c r="AJ142" s="108">
        <v>-15.714545454545457</v>
      </c>
      <c r="AK142" s="108">
        <v>-15.16909090909091</v>
      </c>
      <c r="AL142" s="108">
        <v>-14.63618181818182</v>
      </c>
      <c r="AM142" s="108">
        <v>-14.111059001512862</v>
      </c>
      <c r="AN142" s="108">
        <v>-13.637534039334344</v>
      </c>
      <c r="AO142" s="108">
        <v>-13.164009077155827</v>
      </c>
      <c r="AP142" s="108">
        <v>-12.690484114977309</v>
      </c>
      <c r="AQ142" s="108">
        <v>-12.216959152798792</v>
      </c>
      <c r="AR142" s="108">
        <v>-11.743434190620274</v>
      </c>
      <c r="AS142" s="108">
        <v>-11.269909228441756</v>
      </c>
      <c r="AT142" s="108">
        <v>-10.814969696969699</v>
      </c>
      <c r="AU142" s="108">
        <v>-10.384666666666668</v>
      </c>
      <c r="AV142" s="108">
        <v>-9.9666545454545474</v>
      </c>
      <c r="AW142" s="108">
        <v>-9.5541575757575767</v>
      </c>
      <c r="AX142" s="108">
        <v>-9.1553696969696983</v>
      </c>
      <c r="AY142" s="108">
        <v>-8.7643855421686752</v>
      </c>
      <c r="AZ142" s="108">
        <v>-8.3818554216867458</v>
      </c>
      <c r="BA142" s="108">
        <v>-8.0153151515151499</v>
      </c>
      <c r="BB142" s="108">
        <v>-7.7225515151515154</v>
      </c>
      <c r="BC142" s="108">
        <v>-7.7728545454545452</v>
      </c>
      <c r="BD142" s="108">
        <v>-7.8228424242424239</v>
      </c>
      <c r="BE142" s="108">
        <v>-7.8725393939393937</v>
      </c>
      <c r="BF142" s="108">
        <v>-7.9232909090909089</v>
      </c>
      <c r="BG142" s="108">
        <v>-7.9748487140695916</v>
      </c>
      <c r="BH142" s="108">
        <v>-8.0287065052950073</v>
      </c>
      <c r="BI142" s="108">
        <v>-8.0825642965204239</v>
      </c>
      <c r="BJ142" s="108">
        <v>-8.1364220877458404</v>
      </c>
      <c r="BK142" s="108">
        <v>-8.190279878971257</v>
      </c>
      <c r="BL142" s="108">
        <v>-8.2441376701966718</v>
      </c>
      <c r="BM142" s="108">
        <v>-8.2979954614220883</v>
      </c>
      <c r="BN142" s="108">
        <v>-8.3544909090909094</v>
      </c>
      <c r="BO142" s="108">
        <v>-8.4126727272727262</v>
      </c>
      <c r="BP142" s="108">
        <v>-8.472253012048192</v>
      </c>
      <c r="BQ142" s="108">
        <v>-8.5327272727272732</v>
      </c>
      <c r="BR142" s="108">
        <v>-8.5951515151515157</v>
      </c>
      <c r="BS142" s="108">
        <v>-8.6595454545454551</v>
      </c>
      <c r="BT142" s="108">
        <v>-8.7249999999999996</v>
      </c>
    </row>
    <row r="143" spans="1:72" ht="21.75" thickBot="1" x14ac:dyDescent="0.4">
      <c r="A143" s="45" t="s">
        <v>55</v>
      </c>
      <c r="B143" s="35">
        <v>-38.342424242424244</v>
      </c>
      <c r="C143" s="35">
        <v>-37.435272727272732</v>
      </c>
      <c r="D143" s="108">
        <v>-36.580727272727273</v>
      </c>
      <c r="E143" s="108">
        <v>-35.633272727272725</v>
      </c>
      <c r="F143" s="108">
        <v>-34.684251134644477</v>
      </c>
      <c r="G143" s="108">
        <v>-34.112390317700452</v>
      </c>
      <c r="H143" s="108">
        <v>-33.540529500756428</v>
      </c>
      <c r="I143" s="108">
        <v>-32.968668683812403</v>
      </c>
      <c r="J143" s="108">
        <v>-32.396807866868379</v>
      </c>
      <c r="K143" s="108">
        <v>-31.824947049924358</v>
      </c>
      <c r="L143" s="108">
        <v>-31.253086232980337</v>
      </c>
      <c r="M143" s="108">
        <v>-30.767190620272316</v>
      </c>
      <c r="N143" s="108">
        <v>-30.378234493192135</v>
      </c>
      <c r="O143" s="108">
        <v>-29.989278366111954</v>
      </c>
      <c r="P143" s="108">
        <v>-29.600322239031772</v>
      </c>
      <c r="Q143" s="108">
        <v>-29.211366111951591</v>
      </c>
      <c r="R143" s="108">
        <v>-28.822409984871406</v>
      </c>
      <c r="S143" s="108">
        <v>-28.433453857791225</v>
      </c>
      <c r="T143" s="108">
        <v>-28.110575757575759</v>
      </c>
      <c r="U143" s="108">
        <v>-27.802527272727271</v>
      </c>
      <c r="V143" s="108">
        <v>-27.509799999999998</v>
      </c>
      <c r="W143" s="108">
        <v>-27.233363636363634</v>
      </c>
      <c r="X143" s="108">
        <v>-26.969727272727269</v>
      </c>
      <c r="Y143" s="108">
        <v>-26.797439759036145</v>
      </c>
      <c r="Z143" s="108">
        <v>-26.717424242424244</v>
      </c>
      <c r="AA143" s="108">
        <v>-26.887121212121215</v>
      </c>
      <c r="AB143" s="108">
        <v>-27.057181818181821</v>
      </c>
      <c r="AC143" s="108">
        <v>-27.227484848484849</v>
      </c>
      <c r="AD143" s="108">
        <v>-27.397212121212121</v>
      </c>
      <c r="AE143" s="108">
        <v>-27.567090909090908</v>
      </c>
      <c r="AF143" s="108">
        <v>-27.737393939393939</v>
      </c>
      <c r="AG143" s="108">
        <v>-27.907696969696971</v>
      </c>
      <c r="AH143" s="108">
        <v>-28.077999999999999</v>
      </c>
      <c r="AI143" s="108">
        <v>-28.241253012048194</v>
      </c>
      <c r="AJ143" s="108">
        <v>-28.404842424242425</v>
      </c>
      <c r="AK143" s="108">
        <v>-28.569084848484849</v>
      </c>
      <c r="AL143" s="108">
        <v>-28.733327272727273</v>
      </c>
      <c r="AM143" s="108">
        <v>-28.89742662632375</v>
      </c>
      <c r="AN143" s="108">
        <v>-29.058092284417548</v>
      </c>
      <c r="AO143" s="108">
        <v>-29.218757942511346</v>
      </c>
      <c r="AP143" s="108">
        <v>-29.379423600605143</v>
      </c>
      <c r="AQ143" s="108">
        <v>-29.540089258698938</v>
      </c>
      <c r="AR143" s="108">
        <v>-29.700754916792736</v>
      </c>
      <c r="AS143" s="108">
        <v>-29.861420574886534</v>
      </c>
      <c r="AT143" s="108">
        <v>-30.020757575757575</v>
      </c>
      <c r="AU143" s="108">
        <v>-30.178333333333335</v>
      </c>
      <c r="AV143" s="108">
        <v>-30.335436363636365</v>
      </c>
      <c r="AW143" s="108">
        <v>-30.49248484848485</v>
      </c>
      <c r="AX143" s="108">
        <v>-30.650060606060606</v>
      </c>
      <c r="AY143" s="108">
        <v>-30.803999999999998</v>
      </c>
      <c r="AZ143" s="108">
        <v>-30.954000000000001</v>
      </c>
      <c r="BA143" s="108">
        <v>-31.104745454545455</v>
      </c>
      <c r="BB143" s="108">
        <v>-31.255551515151517</v>
      </c>
      <c r="BC143" s="108">
        <v>-31.405854545454549</v>
      </c>
      <c r="BD143" s="108">
        <v>-31.556472727272727</v>
      </c>
      <c r="BE143" s="108">
        <v>-31.707381818181815</v>
      </c>
      <c r="BF143" s="108">
        <v>-31.857763636363636</v>
      </c>
      <c r="BG143" s="108">
        <v>-32.00691830559758</v>
      </c>
      <c r="BH143" s="108">
        <v>-32.152001512859307</v>
      </c>
      <c r="BI143" s="108">
        <v>-32.297084720121028</v>
      </c>
      <c r="BJ143" s="108">
        <v>-32.442167927382755</v>
      </c>
      <c r="BK143" s="108">
        <v>-32.587251134644475</v>
      </c>
      <c r="BL143" s="108">
        <v>-32.732334341906203</v>
      </c>
      <c r="BM143" s="108">
        <v>-32.877417549167923</v>
      </c>
      <c r="BN143" s="108">
        <v>-33.021618181818184</v>
      </c>
      <c r="BO143" s="108">
        <v>-33.165254545454545</v>
      </c>
      <c r="BP143" s="108">
        <v>-33.307481927710839</v>
      </c>
      <c r="BQ143" s="108">
        <v>-33.448272727272723</v>
      </c>
      <c r="BR143" s="108">
        <v>-33.585848484848484</v>
      </c>
      <c r="BS143" s="108">
        <v>-33.726969696969697</v>
      </c>
      <c r="BT143" s="108">
        <v>-33.870000000000005</v>
      </c>
    </row>
    <row r="144" spans="1:72" ht="21.75" thickBot="1" x14ac:dyDescent="0.4">
      <c r="A144" s="45" t="s">
        <v>56</v>
      </c>
      <c r="B144" s="35">
        <v>-17.800424242424242</v>
      </c>
      <c r="C144" s="35">
        <v>-17.456424242424241</v>
      </c>
      <c r="D144" s="108">
        <v>-17.104909090909093</v>
      </c>
      <c r="E144" s="108">
        <v>-16.195939393939394</v>
      </c>
      <c r="F144" s="108">
        <v>-15.11251134644478</v>
      </c>
      <c r="G144" s="108">
        <v>-14.393903177004537</v>
      </c>
      <c r="H144" s="108">
        <v>-13.675295007564296</v>
      </c>
      <c r="I144" s="108">
        <v>-12.956686838124053</v>
      </c>
      <c r="J144" s="108">
        <v>-12.238078668683812</v>
      </c>
      <c r="K144" s="108">
        <v>-11.519470499243571</v>
      </c>
      <c r="L144" s="108">
        <v>-10.800862329803328</v>
      </c>
      <c r="M144" s="108">
        <v>-10.166086232980334</v>
      </c>
      <c r="N144" s="108">
        <v>-9.6258441754916788</v>
      </c>
      <c r="O144" s="108">
        <v>-9.0856021180030258</v>
      </c>
      <c r="P144" s="108">
        <v>-8.5453600605143727</v>
      </c>
      <c r="Q144" s="108">
        <v>-8.0051180030257179</v>
      </c>
      <c r="R144" s="108">
        <v>-7.4648759455370648</v>
      </c>
      <c r="S144" s="108">
        <v>-6.92463388804841</v>
      </c>
      <c r="T144" s="108">
        <v>-6.4502727272727265</v>
      </c>
      <c r="U144" s="108">
        <v>-5.9919818181818165</v>
      </c>
      <c r="V144" s="108">
        <v>-5.553799999999999</v>
      </c>
      <c r="W144" s="108">
        <v>-5.1285151515151508</v>
      </c>
      <c r="X144" s="108">
        <v>-4.7133636363636358</v>
      </c>
      <c r="Y144" s="108">
        <v>-4.3903915662650599</v>
      </c>
      <c r="Z144" s="108">
        <v>-4.1610606060606061</v>
      </c>
      <c r="AA144" s="108">
        <v>-4.1853030303030305</v>
      </c>
      <c r="AB144" s="108">
        <v>-4.2099090909090906</v>
      </c>
      <c r="AC144" s="108">
        <v>-4.2347575757575759</v>
      </c>
      <c r="AD144" s="108">
        <v>-4.2590303030303032</v>
      </c>
      <c r="AE144" s="108">
        <v>-4.2834545454545454</v>
      </c>
      <c r="AF144" s="108">
        <v>-4.3083030303030307</v>
      </c>
      <c r="AG144" s="108">
        <v>-4.3331515151515152</v>
      </c>
      <c r="AH144" s="108">
        <v>-4.3579999999999997</v>
      </c>
      <c r="AI144" s="108">
        <v>-4.3826987951807226</v>
      </c>
      <c r="AJ144" s="108">
        <v>-4.4074484848484845</v>
      </c>
      <c r="AK144" s="108">
        <v>-4.4322969696969698</v>
      </c>
      <c r="AL144" s="108">
        <v>-4.4571454545454543</v>
      </c>
      <c r="AM144" s="108">
        <v>-4.4819803328290471</v>
      </c>
      <c r="AN144" s="108">
        <v>-4.5064886535552189</v>
      </c>
      <c r="AO144" s="108">
        <v>-4.5309969742813916</v>
      </c>
      <c r="AP144" s="108">
        <v>-4.5555052950075643</v>
      </c>
      <c r="AQ144" s="108">
        <v>-4.5800136157337361</v>
      </c>
      <c r="AR144" s="108">
        <v>-4.6045219364599088</v>
      </c>
      <c r="AS144" s="108">
        <v>-4.6290302571860815</v>
      </c>
      <c r="AT144" s="108">
        <v>-4.6534242424242418</v>
      </c>
      <c r="AU144" s="108">
        <v>-4.6776666666666662</v>
      </c>
      <c r="AV144" s="108">
        <v>-4.7014363636363639</v>
      </c>
      <c r="AW144" s="108">
        <v>-4.7251515151515155</v>
      </c>
      <c r="AX144" s="108">
        <v>-4.7493939393939391</v>
      </c>
      <c r="AY144" s="108">
        <v>-4.7732771084337342</v>
      </c>
      <c r="AZ144" s="108">
        <v>-4.7967710843373492</v>
      </c>
      <c r="BA144" s="108">
        <v>-4.8203818181818185</v>
      </c>
      <c r="BB144" s="108">
        <v>-4.8439151515151515</v>
      </c>
      <c r="BC144" s="108">
        <v>-4.8669454545454549</v>
      </c>
      <c r="BD144" s="108">
        <v>-4.8902909090909095</v>
      </c>
      <c r="BE144" s="108">
        <v>-4.9139272727272729</v>
      </c>
      <c r="BF144" s="108">
        <v>-4.9370363636363637</v>
      </c>
      <c r="BG144" s="108">
        <v>-4.9599591527987901</v>
      </c>
      <c r="BH144" s="108">
        <v>-4.9825007564296522</v>
      </c>
      <c r="BI144" s="108">
        <v>-5.0050423600605143</v>
      </c>
      <c r="BJ144" s="108">
        <v>-5.0275839636913773</v>
      </c>
      <c r="BK144" s="108">
        <v>-5.0501255673222394</v>
      </c>
      <c r="BL144" s="108">
        <v>-5.0726671709531015</v>
      </c>
      <c r="BM144" s="108">
        <v>-5.0952087745839636</v>
      </c>
      <c r="BN144" s="108">
        <v>-5.1176787878787877</v>
      </c>
      <c r="BO144" s="108">
        <v>-5.1401030303030302</v>
      </c>
      <c r="BP144" s="108">
        <v>-5.1618192771084335</v>
      </c>
      <c r="BQ144" s="108">
        <v>-5.1837272727272721</v>
      </c>
      <c r="BR144" s="108">
        <v>-5.2061515151515154</v>
      </c>
      <c r="BS144" s="108">
        <v>-5.2281818181818185</v>
      </c>
      <c r="BT144" s="108">
        <v>-5.25</v>
      </c>
    </row>
    <row r="145" spans="1:72" ht="21.75" thickBot="1" x14ac:dyDescent="0.4">
      <c r="A145" s="45" t="s">
        <v>26</v>
      </c>
      <c r="B145" s="35">
        <v>-18.95</v>
      </c>
      <c r="C145" s="35">
        <v>-18.954606060606061</v>
      </c>
      <c r="D145" s="108">
        <v>-18.966727272727272</v>
      </c>
      <c r="E145" s="108">
        <v>-19.080606060606058</v>
      </c>
      <c r="F145" s="108">
        <v>-19.221089258698939</v>
      </c>
      <c r="G145" s="108">
        <v>-19.234704992435702</v>
      </c>
      <c r="H145" s="108">
        <v>-19.248320726172466</v>
      </c>
      <c r="I145" s="108">
        <v>-19.261936459909226</v>
      </c>
      <c r="J145" s="108">
        <v>-19.275552193645989</v>
      </c>
      <c r="K145" s="108">
        <v>-19.289167927382753</v>
      </c>
      <c r="L145" s="108">
        <v>-19.302783661119516</v>
      </c>
      <c r="M145" s="108">
        <v>-19.318532526475035</v>
      </c>
      <c r="N145" s="108">
        <v>-19.336686838124052</v>
      </c>
      <c r="O145" s="108">
        <v>-19.354841149773069</v>
      </c>
      <c r="P145" s="108">
        <v>-19.372995461422086</v>
      </c>
      <c r="Q145" s="108">
        <v>-19.391149773071103</v>
      </c>
      <c r="R145" s="108">
        <v>-19.409304084720119</v>
      </c>
      <c r="S145" s="108">
        <v>-19.427458396369136</v>
      </c>
      <c r="T145" s="108">
        <v>-19.445636363636364</v>
      </c>
      <c r="U145" s="108">
        <v>-19.463818181818183</v>
      </c>
      <c r="V145" s="108">
        <v>-19.481999999999999</v>
      </c>
      <c r="W145" s="108">
        <v>-19.500181818181819</v>
      </c>
      <c r="X145" s="108">
        <v>-19.518363636363635</v>
      </c>
      <c r="Y145" s="108">
        <v>-19.492590361445782</v>
      </c>
      <c r="Z145" s="108">
        <v>-19.433636363636364</v>
      </c>
      <c r="AA145" s="108">
        <v>-19.288181818181819</v>
      </c>
      <c r="AB145" s="108">
        <v>-19.200909090909089</v>
      </c>
      <c r="AC145" s="108">
        <v>-19.152424242424242</v>
      </c>
      <c r="AD145" s="108">
        <v>-19.144242424242425</v>
      </c>
      <c r="AE145" s="108">
        <v>-19.14</v>
      </c>
      <c r="AF145" s="108">
        <v>-19.14</v>
      </c>
      <c r="AG145" s="108">
        <v>-19.147878787878788</v>
      </c>
      <c r="AH145" s="108">
        <v>-19.16</v>
      </c>
      <c r="AI145" s="108">
        <v>-19.178072289156628</v>
      </c>
      <c r="AJ145" s="108">
        <v>-19.19618181818182</v>
      </c>
      <c r="AK145" s="108">
        <v>-19.214363636363636</v>
      </c>
      <c r="AL145" s="108">
        <v>-19.232545454545455</v>
      </c>
      <c r="AM145" s="108">
        <v>-19.250786686838126</v>
      </c>
      <c r="AN145" s="108">
        <v>-19.270453857791225</v>
      </c>
      <c r="AO145" s="108">
        <v>-19.290121028744327</v>
      </c>
      <c r="AP145" s="108">
        <v>-19.309788199697426</v>
      </c>
      <c r="AQ145" s="108">
        <v>-19.329455370650528</v>
      </c>
      <c r="AR145" s="108">
        <v>-19.349122541603631</v>
      </c>
      <c r="AS145" s="108">
        <v>-19.36878971255673</v>
      </c>
      <c r="AT145" s="108">
        <v>-19.390424242424242</v>
      </c>
      <c r="AU145" s="108">
        <v>-19.414666666666669</v>
      </c>
      <c r="AV145" s="108">
        <v>-19.43418181818182</v>
      </c>
      <c r="AW145" s="108">
        <v>-19.452363636363636</v>
      </c>
      <c r="AX145" s="108">
        <v>-19.470545454545455</v>
      </c>
      <c r="AY145" s="108">
        <v>-19.488674698795183</v>
      </c>
      <c r="AZ145" s="108">
        <v>-19.506746987951807</v>
      </c>
      <c r="BA145" s="108">
        <v>-19.52987878787879</v>
      </c>
      <c r="BB145" s="108">
        <v>-19.553090909090908</v>
      </c>
      <c r="BC145" s="108">
        <v>-19.571272727272728</v>
      </c>
      <c r="BD145" s="108">
        <v>-19.589454545454544</v>
      </c>
      <c r="BE145" s="108">
        <v>-19.607636363636363</v>
      </c>
      <c r="BF145" s="108">
        <v>-19.625818181818182</v>
      </c>
      <c r="BG145" s="108">
        <v>-19.643993948562784</v>
      </c>
      <c r="BH145" s="108">
        <v>-19.662148260211801</v>
      </c>
      <c r="BI145" s="108">
        <v>-19.680302571860818</v>
      </c>
      <c r="BJ145" s="108">
        <v>-19.698456883509834</v>
      </c>
      <c r="BK145" s="108">
        <v>-19.716611195158851</v>
      </c>
      <c r="BL145" s="108">
        <v>-19.734765506807868</v>
      </c>
      <c r="BM145" s="108">
        <v>-19.752919818456885</v>
      </c>
      <c r="BN145" s="108">
        <v>-19.771090909090908</v>
      </c>
      <c r="BO145" s="108">
        <v>-19.789272727272728</v>
      </c>
      <c r="BP145" s="108">
        <v>-19.807349397590361</v>
      </c>
      <c r="BQ145" s="108">
        <v>-19.825454545454544</v>
      </c>
      <c r="BR145" s="108">
        <v>-19.843636363636364</v>
      </c>
      <c r="BS145" s="108">
        <v>-19.861818181818183</v>
      </c>
      <c r="BT145" s="108">
        <v>-19.88</v>
      </c>
    </row>
    <row r="146" spans="1:72" ht="21.75" thickBot="1" x14ac:dyDescent="0.4">
      <c r="A146" s="45" t="s">
        <v>5</v>
      </c>
      <c r="B146" s="35">
        <v>-62.024848484848484</v>
      </c>
      <c r="C146" s="35">
        <v>-60.203636363636363</v>
      </c>
      <c r="D146" s="108">
        <v>-58.476363636363629</v>
      </c>
      <c r="E146" s="108">
        <v>-56.235878787878782</v>
      </c>
      <c r="F146" s="108">
        <v>-53.842420574886532</v>
      </c>
      <c r="G146" s="108">
        <v>-51.87267776096823</v>
      </c>
      <c r="H146" s="108">
        <v>-49.902934947049921</v>
      </c>
      <c r="I146" s="108">
        <v>-47.93319213313162</v>
      </c>
      <c r="J146" s="108">
        <v>-45.963449319213311</v>
      </c>
      <c r="K146" s="108">
        <v>-43.993706505295009</v>
      </c>
      <c r="L146" s="108">
        <v>-42.0239636913767</v>
      </c>
      <c r="M146" s="108">
        <v>-40.293131618759453</v>
      </c>
      <c r="N146" s="108">
        <v>-38.831709531013615</v>
      </c>
      <c r="O146" s="108">
        <v>-37.370287443267777</v>
      </c>
      <c r="P146" s="108">
        <v>-35.908865355521932</v>
      </c>
      <c r="Q146" s="108">
        <v>-34.447443267776094</v>
      </c>
      <c r="R146" s="108">
        <v>-32.986021180030257</v>
      </c>
      <c r="S146" s="108">
        <v>-31.524599092284415</v>
      </c>
      <c r="T146" s="108">
        <v>-30.256727272727272</v>
      </c>
      <c r="U146" s="108">
        <v>-29.034363636363636</v>
      </c>
      <c r="V146" s="108">
        <v>-27.864666666666665</v>
      </c>
      <c r="W146" s="108">
        <v>-26.732303030303029</v>
      </c>
      <c r="X146" s="108">
        <v>-25.629272727272728</v>
      </c>
      <c r="Y146" s="108">
        <v>-24.58710843373494</v>
      </c>
      <c r="Z146" s="108">
        <v>-23.563030303030303</v>
      </c>
      <c r="AA146" s="108">
        <v>-22.575151515151514</v>
      </c>
      <c r="AB146" s="108">
        <v>-21.616363636363637</v>
      </c>
      <c r="AC146" s="108">
        <v>-20.676969696969696</v>
      </c>
      <c r="AD146" s="108">
        <v>-19.783636363636361</v>
      </c>
      <c r="AE146" s="108">
        <v>-18.921818181818182</v>
      </c>
      <c r="AF146" s="108">
        <v>-18.127878787878789</v>
      </c>
      <c r="AG146" s="108">
        <v>-17.456060606060607</v>
      </c>
      <c r="AH146" s="108">
        <v>-16.850000000000001</v>
      </c>
      <c r="AI146" s="108">
        <v>-16.277710843373494</v>
      </c>
      <c r="AJ146" s="108">
        <v>-15.714545454545457</v>
      </c>
      <c r="AK146" s="108">
        <v>-15.16909090909091</v>
      </c>
      <c r="AL146" s="108">
        <v>-14.63618181818182</v>
      </c>
      <c r="AM146" s="108">
        <v>-14.111059001512862</v>
      </c>
      <c r="AN146" s="108">
        <v>-13.637534039334344</v>
      </c>
      <c r="AO146" s="108">
        <v>-13.164009077155827</v>
      </c>
      <c r="AP146" s="108">
        <v>-12.690484114977309</v>
      </c>
      <c r="AQ146" s="108">
        <v>-12.216959152798792</v>
      </c>
      <c r="AR146" s="108">
        <v>-11.743434190620274</v>
      </c>
      <c r="AS146" s="108">
        <v>-11.269909228441756</v>
      </c>
      <c r="AT146" s="108">
        <v>-10.814969696969699</v>
      </c>
      <c r="AU146" s="108">
        <v>-10.384666666666668</v>
      </c>
      <c r="AV146" s="108">
        <v>-9.9666545454545474</v>
      </c>
      <c r="AW146" s="108">
        <v>-9.5541575757575767</v>
      </c>
      <c r="AX146" s="108">
        <v>-9.1553696969696983</v>
      </c>
      <c r="AY146" s="108">
        <v>-8.7643855421686752</v>
      </c>
      <c r="AZ146" s="108">
        <v>-8.3818554216867458</v>
      </c>
      <c r="BA146" s="108">
        <v>-8.0153151515151499</v>
      </c>
      <c r="BB146" s="108">
        <v>-7.7225515151515154</v>
      </c>
      <c r="BC146" s="108">
        <v>-7.7728545454545452</v>
      </c>
      <c r="BD146" s="108">
        <v>-7.8228424242424239</v>
      </c>
      <c r="BE146" s="108">
        <v>-7.8725393939393937</v>
      </c>
      <c r="BF146" s="108">
        <v>-7.9232909090909089</v>
      </c>
      <c r="BG146" s="108">
        <v>-7.9748487140695916</v>
      </c>
      <c r="BH146" s="108">
        <v>-8.0287065052950073</v>
      </c>
      <c r="BI146" s="108">
        <v>-8.0825642965204239</v>
      </c>
      <c r="BJ146" s="108">
        <v>-8.1364220877458404</v>
      </c>
      <c r="BK146" s="108">
        <v>-8.190279878971257</v>
      </c>
      <c r="BL146" s="108">
        <v>-8.2441376701966718</v>
      </c>
      <c r="BM146" s="108">
        <v>-8.2979954614220883</v>
      </c>
      <c r="BN146" s="108">
        <v>-8.3544909090909094</v>
      </c>
      <c r="BO146" s="108">
        <v>-8.4126727272727262</v>
      </c>
      <c r="BP146" s="108">
        <v>-8.472253012048192</v>
      </c>
      <c r="BQ146" s="108">
        <v>-8.5327272727272732</v>
      </c>
      <c r="BR146" s="108">
        <v>-8.5951515151515157</v>
      </c>
      <c r="BS146" s="108">
        <v>-8.6595454545454551</v>
      </c>
      <c r="BT146" s="108">
        <v>-8.7249999999999996</v>
      </c>
    </row>
    <row r="147" spans="1:72" ht="21.75" thickBot="1" x14ac:dyDescent="0.4">
      <c r="A147" s="45" t="s">
        <v>6</v>
      </c>
      <c r="B147" s="35">
        <v>-17.800424242424242</v>
      </c>
      <c r="C147" s="35">
        <v>-17.456424242424241</v>
      </c>
      <c r="D147" s="108">
        <v>-17.104909090909093</v>
      </c>
      <c r="E147" s="108">
        <v>-16.195939393939394</v>
      </c>
      <c r="F147" s="108">
        <v>-15.11251134644478</v>
      </c>
      <c r="G147" s="108">
        <v>-14.393903177004537</v>
      </c>
      <c r="H147" s="108">
        <v>-13.675295007564296</v>
      </c>
      <c r="I147" s="108">
        <v>-12.956686838124053</v>
      </c>
      <c r="J147" s="108">
        <v>-12.238078668683812</v>
      </c>
      <c r="K147" s="108">
        <v>-11.519470499243571</v>
      </c>
      <c r="L147" s="108">
        <v>-10.800862329803328</v>
      </c>
      <c r="M147" s="108">
        <v>-10.166086232980334</v>
      </c>
      <c r="N147" s="108">
        <v>-9.6258441754916788</v>
      </c>
      <c r="O147" s="108">
        <v>-9.0856021180030258</v>
      </c>
      <c r="P147" s="108">
        <v>-8.5453600605143727</v>
      </c>
      <c r="Q147" s="108">
        <v>-8.0051180030257179</v>
      </c>
      <c r="R147" s="108">
        <v>-7.4648759455370648</v>
      </c>
      <c r="S147" s="108">
        <v>-6.92463388804841</v>
      </c>
      <c r="T147" s="108">
        <v>-6.4502727272727265</v>
      </c>
      <c r="U147" s="108">
        <v>-5.9919818181818165</v>
      </c>
      <c r="V147" s="108">
        <v>-5.553799999999999</v>
      </c>
      <c r="W147" s="108">
        <v>-5.1285151515151508</v>
      </c>
      <c r="X147" s="108">
        <v>-4.7133636363636358</v>
      </c>
      <c r="Y147" s="108">
        <v>-4.3903915662650599</v>
      </c>
      <c r="Z147" s="108">
        <v>-4.1610606060606061</v>
      </c>
      <c r="AA147" s="108">
        <v>-4.1853030303030305</v>
      </c>
      <c r="AB147" s="108">
        <v>-4.2099090909090906</v>
      </c>
      <c r="AC147" s="108">
        <v>-4.2347575757575759</v>
      </c>
      <c r="AD147" s="108">
        <v>-4.2590303030303032</v>
      </c>
      <c r="AE147" s="108">
        <v>-4.2834545454545454</v>
      </c>
      <c r="AF147" s="108">
        <v>-4.3083030303030307</v>
      </c>
      <c r="AG147" s="108">
        <v>-4.3331515151515152</v>
      </c>
      <c r="AH147" s="108">
        <v>-4.3579999999999997</v>
      </c>
      <c r="AI147" s="108">
        <v>-4.3826987951807226</v>
      </c>
      <c r="AJ147" s="108">
        <v>-4.4074484848484845</v>
      </c>
      <c r="AK147" s="108">
        <v>-4.4322969696969698</v>
      </c>
      <c r="AL147" s="108">
        <v>-4.4571454545454543</v>
      </c>
      <c r="AM147" s="108">
        <v>-4.4819803328290471</v>
      </c>
      <c r="AN147" s="108">
        <v>-4.5064886535552189</v>
      </c>
      <c r="AO147" s="108">
        <v>-4.5309969742813916</v>
      </c>
      <c r="AP147" s="108">
        <v>-4.5555052950075643</v>
      </c>
      <c r="AQ147" s="108">
        <v>-4.5800136157337361</v>
      </c>
      <c r="AR147" s="108">
        <v>-4.6045219364599088</v>
      </c>
      <c r="AS147" s="108">
        <v>-4.6290302571860815</v>
      </c>
      <c r="AT147" s="108">
        <v>-4.6534242424242418</v>
      </c>
      <c r="AU147" s="108">
        <v>-4.6776666666666662</v>
      </c>
      <c r="AV147" s="108">
        <v>-4.7014363636363639</v>
      </c>
      <c r="AW147" s="108">
        <v>-4.7251515151515155</v>
      </c>
      <c r="AX147" s="108">
        <v>-4.7493939393939391</v>
      </c>
      <c r="AY147" s="108">
        <v>-4.7732771084337342</v>
      </c>
      <c r="AZ147" s="108">
        <v>-4.7967710843373492</v>
      </c>
      <c r="BA147" s="108">
        <v>-4.8203818181818185</v>
      </c>
      <c r="BB147" s="108">
        <v>-4.8439151515151515</v>
      </c>
      <c r="BC147" s="108">
        <v>-4.8669454545454549</v>
      </c>
      <c r="BD147" s="108">
        <v>-4.8902909090909095</v>
      </c>
      <c r="BE147" s="108">
        <v>-4.9139272727272729</v>
      </c>
      <c r="BF147" s="108">
        <v>-4.9370363636363637</v>
      </c>
      <c r="BG147" s="108">
        <v>-4.9599591527987901</v>
      </c>
      <c r="BH147" s="108">
        <v>-4.9825007564296522</v>
      </c>
      <c r="BI147" s="108">
        <v>-5.0050423600605143</v>
      </c>
      <c r="BJ147" s="108">
        <v>-5.0275839636913773</v>
      </c>
      <c r="BK147" s="108">
        <v>-5.0501255673222394</v>
      </c>
      <c r="BL147" s="108">
        <v>-5.0726671709531015</v>
      </c>
      <c r="BM147" s="108">
        <v>-5.0952087745839636</v>
      </c>
      <c r="BN147" s="108">
        <v>-5.1176787878787877</v>
      </c>
      <c r="BO147" s="108">
        <v>-5.1401030303030302</v>
      </c>
      <c r="BP147" s="108">
        <v>-5.1618192771084335</v>
      </c>
      <c r="BQ147" s="108">
        <v>-5.1837272727272721</v>
      </c>
      <c r="BR147" s="108">
        <v>-5.2061515151515154</v>
      </c>
      <c r="BS147" s="108">
        <v>-5.2281818181818185</v>
      </c>
      <c r="BT147" s="108">
        <v>-5.25</v>
      </c>
    </row>
    <row r="148" spans="1:72" ht="21.75" thickBot="1" x14ac:dyDescent="0.4">
      <c r="A148" s="45" t="s">
        <v>7</v>
      </c>
      <c r="B148" s="35">
        <v>-20.542000000000002</v>
      </c>
      <c r="C148" s="35">
        <v>-19.978848484848484</v>
      </c>
      <c r="D148" s="108">
        <v>-19.47581818181818</v>
      </c>
      <c r="E148" s="108">
        <v>-19.437333333333331</v>
      </c>
      <c r="F148" s="108">
        <v>-19.571739788199697</v>
      </c>
      <c r="G148" s="108">
        <v>-19.718487140695913</v>
      </c>
      <c r="H148" s="108">
        <v>-19.865234493192133</v>
      </c>
      <c r="I148" s="108">
        <v>-20.01198184568835</v>
      </c>
      <c r="J148" s="108">
        <v>-20.15872919818457</v>
      </c>
      <c r="K148" s="108">
        <v>-20.305476550680787</v>
      </c>
      <c r="L148" s="108">
        <v>-20.452223903177007</v>
      </c>
      <c r="M148" s="108">
        <v>-20.601104387291983</v>
      </c>
      <c r="N148" s="108">
        <v>-20.752390317700456</v>
      </c>
      <c r="O148" s="108">
        <v>-20.903676248108926</v>
      </c>
      <c r="P148" s="108">
        <v>-21.0549621785174</v>
      </c>
      <c r="Q148" s="108">
        <v>-21.20624810892587</v>
      </c>
      <c r="R148" s="108">
        <v>-21.357534039334343</v>
      </c>
      <c r="S148" s="108">
        <v>-21.508819969742817</v>
      </c>
      <c r="T148" s="108">
        <v>-21.66030303030303</v>
      </c>
      <c r="U148" s="108">
        <v>-21.810545454545455</v>
      </c>
      <c r="V148" s="108">
        <v>-21.956</v>
      </c>
      <c r="W148" s="108">
        <v>-22.104848484848485</v>
      </c>
      <c r="X148" s="108">
        <v>-22.256363636363638</v>
      </c>
      <c r="Y148" s="108">
        <v>-22.407048192771086</v>
      </c>
      <c r="Z148" s="108">
        <v>-22.556363636363635</v>
      </c>
      <c r="AA148" s="108">
        <v>-22.701818181818183</v>
      </c>
      <c r="AB148" s="108">
        <v>-22.847272727272728</v>
      </c>
      <c r="AC148" s="108">
        <v>-22.992727272727272</v>
      </c>
      <c r="AD148" s="108">
        <v>-23.138181818181817</v>
      </c>
      <c r="AE148" s="108">
        <v>-23.283636363636361</v>
      </c>
      <c r="AF148" s="108">
        <v>-23.42909090909091</v>
      </c>
      <c r="AG148" s="108">
        <v>-23.574545454545454</v>
      </c>
      <c r="AH148" s="108">
        <v>-23.72</v>
      </c>
      <c r="AI148" s="108">
        <v>-23.858554216867468</v>
      </c>
      <c r="AJ148" s="108">
        <v>-23.997393939393938</v>
      </c>
      <c r="AK148" s="108">
        <v>-24.136787878787878</v>
      </c>
      <c r="AL148" s="108">
        <v>-24.276181818181819</v>
      </c>
      <c r="AM148" s="108">
        <v>-24.415446293494703</v>
      </c>
      <c r="AN148" s="108">
        <v>-24.551603630862328</v>
      </c>
      <c r="AO148" s="108">
        <v>-24.687760968229952</v>
      </c>
      <c r="AP148" s="108">
        <v>-24.82391830559758</v>
      </c>
      <c r="AQ148" s="108">
        <v>-24.960075642965204</v>
      </c>
      <c r="AR148" s="108">
        <v>-25.096232980332829</v>
      </c>
      <c r="AS148" s="108">
        <v>-25.232390317700453</v>
      </c>
      <c r="AT148" s="108">
        <v>-25.367333333333331</v>
      </c>
      <c r="AU148" s="108">
        <v>-25.500666666666667</v>
      </c>
      <c r="AV148" s="108">
        <v>-25.634</v>
      </c>
      <c r="AW148" s="108">
        <v>-25.767333333333333</v>
      </c>
      <c r="AX148" s="108">
        <v>-25.900666666666666</v>
      </c>
      <c r="AY148" s="108">
        <v>-26.030722891566263</v>
      </c>
      <c r="AZ148" s="108">
        <v>-26.15722891566265</v>
      </c>
      <c r="BA148" s="108">
        <v>-26.284363636363636</v>
      </c>
      <c r="BB148" s="108">
        <v>-26.411636363636365</v>
      </c>
      <c r="BC148" s="108">
        <v>-26.538909090909094</v>
      </c>
      <c r="BD148" s="108">
        <v>-26.666181818181819</v>
      </c>
      <c r="BE148" s="108">
        <v>-26.793454545454544</v>
      </c>
      <c r="BF148" s="108">
        <v>-26.920727272727273</v>
      </c>
      <c r="BG148" s="108">
        <v>-27.046959152798788</v>
      </c>
      <c r="BH148" s="108">
        <v>-27.169500756429652</v>
      </c>
      <c r="BI148" s="108">
        <v>-27.292042360060513</v>
      </c>
      <c r="BJ148" s="108">
        <v>-27.414583963691378</v>
      </c>
      <c r="BK148" s="108">
        <v>-27.537125567322239</v>
      </c>
      <c r="BL148" s="108">
        <v>-27.659667170953099</v>
      </c>
      <c r="BM148" s="108">
        <v>-27.782208774583964</v>
      </c>
      <c r="BN148" s="108">
        <v>-27.903939393939392</v>
      </c>
      <c r="BO148" s="108">
        <v>-28.025151515151517</v>
      </c>
      <c r="BP148" s="108">
        <v>-28.145662650602411</v>
      </c>
      <c r="BQ148" s="108">
        <v>-28.264545454545456</v>
      </c>
      <c r="BR148" s="108">
        <v>-28.379696969696973</v>
      </c>
      <c r="BS148" s="108">
        <v>-28.49878787878788</v>
      </c>
      <c r="BT148" s="108">
        <v>-28.62</v>
      </c>
    </row>
    <row r="149" spans="1:72" ht="21.75" thickBot="1" x14ac:dyDescent="0.4">
      <c r="A149" s="45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</row>
    <row r="150" spans="1:72" ht="21.75" thickBot="1" x14ac:dyDescent="0.4">
      <c r="A150" s="45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</row>
    <row r="151" spans="1:72" ht="21.75" thickBot="1" x14ac:dyDescent="0.4">
      <c r="A151" s="45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</row>
    <row r="152" spans="1:72" ht="21.75" thickBot="1" x14ac:dyDescent="0.4">
      <c r="A152" s="3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</row>
    <row r="153" spans="1:72" ht="21.75" thickBot="1" x14ac:dyDescent="0.4">
      <c r="A153" s="3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</row>
    <row r="154" spans="1:72" ht="21.75" thickBot="1" x14ac:dyDescent="0.4">
      <c r="A154" s="3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</row>
    <row r="155" spans="1:72" ht="21.75" thickBot="1" x14ac:dyDescent="0.4">
      <c r="A155" s="3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</row>
    <row r="156" spans="1:72" ht="21.75" thickBot="1" x14ac:dyDescent="0.4">
      <c r="A156" s="3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</row>
    <row r="157" spans="1:72" ht="21.75" thickBot="1" x14ac:dyDescent="0.4">
      <c r="A157" s="3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</row>
    <row r="158" spans="1:72" ht="21.75" thickBot="1" x14ac:dyDescent="0.4">
      <c r="A158" s="3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</row>
    <row r="159" spans="1:72" ht="21.75" thickBot="1" x14ac:dyDescent="0.4">
      <c r="A159" s="3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</row>
    <row r="160" spans="1:72" ht="21.75" thickBot="1" x14ac:dyDescent="0.4">
      <c r="A160" s="3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</row>
    <row r="161" spans="1:72" ht="21.75" thickBot="1" x14ac:dyDescent="0.4">
      <c r="A161" s="3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18" t="s">
        <v>49</v>
      </c>
      <c r="B165" s="35">
        <v>-21.479212121212122</v>
      </c>
      <c r="C165" s="35">
        <v>-21.178606060606061</v>
      </c>
      <c r="D165" s="108">
        <v>-20.990727272727273</v>
      </c>
      <c r="E165" s="108">
        <v>-20.913454545454545</v>
      </c>
      <c r="F165" s="108">
        <v>-20.884363636363634</v>
      </c>
      <c r="G165" s="108">
        <v>-20.938909090909089</v>
      </c>
      <c r="H165" s="108">
        <v>-21.016626506024096</v>
      </c>
      <c r="I165" s="108">
        <v>-21.125060240963855</v>
      </c>
      <c r="J165" s="108">
        <v>-21.247999999999998</v>
      </c>
      <c r="K165" s="108">
        <v>-21.377454545454544</v>
      </c>
      <c r="L165" s="108">
        <v>-21.522909090909092</v>
      </c>
      <c r="M165" s="108">
        <v>-21.663993948562783</v>
      </c>
      <c r="N165" s="108">
        <v>-21.800151285930408</v>
      </c>
      <c r="O165" s="108">
        <v>-21.936308623298036</v>
      </c>
      <c r="P165" s="108">
        <v>-22.07246596066566</v>
      </c>
      <c r="Q165" s="108">
        <v>-22.208623298033284</v>
      </c>
      <c r="R165" s="108">
        <v>-22.344780635400909</v>
      </c>
      <c r="S165" s="108">
        <v>-22.480937972768533</v>
      </c>
      <c r="T165" s="108">
        <v>-22.599030303030304</v>
      </c>
      <c r="U165" s="108">
        <v>-22.711636363636366</v>
      </c>
      <c r="V165" s="108">
        <v>-22.814666666666668</v>
      </c>
      <c r="W165" s="108">
        <v>-22.924484848484848</v>
      </c>
      <c r="X165" s="108">
        <v>-23.039636363636365</v>
      </c>
      <c r="Y165" s="108">
        <v>-23.165120481927712</v>
      </c>
      <c r="Z165" s="108">
        <v>-23.293333333333333</v>
      </c>
      <c r="AA165" s="108">
        <v>-23.426666666666666</v>
      </c>
      <c r="AB165" s="108">
        <v>-23.563636363636363</v>
      </c>
      <c r="AC165" s="108">
        <v>-23.703030303030303</v>
      </c>
      <c r="AD165" s="108">
        <v>-23.842424242424244</v>
      </c>
      <c r="AE165" s="108">
        <v>-23.983636363636364</v>
      </c>
      <c r="AF165" s="108">
        <v>-24.129090909090909</v>
      </c>
      <c r="AG165" s="108">
        <v>-24.270060240963854</v>
      </c>
      <c r="AH165" s="108">
        <v>-24.408614457831327</v>
      </c>
      <c r="AI165" s="108">
        <v>-24.553999999999998</v>
      </c>
      <c r="AJ165" s="108">
        <v>-24.697393939393937</v>
      </c>
      <c r="AK165" s="108">
        <v>-24.836787878787877</v>
      </c>
      <c r="AL165" s="108">
        <v>-24.976181818181818</v>
      </c>
      <c r="AM165" s="108">
        <v>-25.115333333333332</v>
      </c>
      <c r="AN165" s="108">
        <v>-25.248666666666665</v>
      </c>
      <c r="AO165" s="108">
        <v>-25.38403614457831</v>
      </c>
      <c r="AP165" s="108">
        <v>-25.522590361445783</v>
      </c>
      <c r="AQ165" s="108">
        <v>-25.657333333333334</v>
      </c>
      <c r="AR165" s="108">
        <v>-25.790666666666667</v>
      </c>
      <c r="AS165" s="108">
        <v>-25.923999999999999</v>
      </c>
      <c r="AT165" s="108">
        <v>-26.054727272727273</v>
      </c>
      <c r="AU165" s="108">
        <v>-26.181999999999999</v>
      </c>
      <c r="AV165" s="108">
        <v>-26.309272727272727</v>
      </c>
      <c r="AW165" s="108">
        <v>-26.435757575757577</v>
      </c>
      <c r="AX165" s="108">
        <v>-26.556969696969698</v>
      </c>
      <c r="AY165" s="108">
        <v>-26.677831325301206</v>
      </c>
      <c r="AZ165" s="108">
        <v>-26.798313253012051</v>
      </c>
      <c r="BA165" s="108">
        <v>-26.914424242424243</v>
      </c>
      <c r="BB165" s="108">
        <v>-27.02957575757576</v>
      </c>
      <c r="BC165" s="108">
        <v>-27.144727272727273</v>
      </c>
      <c r="BD165" s="108">
        <v>-27.256727272727272</v>
      </c>
      <c r="BE165" s="108">
        <v>-27.365818181818181</v>
      </c>
      <c r="BF165" s="108">
        <v>-27.480181818181819</v>
      </c>
      <c r="BG165" s="108">
        <v>-27.595180722891566</v>
      </c>
      <c r="BH165" s="108">
        <v>-27.70963855421687</v>
      </c>
      <c r="BI165" s="108">
        <v>-27.827878787878788</v>
      </c>
      <c r="BJ165" s="108">
        <v>-27.949090909090909</v>
      </c>
      <c r="BK165" s="108">
        <v>-28.064787878787879</v>
      </c>
      <c r="BL165" s="108">
        <v>-28.18151515151515</v>
      </c>
      <c r="BM165" s="108">
        <v>-28.302727272727275</v>
      </c>
      <c r="BN165" s="108">
        <v>-28.420242424242424</v>
      </c>
      <c r="BO165" s="108">
        <v>-28.535393939393938</v>
      </c>
      <c r="BP165" s="108">
        <v>-28.649879518072289</v>
      </c>
      <c r="BQ165" s="108">
        <v>-28.764545454545456</v>
      </c>
      <c r="BR165" s="108">
        <v>-28.879696969696973</v>
      </c>
      <c r="BS165" s="108">
        <v>-28.994848484848486</v>
      </c>
      <c r="BT165" s="108">
        <v>-29.11</v>
      </c>
    </row>
    <row r="166" spans="1:72" ht="21.75" thickBot="1" x14ac:dyDescent="0.4">
      <c r="A166" s="18" t="s">
        <v>57</v>
      </c>
      <c r="B166" s="35">
        <v>-186.59315151515153</v>
      </c>
      <c r="C166" s="35">
        <v>-181.29303030303032</v>
      </c>
      <c r="D166" s="108">
        <v>-176.35363636363638</v>
      </c>
      <c r="E166" s="108">
        <v>-171.79030303030302</v>
      </c>
      <c r="F166" s="108">
        <v>-167.39854545454546</v>
      </c>
      <c r="G166" s="108">
        <v>-163.38036363636363</v>
      </c>
      <c r="H166" s="108">
        <v>-159.54096385542169</v>
      </c>
      <c r="I166" s="108">
        <v>-155.93855421686746</v>
      </c>
      <c r="J166" s="108">
        <v>-152.548</v>
      </c>
      <c r="K166" s="108">
        <v>-149.25781818181818</v>
      </c>
      <c r="L166" s="108">
        <v>-146.23963636363638</v>
      </c>
      <c r="M166" s="108">
        <v>-143.49664145234496</v>
      </c>
      <c r="N166" s="108">
        <v>-141.06396369137673</v>
      </c>
      <c r="O166" s="108">
        <v>-138.6312859304085</v>
      </c>
      <c r="P166" s="108">
        <v>-136.19860816944026</v>
      </c>
      <c r="Q166" s="108">
        <v>-133.765930408472</v>
      </c>
      <c r="R166" s="108">
        <v>-131.33325264750377</v>
      </c>
      <c r="S166" s="108">
        <v>-128.90057488653554</v>
      </c>
      <c r="T166" s="108">
        <v>-126.92860606060606</v>
      </c>
      <c r="U166" s="108">
        <v>-125.05963636363637</v>
      </c>
      <c r="V166" s="108">
        <v>-123.29599999999999</v>
      </c>
      <c r="W166" s="108">
        <v>-121.61381818181817</v>
      </c>
      <c r="X166" s="108">
        <v>-119.99563636363636</v>
      </c>
      <c r="Y166" s="108">
        <v>-118.51789156626506</v>
      </c>
      <c r="Z166" s="108">
        <v>-117.08060606060606</v>
      </c>
      <c r="AA166" s="108">
        <v>-115.72303030303031</v>
      </c>
      <c r="AB166" s="108">
        <v>-114.45636363636363</v>
      </c>
      <c r="AC166" s="108">
        <v>-113.25030303030303</v>
      </c>
      <c r="AD166" s="108">
        <v>-112.17090909090911</v>
      </c>
      <c r="AE166" s="108">
        <v>-111.13636363636364</v>
      </c>
      <c r="AF166" s="108">
        <v>-110.19090909090909</v>
      </c>
      <c r="AG166" s="108">
        <v>-109.30789156626506</v>
      </c>
      <c r="AH166" s="108">
        <v>-108.45849397590362</v>
      </c>
      <c r="AI166" s="108">
        <v>-107.70599999999999</v>
      </c>
      <c r="AJ166" s="108">
        <v>-106.97303030303028</v>
      </c>
      <c r="AK166" s="108">
        <v>-106.27606060606061</v>
      </c>
      <c r="AL166" s="108">
        <v>-105.61254545454545</v>
      </c>
      <c r="AM166" s="108">
        <v>-104.96575757575758</v>
      </c>
      <c r="AN166" s="108">
        <v>-104.35969696969697</v>
      </c>
      <c r="AO166" s="108">
        <v>-103.78090361445783</v>
      </c>
      <c r="AP166" s="108">
        <v>-103.24475903614457</v>
      </c>
      <c r="AQ166" s="108">
        <v>-102.71951515151515</v>
      </c>
      <c r="AR166" s="108">
        <v>-102.20315151515153</v>
      </c>
      <c r="AS166" s="108">
        <v>-101.74254545454546</v>
      </c>
      <c r="AT166" s="108">
        <v>-101.28975757575758</v>
      </c>
      <c r="AU166" s="108">
        <v>-100.84733333333334</v>
      </c>
      <c r="AV166" s="108">
        <v>-100.46163636363636</v>
      </c>
      <c r="AW166" s="108">
        <v>-100.09792727272728</v>
      </c>
      <c r="AX166" s="108">
        <v>-99.774290909090908</v>
      </c>
      <c r="AY166" s="108">
        <v>-99.491493975903609</v>
      </c>
      <c r="AZ166" s="108">
        <v>-99.252939759036153</v>
      </c>
      <c r="BA166" s="108">
        <v>-99.074824242424242</v>
      </c>
      <c r="BB166" s="108">
        <v>-98.926666666666662</v>
      </c>
      <c r="BC166" s="108">
        <v>-98.86</v>
      </c>
      <c r="BD166" s="108">
        <v>-98.837454545454548</v>
      </c>
      <c r="BE166" s="108">
        <v>-98.855636363636364</v>
      </c>
      <c r="BF166" s="108">
        <v>-98.975054545454554</v>
      </c>
      <c r="BG166" s="108">
        <v>-99.127710843373507</v>
      </c>
      <c r="BH166" s="108">
        <v>-99.34457831325301</v>
      </c>
      <c r="BI166" s="108">
        <v>-99.607660606060605</v>
      </c>
      <c r="BJ166" s="108">
        <v>-99.907054545454542</v>
      </c>
      <c r="BK166" s="108">
        <v>-100.22961212121211</v>
      </c>
      <c r="BL166" s="108">
        <v>-100.56643636363636</v>
      </c>
      <c r="BM166" s="108">
        <v>-100.93734545454546</v>
      </c>
      <c r="BN166" s="108">
        <v>-101.3134303030303</v>
      </c>
      <c r="BO166" s="108">
        <v>-101.69282424242424</v>
      </c>
      <c r="BP166" s="108">
        <v>-102.09778313253013</v>
      </c>
      <c r="BQ166" s="108">
        <v>-102.506</v>
      </c>
      <c r="BR166" s="108">
        <v>-102.91933333333334</v>
      </c>
      <c r="BS166" s="108">
        <v>-103.33266666666667</v>
      </c>
      <c r="BT166" s="108">
        <v>-103.746</v>
      </c>
    </row>
    <row r="167" spans="1:72" ht="21.75" thickBot="1" x14ac:dyDescent="0.4">
      <c r="A167" s="18" t="s">
        <v>53</v>
      </c>
      <c r="B167" s="35">
        <v>-61.077757575757573</v>
      </c>
      <c r="C167" s="35">
        <v>-58.87860606060606</v>
      </c>
      <c r="D167" s="108">
        <v>-56.690727272727273</v>
      </c>
      <c r="E167" s="108">
        <v>-54.524969696969691</v>
      </c>
      <c r="F167" s="108">
        <v>-52.372727272727268</v>
      </c>
      <c r="G167" s="108">
        <v>-50.281818181818181</v>
      </c>
      <c r="H167" s="108">
        <v>-48.245542168674703</v>
      </c>
      <c r="I167" s="108">
        <v>-46.281686746987951</v>
      </c>
      <c r="J167" s="108">
        <v>-44.402000000000001</v>
      </c>
      <c r="K167" s="108">
        <v>-42.56272727272728</v>
      </c>
      <c r="L167" s="108">
        <v>-40.835454545454553</v>
      </c>
      <c r="M167" s="108">
        <v>-39.252329803328294</v>
      </c>
      <c r="N167" s="108">
        <v>-37.83175491679274</v>
      </c>
      <c r="O167" s="108">
        <v>-36.411180030257185</v>
      </c>
      <c r="P167" s="108">
        <v>-34.990605143721638</v>
      </c>
      <c r="Q167" s="108">
        <v>-33.570030257186083</v>
      </c>
      <c r="R167" s="108">
        <v>-32.149455370650529</v>
      </c>
      <c r="S167" s="108">
        <v>-30.728880484114974</v>
      </c>
      <c r="T167" s="108">
        <v>-29.565757575757573</v>
      </c>
      <c r="U167" s="108">
        <v>-28.462363636363634</v>
      </c>
      <c r="V167" s="108">
        <v>-27.425999999999995</v>
      </c>
      <c r="W167" s="108">
        <v>-26.420181818181817</v>
      </c>
      <c r="X167" s="108">
        <v>-25.438363636363636</v>
      </c>
      <c r="Y167" s="108">
        <v>-24.511265060240962</v>
      </c>
      <c r="Z167" s="108">
        <v>-23.600303030303031</v>
      </c>
      <c r="AA167" s="108">
        <v>-22.721515151515153</v>
      </c>
      <c r="AB167" s="108">
        <v>-21.882727272727273</v>
      </c>
      <c r="AC167" s="108">
        <v>-21.07060606060606</v>
      </c>
      <c r="AD167" s="108">
        <v>-20.321818181818184</v>
      </c>
      <c r="AE167" s="108">
        <v>-19.592727272727274</v>
      </c>
      <c r="AF167" s="108">
        <v>-18.901818181818182</v>
      </c>
      <c r="AG167" s="108">
        <v>-18.248855421686748</v>
      </c>
      <c r="AH167" s="108">
        <v>-17.616325301204821</v>
      </c>
      <c r="AI167" s="108">
        <v>-17.022000000000002</v>
      </c>
      <c r="AJ167" s="108">
        <v>-16.440424242424243</v>
      </c>
      <c r="AK167" s="108">
        <v>-15.882848484848486</v>
      </c>
      <c r="AL167" s="108">
        <v>-15.342000000000002</v>
      </c>
      <c r="AM167" s="108">
        <v>-14.809878787878789</v>
      </c>
      <c r="AN167" s="108">
        <v>-14.306848484848485</v>
      </c>
      <c r="AO167" s="108">
        <v>-13.814397590361446</v>
      </c>
      <c r="AP167" s="108">
        <v>-13.338493975903617</v>
      </c>
      <c r="AQ167" s="108">
        <v>-12.873757575757578</v>
      </c>
      <c r="AR167" s="108">
        <v>-12.415575757575759</v>
      </c>
      <c r="AS167" s="108">
        <v>-11.985272727272729</v>
      </c>
      <c r="AT167" s="108">
        <v>-11.562787878787882</v>
      </c>
      <c r="AU167" s="108">
        <v>-11.15066666666667</v>
      </c>
      <c r="AV167" s="108">
        <v>-10.766909090909092</v>
      </c>
      <c r="AW167" s="108">
        <v>-10.395327272727274</v>
      </c>
      <c r="AX167" s="108">
        <v>-10.05169090909091</v>
      </c>
      <c r="AY167" s="108">
        <v>-9.7289999999999992</v>
      </c>
      <c r="AZ167" s="108">
        <v>-9.4289999999999985</v>
      </c>
      <c r="BA167" s="108">
        <v>-9.1657757575757568</v>
      </c>
      <c r="BB167" s="108">
        <v>-8.9189696969696968</v>
      </c>
      <c r="BC167" s="108">
        <v>-8.7129090909090898</v>
      </c>
      <c r="BD167" s="108">
        <v>-8.5336363636363632</v>
      </c>
      <c r="BE167" s="108">
        <v>-8.3790909090909089</v>
      </c>
      <c r="BF167" s="108">
        <v>-8.267254545454545</v>
      </c>
      <c r="BG167" s="108">
        <v>-8.1710843373493969</v>
      </c>
      <c r="BH167" s="108">
        <v>-8.1078313253012055</v>
      </c>
      <c r="BI167" s="108">
        <v>-8.0620121212121205</v>
      </c>
      <c r="BJ167" s="108">
        <v>-8.0298909090909092</v>
      </c>
      <c r="BK167" s="108">
        <v>-8.0176242424242421</v>
      </c>
      <c r="BL167" s="108">
        <v>-8.010945454545455</v>
      </c>
      <c r="BM167" s="108">
        <v>-8.0145818181818189</v>
      </c>
      <c r="BN167" s="108">
        <v>-8.0263515151515161</v>
      </c>
      <c r="BO167" s="108">
        <v>-8.0433212121212119</v>
      </c>
      <c r="BP167" s="108">
        <v>-8.0740722891566268</v>
      </c>
      <c r="BQ167" s="108">
        <v>-8.1061818181818186</v>
      </c>
      <c r="BR167" s="108">
        <v>-8.1401212121212119</v>
      </c>
      <c r="BS167" s="108">
        <v>-8.1740606060606051</v>
      </c>
      <c r="BT167" s="108">
        <v>-8.2080000000000002</v>
      </c>
    </row>
    <row r="168" spans="1:72" ht="21.75" thickBot="1" x14ac:dyDescent="0.4">
      <c r="A168" s="18" t="s">
        <v>52</v>
      </c>
      <c r="B168" s="35">
        <v>-38.623757575757573</v>
      </c>
      <c r="C168" s="35">
        <v>-37.656848484848481</v>
      </c>
      <c r="D168" s="108">
        <v>-36.753818181818183</v>
      </c>
      <c r="E168" s="108">
        <v>-35.930424242424245</v>
      </c>
      <c r="F168" s="108">
        <v>-35.144242424242428</v>
      </c>
      <c r="G168" s="108">
        <v>-34.447272727272725</v>
      </c>
      <c r="H168" s="108">
        <v>-33.788373493975904</v>
      </c>
      <c r="I168" s="108">
        <v>-33.179939759036145</v>
      </c>
      <c r="J168" s="108">
        <v>-32.615333333333332</v>
      </c>
      <c r="K168" s="108">
        <v>-32.072109090909088</v>
      </c>
      <c r="L168" s="108">
        <v>-31.58968484848485</v>
      </c>
      <c r="M168" s="108">
        <v>-31.165838124054467</v>
      </c>
      <c r="N168" s="108">
        <v>-30.80804689863843</v>
      </c>
      <c r="O168" s="108">
        <v>-30.450255673222394</v>
      </c>
      <c r="P168" s="108">
        <v>-30.092464447806357</v>
      </c>
      <c r="Q168" s="108">
        <v>-29.73467322239032</v>
      </c>
      <c r="R168" s="108">
        <v>-29.376881996974284</v>
      </c>
      <c r="S168" s="108">
        <v>-29.019090771558247</v>
      </c>
      <c r="T168" s="108">
        <v>-28.824103030303032</v>
      </c>
      <c r="U168" s="108">
        <v>-28.675600000000003</v>
      </c>
      <c r="V168" s="108">
        <v>-28.602266666666669</v>
      </c>
      <c r="W168" s="108">
        <v>-28.584254545454545</v>
      </c>
      <c r="X168" s="108">
        <v>-28.609709090909092</v>
      </c>
      <c r="Y168" s="108">
        <v>-28.70025903614458</v>
      </c>
      <c r="Z168" s="108">
        <v>-28.808000000000003</v>
      </c>
      <c r="AA168" s="108">
        <v>-28.948</v>
      </c>
      <c r="AB168" s="108">
        <v>-29.103272727272728</v>
      </c>
      <c r="AC168" s="108">
        <v>-29.268727272727272</v>
      </c>
      <c r="AD168" s="108">
        <v>-29.44166666666667</v>
      </c>
      <c r="AE168" s="108">
        <v>-29.616818181818186</v>
      </c>
      <c r="AF168" s="108">
        <v>-29.796212121212122</v>
      </c>
      <c r="AG168" s="108">
        <v>-29.969421686746987</v>
      </c>
      <c r="AH168" s="108">
        <v>-30.139301204819276</v>
      </c>
      <c r="AI168" s="108">
        <v>-30.313199999999998</v>
      </c>
      <c r="AJ168" s="108">
        <v>-30.484666666666666</v>
      </c>
      <c r="AK168" s="108">
        <v>-30.651333333333334</v>
      </c>
      <c r="AL168" s="108">
        <v>-30.816745454545455</v>
      </c>
      <c r="AM168" s="108">
        <v>-30.981351515151516</v>
      </c>
      <c r="AN168" s="108">
        <v>-31.140139393939393</v>
      </c>
      <c r="AO168" s="108">
        <v>-31.30090361445783</v>
      </c>
      <c r="AP168" s="108">
        <v>-31.464759036144578</v>
      </c>
      <c r="AQ168" s="108">
        <v>-31.624472727272728</v>
      </c>
      <c r="AR168" s="108">
        <v>-31.782703030303033</v>
      </c>
      <c r="AS168" s="108">
        <v>-31.941490909090906</v>
      </c>
      <c r="AT168" s="108">
        <v>-32.09793333333333</v>
      </c>
      <c r="AU168" s="108">
        <v>-32.251266666666666</v>
      </c>
      <c r="AV168" s="108">
        <v>-32.405545454545454</v>
      </c>
      <c r="AW168" s="108">
        <v>-32.55961818181818</v>
      </c>
      <c r="AX168" s="108">
        <v>-32.710527272727276</v>
      </c>
      <c r="AY168" s="108">
        <v>-32.862734939759036</v>
      </c>
      <c r="AZ168" s="108">
        <v>-33.016349397590361</v>
      </c>
      <c r="BA168" s="108">
        <v>-33.168739393939397</v>
      </c>
      <c r="BB168" s="108">
        <v>-33.321375757575758</v>
      </c>
      <c r="BC168" s="108">
        <v>-33.476527272727274</v>
      </c>
      <c r="BD168" s="108">
        <v>-33.62978787878788</v>
      </c>
      <c r="BE168" s="108">
        <v>-33.781303030303036</v>
      </c>
      <c r="BF168" s="108">
        <v>-33.937563636363642</v>
      </c>
      <c r="BG168" s="108">
        <v>-34.09353012048193</v>
      </c>
      <c r="BH168" s="108">
        <v>-34.245939759036148</v>
      </c>
      <c r="BI168" s="108">
        <v>-34.399884848484852</v>
      </c>
      <c r="BJ168" s="108">
        <v>-34.555036363636368</v>
      </c>
      <c r="BK168" s="108">
        <v>-34.700812121212124</v>
      </c>
      <c r="BL168" s="108">
        <v>-34.846448484848487</v>
      </c>
      <c r="BM168" s="108">
        <v>-34.994327272727276</v>
      </c>
      <c r="BN168" s="108">
        <v>-35.137030303030301</v>
      </c>
      <c r="BO168" s="108">
        <v>-35.276424242424241</v>
      </c>
      <c r="BP168" s="108">
        <v>-35.412120481927708</v>
      </c>
      <c r="BQ168" s="108">
        <v>-35.547727272727272</v>
      </c>
      <c r="BR168" s="108">
        <v>-35.683484848484852</v>
      </c>
      <c r="BS168" s="108">
        <v>-35.819242424242425</v>
      </c>
      <c r="BT168" s="108">
        <v>-35.954999999999998</v>
      </c>
    </row>
    <row r="169" spans="1:72" ht="21.75" thickBot="1" x14ac:dyDescent="0.4">
      <c r="A169" s="18" t="s">
        <v>4</v>
      </c>
      <c r="B169" s="35">
        <v>-61.077757575757573</v>
      </c>
      <c r="C169" s="35">
        <v>-58.87860606060606</v>
      </c>
      <c r="D169" s="108">
        <v>-56.690727272727273</v>
      </c>
      <c r="E169" s="108">
        <v>-54.524969696969691</v>
      </c>
      <c r="F169" s="108">
        <v>-52.372727272727268</v>
      </c>
      <c r="G169" s="108">
        <v>-50.281818181818181</v>
      </c>
      <c r="H169" s="108">
        <v>-48.245542168674703</v>
      </c>
      <c r="I169" s="108">
        <v>-46.281686746987951</v>
      </c>
      <c r="J169" s="108">
        <v>-44.402000000000001</v>
      </c>
      <c r="K169" s="108">
        <v>-42.56272727272728</v>
      </c>
      <c r="L169" s="108">
        <v>-40.835454545454553</v>
      </c>
      <c r="M169" s="108">
        <v>-39.252329803328294</v>
      </c>
      <c r="N169" s="108">
        <v>-37.83175491679274</v>
      </c>
      <c r="O169" s="108">
        <v>-36.411180030257185</v>
      </c>
      <c r="P169" s="108">
        <v>-34.990605143721638</v>
      </c>
      <c r="Q169" s="108">
        <v>-33.570030257186083</v>
      </c>
      <c r="R169" s="108">
        <v>-32.149455370650529</v>
      </c>
      <c r="S169" s="108">
        <v>-30.728880484114974</v>
      </c>
      <c r="T169" s="108">
        <v>-29.565757575757573</v>
      </c>
      <c r="U169" s="108">
        <v>-28.462363636363634</v>
      </c>
      <c r="V169" s="108">
        <v>-27.425999999999995</v>
      </c>
      <c r="W169" s="108">
        <v>-26.420181818181817</v>
      </c>
      <c r="X169" s="108">
        <v>-25.438363636363636</v>
      </c>
      <c r="Y169" s="108">
        <v>-24.511265060240962</v>
      </c>
      <c r="Z169" s="108">
        <v>-23.600303030303031</v>
      </c>
      <c r="AA169" s="108">
        <v>-22.721515151515153</v>
      </c>
      <c r="AB169" s="108">
        <v>-21.882727272727273</v>
      </c>
      <c r="AC169" s="108">
        <v>-21.07060606060606</v>
      </c>
      <c r="AD169" s="108">
        <v>-20.321818181818184</v>
      </c>
      <c r="AE169" s="108">
        <v>-19.592727272727274</v>
      </c>
      <c r="AF169" s="108">
        <v>-18.901818181818182</v>
      </c>
      <c r="AG169" s="108">
        <v>-18.248855421686748</v>
      </c>
      <c r="AH169" s="108">
        <v>-17.616325301204821</v>
      </c>
      <c r="AI169" s="108">
        <v>-17.022000000000002</v>
      </c>
      <c r="AJ169" s="108">
        <v>-16.440424242424243</v>
      </c>
      <c r="AK169" s="108">
        <v>-15.882848484848486</v>
      </c>
      <c r="AL169" s="108">
        <v>-15.342000000000002</v>
      </c>
      <c r="AM169" s="108">
        <v>-14.809878787878789</v>
      </c>
      <c r="AN169" s="108">
        <v>-14.306848484848485</v>
      </c>
      <c r="AO169" s="108">
        <v>-13.814397590361446</v>
      </c>
      <c r="AP169" s="108">
        <v>-13.338493975903617</v>
      </c>
      <c r="AQ169" s="108">
        <v>-12.873757575757578</v>
      </c>
      <c r="AR169" s="108">
        <v>-12.415575757575759</v>
      </c>
      <c r="AS169" s="108">
        <v>-11.985272727272729</v>
      </c>
      <c r="AT169" s="108">
        <v>-11.562787878787882</v>
      </c>
      <c r="AU169" s="108">
        <v>-11.15066666666667</v>
      </c>
      <c r="AV169" s="108">
        <v>-10.766909090909092</v>
      </c>
      <c r="AW169" s="108">
        <v>-10.395327272727274</v>
      </c>
      <c r="AX169" s="108">
        <v>-10.05169090909091</v>
      </c>
      <c r="AY169" s="108">
        <v>-9.7289999999999992</v>
      </c>
      <c r="AZ169" s="108">
        <v>-9.4289999999999985</v>
      </c>
      <c r="BA169" s="108">
        <v>-9.1657757575757568</v>
      </c>
      <c r="BB169" s="108">
        <v>-8.9189696969696968</v>
      </c>
      <c r="BC169" s="108">
        <v>-8.7129090909090898</v>
      </c>
      <c r="BD169" s="108">
        <v>-8.5336363636363632</v>
      </c>
      <c r="BE169" s="108">
        <v>-8.3790909090909089</v>
      </c>
      <c r="BF169" s="108">
        <v>-8.267254545454545</v>
      </c>
      <c r="BG169" s="108">
        <v>-8.1710843373493969</v>
      </c>
      <c r="BH169" s="108">
        <v>-8.1078313253012055</v>
      </c>
      <c r="BI169" s="108">
        <v>-8.0620121212121205</v>
      </c>
      <c r="BJ169" s="108">
        <v>-8.0298909090909092</v>
      </c>
      <c r="BK169" s="108">
        <v>-8.0176242424242421</v>
      </c>
      <c r="BL169" s="108">
        <v>-8.010945454545455</v>
      </c>
      <c r="BM169" s="108">
        <v>-8.0145818181818189</v>
      </c>
      <c r="BN169" s="108">
        <v>-8.0263515151515161</v>
      </c>
      <c r="BO169" s="108">
        <v>-8.0433212121212119</v>
      </c>
      <c r="BP169" s="108">
        <v>-8.0740722891566268</v>
      </c>
      <c r="BQ169" s="108">
        <v>-8.1061818181818186</v>
      </c>
      <c r="BR169" s="108">
        <v>-8.1401212121212119</v>
      </c>
      <c r="BS169" s="108">
        <v>-8.1740606060606051</v>
      </c>
      <c r="BT169" s="108">
        <v>-8.2080000000000002</v>
      </c>
    </row>
    <row r="170" spans="1:72" ht="21.75" thickBot="1" x14ac:dyDescent="0.4">
      <c r="A170" s="18" t="s">
        <v>59</v>
      </c>
      <c r="B170" s="35">
        <v>-143.63472727272728</v>
      </c>
      <c r="C170" s="35">
        <v>-138.93581818181821</v>
      </c>
      <c r="D170" s="108">
        <v>-134.37218181818182</v>
      </c>
      <c r="E170" s="108">
        <v>-129.96339393939394</v>
      </c>
      <c r="F170" s="108">
        <v>-125.62981818181817</v>
      </c>
      <c r="G170" s="108">
        <v>-121.50254545454546</v>
      </c>
      <c r="H170" s="108">
        <v>-117.5077108433735</v>
      </c>
      <c r="I170" s="108">
        <v>-113.68843373493976</v>
      </c>
      <c r="J170" s="108">
        <v>-110.05200000000001</v>
      </c>
      <c r="K170" s="108">
        <v>-106.5029090909091</v>
      </c>
      <c r="L170" s="108">
        <v>-103.19381818181819</v>
      </c>
      <c r="M170" s="108">
        <v>-100.16865355521936</v>
      </c>
      <c r="N170" s="108">
        <v>-97.463661119515891</v>
      </c>
      <c r="O170" s="108">
        <v>-94.758668683812402</v>
      </c>
      <c r="P170" s="108">
        <v>-92.053676248108928</v>
      </c>
      <c r="Q170" s="108">
        <v>-89.34868381240544</v>
      </c>
      <c r="R170" s="108">
        <v>-86.643691376701966</v>
      </c>
      <c r="S170" s="108">
        <v>-83.938698940998478</v>
      </c>
      <c r="T170" s="108">
        <v>-81.73054545454545</v>
      </c>
      <c r="U170" s="108">
        <v>-79.636363636363626</v>
      </c>
      <c r="V170" s="108">
        <v>-77.666666666666657</v>
      </c>
      <c r="W170" s="108">
        <v>-75.764848484848486</v>
      </c>
      <c r="X170" s="108">
        <v>-73.916363636363627</v>
      </c>
      <c r="Y170" s="108">
        <v>-72.187650602409633</v>
      </c>
      <c r="Z170" s="108">
        <v>-70.493939393939399</v>
      </c>
      <c r="AA170" s="108">
        <v>-68.869696969696975</v>
      </c>
      <c r="AB170" s="108">
        <v>-67.329090909090908</v>
      </c>
      <c r="AC170" s="108">
        <v>-65.844242424242438</v>
      </c>
      <c r="AD170" s="108">
        <v>-64.486060606060619</v>
      </c>
      <c r="AE170" s="108">
        <v>-63.169090909090912</v>
      </c>
      <c r="AF170" s="108">
        <v>-61.932727272727277</v>
      </c>
      <c r="AG170" s="108">
        <v>-60.767771084337348</v>
      </c>
      <c r="AH170" s="108">
        <v>-59.641265060240961</v>
      </c>
      <c r="AI170" s="108">
        <v>-58.597999999999999</v>
      </c>
      <c r="AJ170" s="108">
        <v>-57.578242424242426</v>
      </c>
      <c r="AK170" s="108">
        <v>-56.602484848484849</v>
      </c>
      <c r="AL170" s="108">
        <v>-55.660181818181819</v>
      </c>
      <c r="AM170" s="108">
        <v>-54.735090909090907</v>
      </c>
      <c r="AN170" s="108">
        <v>-53.862363636363639</v>
      </c>
      <c r="AO170" s="108">
        <v>-53.012831325301207</v>
      </c>
      <c r="AP170" s="108">
        <v>-52.199578313253021</v>
      </c>
      <c r="AQ170" s="108">
        <v>-51.404848484848493</v>
      </c>
      <c r="AR170" s="108">
        <v>-50.621818181818185</v>
      </c>
      <c r="AS170" s="108">
        <v>-49.894545454545458</v>
      </c>
      <c r="AT170" s="108">
        <v>-49.180303030303037</v>
      </c>
      <c r="AU170" s="108">
        <v>-48.483333333333334</v>
      </c>
      <c r="AV170" s="108">
        <v>-47.843090909090911</v>
      </c>
      <c r="AW170" s="108">
        <v>-47.226412121212121</v>
      </c>
      <c r="AX170" s="108">
        <v>-46.660351515151518</v>
      </c>
      <c r="AY170" s="108">
        <v>-46.135831325301204</v>
      </c>
      <c r="AZ170" s="108">
        <v>-45.656313253012044</v>
      </c>
      <c r="BA170" s="108">
        <v>-45.245975757575756</v>
      </c>
      <c r="BB170" s="108">
        <v>-44.867515151515157</v>
      </c>
      <c r="BC170" s="108">
        <v>-44.570545454545453</v>
      </c>
      <c r="BD170" s="108">
        <v>-44.323999999999998</v>
      </c>
      <c r="BE170" s="108">
        <v>-44.123999999999995</v>
      </c>
      <c r="BF170" s="108">
        <v>-44.014690909090909</v>
      </c>
      <c r="BG170" s="108">
        <v>-43.93734939759036</v>
      </c>
      <c r="BH170" s="108">
        <v>-43.925301204819277</v>
      </c>
      <c r="BI170" s="108">
        <v>-43.951903030303029</v>
      </c>
      <c r="BJ170" s="108">
        <v>-44.008872727272724</v>
      </c>
      <c r="BK170" s="108">
        <v>-44.100036363636363</v>
      </c>
      <c r="BL170" s="108">
        <v>-44.203406060606063</v>
      </c>
      <c r="BM170" s="108">
        <v>-44.331890909090916</v>
      </c>
      <c r="BN170" s="108">
        <v>-44.47294545454546</v>
      </c>
      <c r="BO170" s="108">
        <v>-44.622036363636362</v>
      </c>
      <c r="BP170" s="108">
        <v>-44.798024096385539</v>
      </c>
      <c r="BQ170" s="108">
        <v>-44.976909090909089</v>
      </c>
      <c r="BR170" s="108">
        <v>-45.159939393939396</v>
      </c>
      <c r="BS170" s="108">
        <v>-45.342969696969696</v>
      </c>
      <c r="BT170" s="108">
        <v>-45.525999999999996</v>
      </c>
    </row>
    <row r="171" spans="1:72" ht="21.75" thickBot="1" x14ac:dyDescent="0.4">
      <c r="A171" s="18" t="s">
        <v>1</v>
      </c>
      <c r="B171" s="35">
        <v>-18.858727272727272</v>
      </c>
      <c r="C171" s="35">
        <v>-18.879212121212124</v>
      </c>
      <c r="D171" s="108">
        <v>-18.903454545454547</v>
      </c>
      <c r="E171" s="108">
        <v>-18.932121212121213</v>
      </c>
      <c r="F171" s="108">
        <v>-18.961939393939396</v>
      </c>
      <c r="G171" s="108">
        <v>-18.986181818181819</v>
      </c>
      <c r="H171" s="108">
        <v>-19.00777108433735</v>
      </c>
      <c r="I171" s="108">
        <v>-19.025843373493977</v>
      </c>
      <c r="J171" s="108">
        <v>-19.039333333333335</v>
      </c>
      <c r="K171" s="108">
        <v>-19.052181818181818</v>
      </c>
      <c r="L171" s="108">
        <v>-19.070363636363634</v>
      </c>
      <c r="M171" s="108">
        <v>-19.082844175491676</v>
      </c>
      <c r="N171" s="108">
        <v>-19.088895612708018</v>
      </c>
      <c r="O171" s="108">
        <v>-19.094947049924357</v>
      </c>
      <c r="P171" s="108">
        <v>-19.100998487140696</v>
      </c>
      <c r="Q171" s="108">
        <v>-19.107049924357035</v>
      </c>
      <c r="R171" s="108">
        <v>-19.113101361573374</v>
      </c>
      <c r="S171" s="108">
        <v>-19.119152798789713</v>
      </c>
      <c r="T171" s="108">
        <v>-19.104363636363637</v>
      </c>
      <c r="U171" s="108">
        <v>-19.08490909090909</v>
      </c>
      <c r="V171" s="108">
        <v>-19.060666666666666</v>
      </c>
      <c r="W171" s="108">
        <v>-19.03981818181818</v>
      </c>
      <c r="X171" s="108">
        <v>-19.021636363636365</v>
      </c>
      <c r="Y171" s="108">
        <v>-19.02</v>
      </c>
      <c r="Z171" s="108">
        <v>-19.02151515151515</v>
      </c>
      <c r="AA171" s="108">
        <v>-19.027575757575757</v>
      </c>
      <c r="AB171" s="108">
        <v>-19.037272727272729</v>
      </c>
      <c r="AC171" s="108">
        <v>-19.049393939393941</v>
      </c>
      <c r="AD171" s="108">
        <v>-19.067272727272726</v>
      </c>
      <c r="AE171" s="108">
        <v>-19.085454545454542</v>
      </c>
      <c r="AF171" s="108">
        <v>-19.103636363636362</v>
      </c>
      <c r="AG171" s="108">
        <v>-19.125662650602408</v>
      </c>
      <c r="AH171" s="108">
        <v>-19.149759036144577</v>
      </c>
      <c r="AI171" s="108">
        <v>-19.167999999999999</v>
      </c>
      <c r="AJ171" s="108">
        <v>-19.186181818181819</v>
      </c>
      <c r="AK171" s="108">
        <v>-19.204363636363638</v>
      </c>
      <c r="AL171" s="108">
        <v>-19.226727272727274</v>
      </c>
      <c r="AM171" s="108">
        <v>-19.250727272727271</v>
      </c>
      <c r="AN171" s="108">
        <v>-19.268909090909091</v>
      </c>
      <c r="AO171" s="108">
        <v>-19.289397590361446</v>
      </c>
      <c r="AP171" s="108">
        <v>-19.313493975903615</v>
      </c>
      <c r="AQ171" s="108">
        <v>-19.333272727272728</v>
      </c>
      <c r="AR171" s="108">
        <v>-19.351454545454548</v>
      </c>
      <c r="AS171" s="108">
        <v>-19.369636363636364</v>
      </c>
      <c r="AT171" s="108">
        <v>-19.390424242424242</v>
      </c>
      <c r="AU171" s="108">
        <v>-19.414666666666669</v>
      </c>
      <c r="AV171" s="108">
        <v>-19.43418181818182</v>
      </c>
      <c r="AW171" s="108">
        <v>-19.452363636363636</v>
      </c>
      <c r="AX171" s="108">
        <v>-19.470545454545455</v>
      </c>
      <c r="AY171" s="108">
        <v>-19.488674698795183</v>
      </c>
      <c r="AZ171" s="108">
        <v>-19.506746987951807</v>
      </c>
      <c r="BA171" s="108">
        <v>-19.52987878787879</v>
      </c>
      <c r="BB171" s="108">
        <v>-19.553090909090908</v>
      </c>
      <c r="BC171" s="108">
        <v>-19.571272727272728</v>
      </c>
      <c r="BD171" s="108">
        <v>-19.589454545454544</v>
      </c>
      <c r="BE171" s="108">
        <v>-19.607636363636363</v>
      </c>
      <c r="BF171" s="108">
        <v>-19.625818181818182</v>
      </c>
      <c r="BG171" s="108">
        <v>-19.643975903614457</v>
      </c>
      <c r="BH171" s="108">
        <v>-19.662048192771085</v>
      </c>
      <c r="BI171" s="108">
        <v>-19.680181818181818</v>
      </c>
      <c r="BJ171" s="108">
        <v>-19.698363636363634</v>
      </c>
      <c r="BK171" s="108">
        <v>-19.716545454545454</v>
      </c>
      <c r="BL171" s="108">
        <v>-19.734727272727273</v>
      </c>
      <c r="BM171" s="108">
        <v>-19.752909090909093</v>
      </c>
      <c r="BN171" s="108">
        <v>-19.771090909090908</v>
      </c>
      <c r="BO171" s="108">
        <v>-19.789272727272728</v>
      </c>
      <c r="BP171" s="108">
        <v>-19.807349397590361</v>
      </c>
      <c r="BQ171" s="108">
        <v>-19.825454545454544</v>
      </c>
      <c r="BR171" s="108">
        <v>-19.843636363636364</v>
      </c>
      <c r="BS171" s="108">
        <v>-19.861818181818183</v>
      </c>
      <c r="BT171" s="108">
        <v>-19.88</v>
      </c>
    </row>
    <row r="172" spans="1:72" ht="21.75" thickBot="1" x14ac:dyDescent="0.4">
      <c r="A172" s="18" t="s">
        <v>71</v>
      </c>
      <c r="B172" s="35">
        <v>-60.102969696969694</v>
      </c>
      <c r="C172" s="35">
        <v>-58.835454545454546</v>
      </c>
      <c r="D172" s="108">
        <v>-57.744545454545452</v>
      </c>
      <c r="E172" s="108">
        <v>-56.843878787878786</v>
      </c>
      <c r="F172" s="108">
        <v>-56.028606060606059</v>
      </c>
      <c r="G172" s="108">
        <v>-55.386181818181811</v>
      </c>
      <c r="H172" s="108">
        <v>-54.805</v>
      </c>
      <c r="I172" s="108">
        <v>-54.305</v>
      </c>
      <c r="J172" s="108">
        <v>-53.86333333333333</v>
      </c>
      <c r="K172" s="108">
        <v>-53.449563636363635</v>
      </c>
      <c r="L172" s="108">
        <v>-53.112593939393939</v>
      </c>
      <c r="M172" s="108">
        <v>-52.829832072617251</v>
      </c>
      <c r="N172" s="108">
        <v>-52.608198184568842</v>
      </c>
      <c r="O172" s="108">
        <v>-52.386564296520426</v>
      </c>
      <c r="P172" s="108">
        <v>-52.164930408472017</v>
      </c>
      <c r="Q172" s="108">
        <v>-51.943296520423601</v>
      </c>
      <c r="R172" s="108">
        <v>-51.721662632375192</v>
      </c>
      <c r="S172" s="108">
        <v>-51.500028744326777</v>
      </c>
      <c r="T172" s="108">
        <v>-51.423133333333332</v>
      </c>
      <c r="U172" s="108">
        <v>-51.387236363636362</v>
      </c>
      <c r="V172" s="108">
        <v>-51.416933333333333</v>
      </c>
      <c r="W172" s="108">
        <v>-51.508739393939393</v>
      </c>
      <c r="X172" s="108">
        <v>-51.649345454545454</v>
      </c>
      <c r="Y172" s="108">
        <v>-51.865379518072288</v>
      </c>
      <c r="Z172" s="108">
        <v>-52.101333333333336</v>
      </c>
      <c r="AA172" s="108">
        <v>-52.37466666666667</v>
      </c>
      <c r="AB172" s="108">
        <v>-52.666909090909094</v>
      </c>
      <c r="AC172" s="108">
        <v>-52.971757575757579</v>
      </c>
      <c r="AD172" s="108">
        <v>-53.284090909090907</v>
      </c>
      <c r="AE172" s="108">
        <v>-53.600454545454546</v>
      </c>
      <c r="AF172" s="108">
        <v>-53.925303030303034</v>
      </c>
      <c r="AG172" s="108">
        <v>-54.239481927710848</v>
      </c>
      <c r="AH172" s="108">
        <v>-54.547915662650603</v>
      </c>
      <c r="AI172" s="108">
        <v>-54.867199999999997</v>
      </c>
      <c r="AJ172" s="108">
        <v>-55.182060606060602</v>
      </c>
      <c r="AK172" s="108">
        <v>-55.488121212121207</v>
      </c>
      <c r="AL172" s="108">
        <v>-55.792927272727269</v>
      </c>
      <c r="AM172" s="108">
        <v>-56.096684848484848</v>
      </c>
      <c r="AN172" s="108">
        <v>-56.388806060606058</v>
      </c>
      <c r="AO172" s="108">
        <v>-56.684939759036141</v>
      </c>
      <c r="AP172" s="108">
        <v>-56.987349397590357</v>
      </c>
      <c r="AQ172" s="108">
        <v>-57.281806060606058</v>
      </c>
      <c r="AR172" s="108">
        <v>-57.573369696969699</v>
      </c>
      <c r="AS172" s="108">
        <v>-57.865490909090909</v>
      </c>
      <c r="AT172" s="108">
        <v>-58.1526606060606</v>
      </c>
      <c r="AU172" s="108">
        <v>-58.433266666666668</v>
      </c>
      <c r="AV172" s="108">
        <v>-58.714818181818181</v>
      </c>
      <c r="AW172" s="108">
        <v>-58.995375757575758</v>
      </c>
      <c r="AX172" s="108">
        <v>-59.267496969696971</v>
      </c>
      <c r="AY172" s="108">
        <v>-59.540566265060242</v>
      </c>
      <c r="AZ172" s="108">
        <v>-59.814662650602415</v>
      </c>
      <c r="BA172" s="108">
        <v>-60.083163636363643</v>
      </c>
      <c r="BB172" s="108">
        <v>-60.350951515151522</v>
      </c>
      <c r="BC172" s="108">
        <v>-60.621254545454548</v>
      </c>
      <c r="BD172" s="108">
        <v>-60.886515151515148</v>
      </c>
      <c r="BE172" s="108">
        <v>-61.147121212121213</v>
      </c>
      <c r="BF172" s="108">
        <v>-61.417745454545454</v>
      </c>
      <c r="BG172" s="108">
        <v>-61.688710843373499</v>
      </c>
      <c r="BH172" s="108">
        <v>-61.955578313253014</v>
      </c>
      <c r="BI172" s="108">
        <v>-62.22776363636364</v>
      </c>
      <c r="BJ172" s="108">
        <v>-62.504127272727274</v>
      </c>
      <c r="BK172" s="108">
        <v>-62.765599999999999</v>
      </c>
      <c r="BL172" s="108">
        <v>-63.027963636363637</v>
      </c>
      <c r="BM172" s="108">
        <v>-63.297054545454543</v>
      </c>
      <c r="BN172" s="108">
        <v>-63.557272727272725</v>
      </c>
      <c r="BO172" s="108">
        <v>-63.811818181818175</v>
      </c>
      <c r="BP172" s="108">
        <v>-64.061999999999998</v>
      </c>
      <c r="BQ172" s="108">
        <v>-64.312272727272727</v>
      </c>
      <c r="BR172" s="108">
        <v>-64.563181818181832</v>
      </c>
      <c r="BS172" s="108">
        <v>-64.814090909090908</v>
      </c>
      <c r="BT172" s="108">
        <v>-65.064999999999998</v>
      </c>
    </row>
    <row r="173" spans="1:72" ht="21.75" thickBot="1" x14ac:dyDescent="0.4">
      <c r="A173" s="18" t="s">
        <v>72</v>
      </c>
      <c r="B173" s="35">
        <v>-38.623757575757573</v>
      </c>
      <c r="C173" s="35">
        <v>-37.656848484848481</v>
      </c>
      <c r="D173" s="108">
        <v>-36.753818181818183</v>
      </c>
      <c r="E173" s="108">
        <v>-35.930424242424245</v>
      </c>
      <c r="F173" s="108">
        <v>-35.144242424242428</v>
      </c>
      <c r="G173" s="108">
        <v>-34.447272727272725</v>
      </c>
      <c r="H173" s="108">
        <v>-33.788373493975904</v>
      </c>
      <c r="I173" s="108">
        <v>-33.179939759036145</v>
      </c>
      <c r="J173" s="108">
        <v>-32.615333333333332</v>
      </c>
      <c r="K173" s="108">
        <v>-32.072109090909088</v>
      </c>
      <c r="L173" s="108">
        <v>-31.58968484848485</v>
      </c>
      <c r="M173" s="108">
        <v>-31.165838124054467</v>
      </c>
      <c r="N173" s="108">
        <v>-30.80804689863843</v>
      </c>
      <c r="O173" s="108">
        <v>-30.450255673222394</v>
      </c>
      <c r="P173" s="108">
        <v>-30.092464447806357</v>
      </c>
      <c r="Q173" s="108">
        <v>-29.73467322239032</v>
      </c>
      <c r="R173" s="108">
        <v>-29.376881996974284</v>
      </c>
      <c r="S173" s="108">
        <v>-29.019090771558247</v>
      </c>
      <c r="T173" s="108">
        <v>-28.824103030303032</v>
      </c>
      <c r="U173" s="108">
        <v>-28.675600000000003</v>
      </c>
      <c r="V173" s="108">
        <v>-28.602266666666669</v>
      </c>
      <c r="W173" s="108">
        <v>-28.584254545454545</v>
      </c>
      <c r="X173" s="108">
        <v>-28.609709090909092</v>
      </c>
      <c r="Y173" s="108">
        <v>-28.70025903614458</v>
      </c>
      <c r="Z173" s="108">
        <v>-28.808000000000003</v>
      </c>
      <c r="AA173" s="108">
        <v>-28.948</v>
      </c>
      <c r="AB173" s="108">
        <v>-29.103272727272728</v>
      </c>
      <c r="AC173" s="108">
        <v>-29.268727272727272</v>
      </c>
      <c r="AD173" s="108">
        <v>-29.44166666666667</v>
      </c>
      <c r="AE173" s="108">
        <v>-29.616818181818186</v>
      </c>
      <c r="AF173" s="108">
        <v>-29.796212121212122</v>
      </c>
      <c r="AG173" s="108">
        <v>-29.969421686746987</v>
      </c>
      <c r="AH173" s="108">
        <v>-30.139301204819276</v>
      </c>
      <c r="AI173" s="108">
        <v>-30.313199999999998</v>
      </c>
      <c r="AJ173" s="108">
        <v>-30.484666666666666</v>
      </c>
      <c r="AK173" s="108">
        <v>-30.651333333333334</v>
      </c>
      <c r="AL173" s="108">
        <v>-30.816745454545455</v>
      </c>
      <c r="AM173" s="108">
        <v>-30.981351515151516</v>
      </c>
      <c r="AN173" s="108">
        <v>-31.140139393939393</v>
      </c>
      <c r="AO173" s="108">
        <v>-31.30090361445783</v>
      </c>
      <c r="AP173" s="108">
        <v>-31.464759036144578</v>
      </c>
      <c r="AQ173" s="108">
        <v>-31.624472727272728</v>
      </c>
      <c r="AR173" s="108">
        <v>-31.782703030303033</v>
      </c>
      <c r="AS173" s="108">
        <v>-31.941490909090906</v>
      </c>
      <c r="AT173" s="108">
        <v>-32.09793333333333</v>
      </c>
      <c r="AU173" s="108">
        <v>-32.251266666666666</v>
      </c>
      <c r="AV173" s="108">
        <v>-32.405545454545454</v>
      </c>
      <c r="AW173" s="108">
        <v>-32.55961818181818</v>
      </c>
      <c r="AX173" s="108">
        <v>-32.710527272727276</v>
      </c>
      <c r="AY173" s="108">
        <v>-32.862734939759036</v>
      </c>
      <c r="AZ173" s="108">
        <v>-33.016349397590361</v>
      </c>
      <c r="BA173" s="108">
        <v>-33.168739393939397</v>
      </c>
      <c r="BB173" s="108">
        <v>-33.321375757575758</v>
      </c>
      <c r="BC173" s="108">
        <v>-33.476527272727274</v>
      </c>
      <c r="BD173" s="108">
        <v>-33.62978787878788</v>
      </c>
      <c r="BE173" s="108">
        <v>-33.781303030303036</v>
      </c>
      <c r="BF173" s="108">
        <v>-33.937563636363642</v>
      </c>
      <c r="BG173" s="108">
        <v>-34.09353012048193</v>
      </c>
      <c r="BH173" s="108">
        <v>-34.245939759036148</v>
      </c>
      <c r="BI173" s="108">
        <v>-34.399884848484852</v>
      </c>
      <c r="BJ173" s="108">
        <v>-34.555036363636368</v>
      </c>
      <c r="BK173" s="108">
        <v>-34.700812121212124</v>
      </c>
      <c r="BL173" s="108">
        <v>-34.846448484848487</v>
      </c>
      <c r="BM173" s="108">
        <v>-34.994327272727276</v>
      </c>
      <c r="BN173" s="108">
        <v>-35.137030303030301</v>
      </c>
      <c r="BO173" s="108">
        <v>-35.276424242424241</v>
      </c>
      <c r="BP173" s="108">
        <v>-35.412120481927708</v>
      </c>
      <c r="BQ173" s="108">
        <v>-35.547727272727272</v>
      </c>
      <c r="BR173" s="108">
        <v>-35.683484848484852</v>
      </c>
      <c r="BS173" s="108">
        <v>-35.819242424242425</v>
      </c>
      <c r="BT173" s="108">
        <v>-35.954999999999998</v>
      </c>
    </row>
    <row r="174" spans="1:72" ht="21.75" thickBot="1" x14ac:dyDescent="0.4">
      <c r="A174" s="18" t="s">
        <v>61</v>
      </c>
      <c r="B174" s="35">
        <v>-186.59315151515153</v>
      </c>
      <c r="C174" s="35">
        <v>-181.29303030303032</v>
      </c>
      <c r="D174" s="108">
        <v>-176.35363636363638</v>
      </c>
      <c r="E174" s="108">
        <v>-171.79030303030302</v>
      </c>
      <c r="F174" s="108">
        <v>-167.39854545454546</v>
      </c>
      <c r="G174" s="108">
        <v>-163.38036363636363</v>
      </c>
      <c r="H174" s="108">
        <v>-159.54096385542169</v>
      </c>
      <c r="I174" s="108">
        <v>-155.93855421686746</v>
      </c>
      <c r="J174" s="108">
        <v>-152.548</v>
      </c>
      <c r="K174" s="108">
        <v>-149.25781818181818</v>
      </c>
      <c r="L174" s="108">
        <v>-146.23963636363638</v>
      </c>
      <c r="M174" s="108">
        <v>-143.49664145234496</v>
      </c>
      <c r="N174" s="108">
        <v>-141.06396369137673</v>
      </c>
      <c r="O174" s="108">
        <v>-138.6312859304085</v>
      </c>
      <c r="P174" s="108">
        <v>-136.19860816944026</v>
      </c>
      <c r="Q174" s="108">
        <v>-133.765930408472</v>
      </c>
      <c r="R174" s="108">
        <v>-131.33325264750377</v>
      </c>
      <c r="S174" s="108">
        <v>-128.90057488653554</v>
      </c>
      <c r="T174" s="108">
        <v>-126.92860606060606</v>
      </c>
      <c r="U174" s="108">
        <v>-125.05963636363637</v>
      </c>
      <c r="V174" s="108">
        <v>-123.29599999999999</v>
      </c>
      <c r="W174" s="108">
        <v>-121.61381818181817</v>
      </c>
      <c r="X174" s="108">
        <v>-119.99563636363636</v>
      </c>
      <c r="Y174" s="108">
        <v>-118.51789156626506</v>
      </c>
      <c r="Z174" s="108">
        <v>-117.08060606060606</v>
      </c>
      <c r="AA174" s="108">
        <v>-115.72303030303031</v>
      </c>
      <c r="AB174" s="108">
        <v>-114.45636363636363</v>
      </c>
      <c r="AC174" s="108">
        <v>-113.25030303030303</v>
      </c>
      <c r="AD174" s="108">
        <v>-112.17090909090911</v>
      </c>
      <c r="AE174" s="108">
        <v>-111.13636363636364</v>
      </c>
      <c r="AF174" s="108">
        <v>-110.19090909090909</v>
      </c>
      <c r="AG174" s="108">
        <v>-109.30789156626506</v>
      </c>
      <c r="AH174" s="108">
        <v>-108.45849397590362</v>
      </c>
      <c r="AI174" s="108">
        <v>-107.70599999999999</v>
      </c>
      <c r="AJ174" s="108">
        <v>-106.97303030303028</v>
      </c>
      <c r="AK174" s="108">
        <v>-106.27606060606061</v>
      </c>
      <c r="AL174" s="108">
        <v>-105.61254545454545</v>
      </c>
      <c r="AM174" s="108">
        <v>-104.96575757575758</v>
      </c>
      <c r="AN174" s="108">
        <v>-104.35969696969697</v>
      </c>
      <c r="AO174" s="108">
        <v>-103.78090361445783</v>
      </c>
      <c r="AP174" s="108">
        <v>-103.24475903614457</v>
      </c>
      <c r="AQ174" s="108">
        <v>-102.71951515151515</v>
      </c>
      <c r="AR174" s="108">
        <v>-102.20315151515153</v>
      </c>
      <c r="AS174" s="108">
        <v>-101.74254545454546</v>
      </c>
      <c r="AT174" s="108">
        <v>-101.28975757575758</v>
      </c>
      <c r="AU174" s="108">
        <v>-100.84733333333334</v>
      </c>
      <c r="AV174" s="108">
        <v>-100.46163636363636</v>
      </c>
      <c r="AW174" s="108">
        <v>-100.09792727272728</v>
      </c>
      <c r="AX174" s="108">
        <v>-99.774290909090908</v>
      </c>
      <c r="AY174" s="108">
        <v>-99.491493975903609</v>
      </c>
      <c r="AZ174" s="108">
        <v>-99.252939759036153</v>
      </c>
      <c r="BA174" s="108">
        <v>-99.074824242424242</v>
      </c>
      <c r="BB174" s="108">
        <v>-98.926666666666662</v>
      </c>
      <c r="BC174" s="108">
        <v>-98.86</v>
      </c>
      <c r="BD174" s="108">
        <v>-98.837454545454548</v>
      </c>
      <c r="BE174" s="108">
        <v>-98.855636363636364</v>
      </c>
      <c r="BF174" s="108">
        <v>-98.975054545454554</v>
      </c>
      <c r="BG174" s="108">
        <v>-99.127710843373507</v>
      </c>
      <c r="BH174" s="108">
        <v>-99.34457831325301</v>
      </c>
      <c r="BI174" s="108">
        <v>-99.607660606060605</v>
      </c>
      <c r="BJ174" s="108">
        <v>-99.907054545454542</v>
      </c>
      <c r="BK174" s="108">
        <v>-100.22961212121211</v>
      </c>
      <c r="BL174" s="108">
        <v>-100.56643636363636</v>
      </c>
      <c r="BM174" s="108">
        <v>-100.93734545454546</v>
      </c>
      <c r="BN174" s="108">
        <v>-101.3134303030303</v>
      </c>
      <c r="BO174" s="108">
        <v>-101.69282424242424</v>
      </c>
      <c r="BP174" s="108">
        <v>-102.09778313253013</v>
      </c>
      <c r="BQ174" s="108">
        <v>-102.506</v>
      </c>
      <c r="BR174" s="108">
        <v>-102.91933333333334</v>
      </c>
      <c r="BS174" s="108">
        <v>-103.33266666666667</v>
      </c>
      <c r="BT174" s="108">
        <v>-103.746</v>
      </c>
    </row>
    <row r="175" spans="1:72" ht="21.75" thickBot="1" x14ac:dyDescent="0.4">
      <c r="A175" s="18" t="s">
        <v>73</v>
      </c>
      <c r="B175" s="35">
        <v>-82.556969696969702</v>
      </c>
      <c r="C175" s="35">
        <v>-80.057212121212132</v>
      </c>
      <c r="D175" s="108">
        <v>-77.681454545454542</v>
      </c>
      <c r="E175" s="108">
        <v>-75.438424242424247</v>
      </c>
      <c r="F175" s="108">
        <v>-73.257090909090905</v>
      </c>
      <c r="G175" s="108">
        <v>-71.220727272727274</v>
      </c>
      <c r="H175" s="108">
        <v>-69.262168674698799</v>
      </c>
      <c r="I175" s="108">
        <v>-67.406746987951806</v>
      </c>
      <c r="J175" s="108">
        <v>-65.649999999999991</v>
      </c>
      <c r="K175" s="108">
        <v>-63.940181818181813</v>
      </c>
      <c r="L175" s="108">
        <v>-62.358363636363642</v>
      </c>
      <c r="M175" s="108">
        <v>-60.916323751891078</v>
      </c>
      <c r="N175" s="108">
        <v>-59.631906202723151</v>
      </c>
      <c r="O175" s="108">
        <v>-58.347488653555224</v>
      </c>
      <c r="P175" s="108">
        <v>-57.063071104387291</v>
      </c>
      <c r="Q175" s="108">
        <v>-55.778653555219364</v>
      </c>
      <c r="R175" s="108">
        <v>-54.494236006051437</v>
      </c>
      <c r="S175" s="108">
        <v>-53.209818456883511</v>
      </c>
      <c r="T175" s="108">
        <v>-52.164787878787877</v>
      </c>
      <c r="U175" s="108">
        <v>-51.173999999999999</v>
      </c>
      <c r="V175" s="108">
        <v>-50.240666666666662</v>
      </c>
      <c r="W175" s="108">
        <v>-49.344666666666669</v>
      </c>
      <c r="X175" s="108">
        <v>-48.478000000000002</v>
      </c>
      <c r="Y175" s="108">
        <v>-47.676385542168674</v>
      </c>
      <c r="Z175" s="108">
        <v>-46.893636363636361</v>
      </c>
      <c r="AA175" s="108">
        <v>-46.148181818181818</v>
      </c>
      <c r="AB175" s="108">
        <v>-45.446363636363635</v>
      </c>
      <c r="AC175" s="108">
        <v>-44.773636363636363</v>
      </c>
      <c r="AD175" s="108">
        <v>-44.164242424242424</v>
      </c>
      <c r="AE175" s="108">
        <v>-43.576363636363638</v>
      </c>
      <c r="AF175" s="108">
        <v>-43.030909090909091</v>
      </c>
      <c r="AG175" s="108">
        <v>-42.518915662650606</v>
      </c>
      <c r="AH175" s="108">
        <v>-42.024939759036144</v>
      </c>
      <c r="AI175" s="108">
        <v>-41.576000000000001</v>
      </c>
      <c r="AJ175" s="108">
        <v>-41.137818181818183</v>
      </c>
      <c r="AK175" s="108">
        <v>-40.719636363636369</v>
      </c>
      <c r="AL175" s="108">
        <v>-40.31818181818182</v>
      </c>
      <c r="AM175" s="108">
        <v>-39.92521212121212</v>
      </c>
      <c r="AN175" s="108">
        <v>-39.555515151515152</v>
      </c>
      <c r="AO175" s="108">
        <v>-39.198433734939755</v>
      </c>
      <c r="AP175" s="108">
        <v>-38.861084337349396</v>
      </c>
      <c r="AQ175" s="108">
        <v>-38.531090909090913</v>
      </c>
      <c r="AR175" s="108">
        <v>-38.206242424242433</v>
      </c>
      <c r="AS175" s="108">
        <v>-37.909272727272729</v>
      </c>
      <c r="AT175" s="108">
        <v>-37.617515151515157</v>
      </c>
      <c r="AU175" s="108">
        <v>-37.332666666666668</v>
      </c>
      <c r="AV175" s="108">
        <v>-37.076181818181823</v>
      </c>
      <c r="AW175" s="108">
        <v>-36.831084848484849</v>
      </c>
      <c r="AX175" s="108">
        <v>-36.60866060606061</v>
      </c>
      <c r="AY175" s="108">
        <v>-36.406831325301205</v>
      </c>
      <c r="AZ175" s="108">
        <v>-36.227313253012049</v>
      </c>
      <c r="BA175" s="108">
        <v>-36.080199999999998</v>
      </c>
      <c r="BB175" s="108">
        <v>-35.948545454545453</v>
      </c>
      <c r="BC175" s="108">
        <v>-35.85763636363636</v>
      </c>
      <c r="BD175" s="108">
        <v>-35.790363636363637</v>
      </c>
      <c r="BE175" s="108">
        <v>-35.74490909090909</v>
      </c>
      <c r="BF175" s="108">
        <v>-35.747436363636361</v>
      </c>
      <c r="BG175" s="108">
        <v>-35.766265060240968</v>
      </c>
      <c r="BH175" s="108">
        <v>-35.817469879518079</v>
      </c>
      <c r="BI175" s="108">
        <v>-35.889890909090916</v>
      </c>
      <c r="BJ175" s="108">
        <v>-35.978981818181822</v>
      </c>
      <c r="BK175" s="108">
        <v>-36.082412121212123</v>
      </c>
      <c r="BL175" s="108">
        <v>-36.192460606060607</v>
      </c>
      <c r="BM175" s="108">
        <v>-36.317309090909092</v>
      </c>
      <c r="BN175" s="108">
        <v>-36.446593939393942</v>
      </c>
      <c r="BO175" s="108">
        <v>-36.578715151515155</v>
      </c>
      <c r="BP175" s="108">
        <v>-36.723951807228914</v>
      </c>
      <c r="BQ175" s="108">
        <v>-36.870727272727272</v>
      </c>
      <c r="BR175" s="108">
        <v>-37.019818181818181</v>
      </c>
      <c r="BS175" s="108">
        <v>-37.168909090909089</v>
      </c>
      <c r="BT175" s="108">
        <v>-37.317999999999998</v>
      </c>
    </row>
    <row r="176" spans="1:72" ht="21.75" thickBot="1" x14ac:dyDescent="0.4">
      <c r="A176" s="18" t="s">
        <v>69</v>
      </c>
      <c r="B176" s="35">
        <v>-17.144545454545455</v>
      </c>
      <c r="C176" s="35">
        <v>-16.478242424242424</v>
      </c>
      <c r="D176" s="108">
        <v>-15.763090909090909</v>
      </c>
      <c r="E176" s="108">
        <v>-15.016969696969696</v>
      </c>
      <c r="F176" s="108">
        <v>-14.259878787878787</v>
      </c>
      <c r="G176" s="108">
        <v>-13.508363636363637</v>
      </c>
      <c r="H176" s="108">
        <v>-12.771746987951808</v>
      </c>
      <c r="I176" s="108">
        <v>-12.054879518072291</v>
      </c>
      <c r="J176" s="108">
        <v>-11.367333333333335</v>
      </c>
      <c r="K176" s="108">
        <v>-10.694654545454545</v>
      </c>
      <c r="L176" s="108">
        <v>-10.066775757575758</v>
      </c>
      <c r="M176" s="108">
        <v>-9.50184417549168</v>
      </c>
      <c r="N176" s="108">
        <v>-9.007895612708019</v>
      </c>
      <c r="O176" s="108">
        <v>-8.5139470499243579</v>
      </c>
      <c r="P176" s="108">
        <v>-8.0199984871406951</v>
      </c>
      <c r="Q176" s="108">
        <v>-7.526049924357034</v>
      </c>
      <c r="R176" s="108">
        <v>-7.032101361573373</v>
      </c>
      <c r="S176" s="108">
        <v>-6.5381527987897119</v>
      </c>
      <c r="T176" s="108">
        <v>-6.2250727272727273</v>
      </c>
      <c r="U176" s="108">
        <v>-5.9639636363636361</v>
      </c>
      <c r="V176" s="108">
        <v>-5.7875999999999994</v>
      </c>
      <c r="W176" s="108">
        <v>-5.6597696969696969</v>
      </c>
      <c r="X176" s="108">
        <v>-5.5700727272727271</v>
      </c>
      <c r="Y176" s="108">
        <v>-5.5351385542168678</v>
      </c>
      <c r="Z176" s="108">
        <v>-5.5146666666666668</v>
      </c>
      <c r="AA176" s="108">
        <v>-5.5213333333333336</v>
      </c>
      <c r="AB176" s="108">
        <v>-5.5396363636363635</v>
      </c>
      <c r="AC176" s="108">
        <v>-5.5656969696969698</v>
      </c>
      <c r="AD176" s="108">
        <v>-5.5992424242424246</v>
      </c>
      <c r="AE176" s="108">
        <v>-5.6331818181818187</v>
      </c>
      <c r="AF176" s="108">
        <v>-5.667121212121212</v>
      </c>
      <c r="AG176" s="108">
        <v>-5.6993614457831328</v>
      </c>
      <c r="AH176" s="108">
        <v>-5.7306867469879519</v>
      </c>
      <c r="AI176" s="108">
        <v>-5.7591999999999999</v>
      </c>
      <c r="AJ176" s="108">
        <v>-5.7872727272727271</v>
      </c>
      <c r="AK176" s="108">
        <v>-5.8145454545454545</v>
      </c>
      <c r="AL176" s="108">
        <v>-5.8405636363636368</v>
      </c>
      <c r="AM176" s="108">
        <v>-5.8660181818181822</v>
      </c>
      <c r="AN176" s="108">
        <v>-5.8914727272727276</v>
      </c>
      <c r="AO176" s="108">
        <v>-5.9168674698795183</v>
      </c>
      <c r="AP176" s="108">
        <v>-5.9421686746987952</v>
      </c>
      <c r="AQ176" s="108">
        <v>-5.9671393939393935</v>
      </c>
      <c r="AR176" s="108">
        <v>-5.9920363636363634</v>
      </c>
      <c r="AS176" s="108">
        <v>-6.0174909090909088</v>
      </c>
      <c r="AT176" s="108">
        <v>-6.0432060606060602</v>
      </c>
      <c r="AU176" s="108">
        <v>-6.0692666666666666</v>
      </c>
      <c r="AV176" s="108">
        <v>-6.0962727272727273</v>
      </c>
      <c r="AW176" s="108">
        <v>-6.1238606060606058</v>
      </c>
      <c r="AX176" s="108">
        <v>-6.1535575757575751</v>
      </c>
      <c r="AY176" s="108">
        <v>-6.1849036144578307</v>
      </c>
      <c r="AZ176" s="108">
        <v>-6.2180361445783134</v>
      </c>
      <c r="BA176" s="108">
        <v>-6.2543151515151516</v>
      </c>
      <c r="BB176" s="108">
        <v>-6.2918000000000003</v>
      </c>
      <c r="BC176" s="108">
        <v>-6.3318000000000003</v>
      </c>
      <c r="BD176" s="108">
        <v>-6.3730606060606068</v>
      </c>
      <c r="BE176" s="108">
        <v>-6.4154848484848488</v>
      </c>
      <c r="BF176" s="108">
        <v>-6.457381818181819</v>
      </c>
      <c r="BG176" s="108">
        <v>-6.4983493975903617</v>
      </c>
      <c r="BH176" s="108">
        <v>-6.536301204819277</v>
      </c>
      <c r="BI176" s="108">
        <v>-6.5720060606060606</v>
      </c>
      <c r="BJ176" s="108">
        <v>-6.6059454545454548</v>
      </c>
      <c r="BK176" s="108">
        <v>-6.6360242424242424</v>
      </c>
      <c r="BL176" s="108">
        <v>-6.6649333333333338</v>
      </c>
      <c r="BM176" s="108">
        <v>-6.6916000000000002</v>
      </c>
      <c r="BN176" s="108">
        <v>-6.716787878787879</v>
      </c>
      <c r="BO176" s="108">
        <v>-6.7410303030303034</v>
      </c>
      <c r="BP176" s="108">
        <v>-6.7622409638554215</v>
      </c>
      <c r="BQ176" s="108">
        <v>-6.7831818181818182</v>
      </c>
      <c r="BR176" s="108">
        <v>-6.8037878787878787</v>
      </c>
      <c r="BS176" s="108">
        <v>-6.8243939393939392</v>
      </c>
      <c r="BT176" s="108">
        <v>-6.8449999999999998</v>
      </c>
    </row>
    <row r="177" spans="1:72" ht="21.75" thickBot="1" x14ac:dyDescent="0.4">
      <c r="A177" s="18" t="s">
        <v>70</v>
      </c>
      <c r="B177" s="35">
        <v>-61.077757575757573</v>
      </c>
      <c r="C177" s="35">
        <v>-58.87860606060606</v>
      </c>
      <c r="D177" s="108">
        <v>-56.690727272727273</v>
      </c>
      <c r="E177" s="108">
        <v>-54.524969696969691</v>
      </c>
      <c r="F177" s="108">
        <v>-52.372727272727268</v>
      </c>
      <c r="G177" s="108">
        <v>-50.281818181818181</v>
      </c>
      <c r="H177" s="108">
        <v>-48.245542168674703</v>
      </c>
      <c r="I177" s="108">
        <v>-46.281686746987951</v>
      </c>
      <c r="J177" s="108">
        <v>-44.402000000000001</v>
      </c>
      <c r="K177" s="108">
        <v>-42.56272727272728</v>
      </c>
      <c r="L177" s="108">
        <v>-40.835454545454553</v>
      </c>
      <c r="M177" s="108">
        <v>-39.252329803328294</v>
      </c>
      <c r="N177" s="108">
        <v>-37.83175491679274</v>
      </c>
      <c r="O177" s="108">
        <v>-36.411180030257185</v>
      </c>
      <c r="P177" s="108">
        <v>-34.990605143721638</v>
      </c>
      <c r="Q177" s="108">
        <v>-33.570030257186083</v>
      </c>
      <c r="R177" s="108">
        <v>-32.149455370650529</v>
      </c>
      <c r="S177" s="108">
        <v>-30.728880484114974</v>
      </c>
      <c r="T177" s="108">
        <v>-29.565757575757573</v>
      </c>
      <c r="U177" s="108">
        <v>-28.462363636363634</v>
      </c>
      <c r="V177" s="108">
        <v>-27.425999999999995</v>
      </c>
      <c r="W177" s="108">
        <v>-26.420181818181817</v>
      </c>
      <c r="X177" s="108">
        <v>-25.438363636363636</v>
      </c>
      <c r="Y177" s="108">
        <v>-24.511265060240962</v>
      </c>
      <c r="Z177" s="108">
        <v>-23.600303030303031</v>
      </c>
      <c r="AA177" s="108">
        <v>-22.721515151515153</v>
      </c>
      <c r="AB177" s="108">
        <v>-21.882727272727273</v>
      </c>
      <c r="AC177" s="108">
        <v>-21.07060606060606</v>
      </c>
      <c r="AD177" s="108">
        <v>-20.321818181818184</v>
      </c>
      <c r="AE177" s="108">
        <v>-19.592727272727274</v>
      </c>
      <c r="AF177" s="108">
        <v>-18.901818181818182</v>
      </c>
      <c r="AG177" s="108">
        <v>-18.248855421686748</v>
      </c>
      <c r="AH177" s="108">
        <v>-17.616325301204821</v>
      </c>
      <c r="AI177" s="108">
        <v>-17.022000000000002</v>
      </c>
      <c r="AJ177" s="108">
        <v>-16.440424242424243</v>
      </c>
      <c r="AK177" s="108">
        <v>-15.882848484848486</v>
      </c>
      <c r="AL177" s="108">
        <v>-15.342000000000002</v>
      </c>
      <c r="AM177" s="108">
        <v>-14.809878787878789</v>
      </c>
      <c r="AN177" s="108">
        <v>-14.306848484848485</v>
      </c>
      <c r="AO177" s="108">
        <v>-13.814397590361446</v>
      </c>
      <c r="AP177" s="108">
        <v>-13.338493975903617</v>
      </c>
      <c r="AQ177" s="108">
        <v>-12.873757575757578</v>
      </c>
      <c r="AR177" s="108">
        <v>-12.415575757575759</v>
      </c>
      <c r="AS177" s="108">
        <v>-11.985272727272729</v>
      </c>
      <c r="AT177" s="108">
        <v>-11.562787878787882</v>
      </c>
      <c r="AU177" s="108">
        <v>-11.15066666666667</v>
      </c>
      <c r="AV177" s="108">
        <v>-10.766909090909092</v>
      </c>
      <c r="AW177" s="108">
        <v>-10.395327272727274</v>
      </c>
      <c r="AX177" s="108">
        <v>-10.05169090909091</v>
      </c>
      <c r="AY177" s="108">
        <v>-9.7289999999999992</v>
      </c>
      <c r="AZ177" s="108">
        <v>-9.4289999999999985</v>
      </c>
      <c r="BA177" s="108">
        <v>-9.1657757575757568</v>
      </c>
      <c r="BB177" s="108">
        <v>-8.9189696969696968</v>
      </c>
      <c r="BC177" s="108">
        <v>-8.7129090909090898</v>
      </c>
      <c r="BD177" s="108">
        <v>-8.5336363636363632</v>
      </c>
      <c r="BE177" s="108">
        <v>-8.3790909090909089</v>
      </c>
      <c r="BF177" s="108">
        <v>-8.267254545454545</v>
      </c>
      <c r="BG177" s="108">
        <v>-8.1710843373493969</v>
      </c>
      <c r="BH177" s="108">
        <v>-8.1078313253012055</v>
      </c>
      <c r="BI177" s="108">
        <v>-8.0620121212121205</v>
      </c>
      <c r="BJ177" s="108">
        <v>-8.0298909090909092</v>
      </c>
      <c r="BK177" s="108">
        <v>-8.0176242424242421</v>
      </c>
      <c r="BL177" s="108">
        <v>-8.010945454545455</v>
      </c>
      <c r="BM177" s="108">
        <v>-8.0145818181818189</v>
      </c>
      <c r="BN177" s="108">
        <v>-8.0263515151515161</v>
      </c>
      <c r="BO177" s="108">
        <v>-8.0433212121212119</v>
      </c>
      <c r="BP177" s="108">
        <v>-8.0740722891566268</v>
      </c>
      <c r="BQ177" s="108">
        <v>-8.1061818181818186</v>
      </c>
      <c r="BR177" s="108">
        <v>-8.1401212121212119</v>
      </c>
      <c r="BS177" s="108">
        <v>-8.1740606060606051</v>
      </c>
      <c r="BT177" s="108">
        <v>-8.2080000000000002</v>
      </c>
    </row>
    <row r="178" spans="1:72" ht="21.75" thickBot="1" x14ac:dyDescent="0.4">
      <c r="A178" s="18" t="s">
        <v>62</v>
      </c>
      <c r="B178" s="35">
        <v>-143.63472727272728</v>
      </c>
      <c r="C178" s="35">
        <v>-138.93581818181821</v>
      </c>
      <c r="D178" s="108">
        <v>-134.37218181818182</v>
      </c>
      <c r="E178" s="108">
        <v>-129.96339393939394</v>
      </c>
      <c r="F178" s="108">
        <v>-125.62981818181817</v>
      </c>
      <c r="G178" s="108">
        <v>-121.50254545454546</v>
      </c>
      <c r="H178" s="108">
        <v>-117.5077108433735</v>
      </c>
      <c r="I178" s="108">
        <v>-113.68843373493976</v>
      </c>
      <c r="J178" s="108">
        <v>-110.05200000000001</v>
      </c>
      <c r="K178" s="108">
        <v>-106.5029090909091</v>
      </c>
      <c r="L178" s="108">
        <v>-103.19381818181819</v>
      </c>
      <c r="M178" s="108">
        <v>-100.16865355521936</v>
      </c>
      <c r="N178" s="108">
        <v>-97.463661119515891</v>
      </c>
      <c r="O178" s="108">
        <v>-94.758668683812402</v>
      </c>
      <c r="P178" s="108">
        <v>-92.053676248108928</v>
      </c>
      <c r="Q178" s="108">
        <v>-89.34868381240544</v>
      </c>
      <c r="R178" s="108">
        <v>-86.643691376701966</v>
      </c>
      <c r="S178" s="108">
        <v>-83.938698940998478</v>
      </c>
      <c r="T178" s="108">
        <v>-81.73054545454545</v>
      </c>
      <c r="U178" s="108">
        <v>-79.636363636363626</v>
      </c>
      <c r="V178" s="108">
        <v>-77.666666666666657</v>
      </c>
      <c r="W178" s="108">
        <v>-75.764848484848486</v>
      </c>
      <c r="X178" s="108">
        <v>-73.916363636363627</v>
      </c>
      <c r="Y178" s="108">
        <v>-72.187650602409633</v>
      </c>
      <c r="Z178" s="108">
        <v>-70.493939393939399</v>
      </c>
      <c r="AA178" s="108">
        <v>-68.869696969696975</v>
      </c>
      <c r="AB178" s="108">
        <v>-67.329090909090908</v>
      </c>
      <c r="AC178" s="108">
        <v>-65.844242424242438</v>
      </c>
      <c r="AD178" s="108">
        <v>-64.486060606060619</v>
      </c>
      <c r="AE178" s="108">
        <v>-63.169090909090912</v>
      </c>
      <c r="AF178" s="108">
        <v>-61.932727272727277</v>
      </c>
      <c r="AG178" s="108">
        <v>-60.767771084337348</v>
      </c>
      <c r="AH178" s="108">
        <v>-59.641265060240961</v>
      </c>
      <c r="AI178" s="108">
        <v>-58.597999999999999</v>
      </c>
      <c r="AJ178" s="108">
        <v>-57.578242424242426</v>
      </c>
      <c r="AK178" s="108">
        <v>-56.602484848484849</v>
      </c>
      <c r="AL178" s="108">
        <v>-55.660181818181819</v>
      </c>
      <c r="AM178" s="108">
        <v>-54.735090909090907</v>
      </c>
      <c r="AN178" s="108">
        <v>-53.862363636363639</v>
      </c>
      <c r="AO178" s="108">
        <v>-53.012831325301207</v>
      </c>
      <c r="AP178" s="108">
        <v>-52.199578313253021</v>
      </c>
      <c r="AQ178" s="108">
        <v>-51.404848484848493</v>
      </c>
      <c r="AR178" s="108">
        <v>-50.621818181818185</v>
      </c>
      <c r="AS178" s="108">
        <v>-49.894545454545458</v>
      </c>
      <c r="AT178" s="108">
        <v>-49.180303030303037</v>
      </c>
      <c r="AU178" s="108">
        <v>-48.483333333333334</v>
      </c>
      <c r="AV178" s="108">
        <v>-47.843090909090911</v>
      </c>
      <c r="AW178" s="108">
        <v>-47.226412121212121</v>
      </c>
      <c r="AX178" s="108">
        <v>-46.660351515151518</v>
      </c>
      <c r="AY178" s="108">
        <v>-46.135831325301204</v>
      </c>
      <c r="AZ178" s="108">
        <v>-45.656313253012044</v>
      </c>
      <c r="BA178" s="108">
        <v>-45.245975757575756</v>
      </c>
      <c r="BB178" s="108">
        <v>-44.867515151515157</v>
      </c>
      <c r="BC178" s="108">
        <v>-44.570545454545453</v>
      </c>
      <c r="BD178" s="108">
        <v>-44.323999999999998</v>
      </c>
      <c r="BE178" s="108">
        <v>-44.123999999999995</v>
      </c>
      <c r="BF178" s="108">
        <v>-44.014690909090909</v>
      </c>
      <c r="BG178" s="108">
        <v>-43.93734939759036</v>
      </c>
      <c r="BH178" s="108">
        <v>-43.925301204819277</v>
      </c>
      <c r="BI178" s="108">
        <v>-43.951903030303029</v>
      </c>
      <c r="BJ178" s="108">
        <v>-44.008872727272724</v>
      </c>
      <c r="BK178" s="108">
        <v>-44.100036363636363</v>
      </c>
      <c r="BL178" s="108">
        <v>-44.203406060606063</v>
      </c>
      <c r="BM178" s="108">
        <v>-44.331890909090916</v>
      </c>
      <c r="BN178" s="108">
        <v>-44.47294545454546</v>
      </c>
      <c r="BO178" s="108">
        <v>-44.622036363636362</v>
      </c>
      <c r="BP178" s="108">
        <v>-44.798024096385539</v>
      </c>
      <c r="BQ178" s="108">
        <v>-44.976909090909089</v>
      </c>
      <c r="BR178" s="108">
        <v>-45.159939393939396</v>
      </c>
      <c r="BS178" s="108">
        <v>-45.342969696969696</v>
      </c>
      <c r="BT178" s="108">
        <v>-45.525999999999996</v>
      </c>
    </row>
    <row r="179" spans="1:72" ht="21.75" thickBot="1" x14ac:dyDescent="0.4">
      <c r="A179" s="18" t="s">
        <v>67</v>
      </c>
      <c r="B179" s="35">
        <v>-21.479212121212122</v>
      </c>
      <c r="C179" s="35">
        <v>-21.178606060606061</v>
      </c>
      <c r="D179" s="108">
        <v>-20.990727272727273</v>
      </c>
      <c r="E179" s="108">
        <v>-20.913454545454545</v>
      </c>
      <c r="F179" s="108">
        <v>-20.884363636363634</v>
      </c>
      <c r="G179" s="108">
        <v>-20.938909090909089</v>
      </c>
      <c r="H179" s="108">
        <v>-21.016626506024096</v>
      </c>
      <c r="I179" s="108">
        <v>-21.125060240963855</v>
      </c>
      <c r="J179" s="108">
        <v>-21.247999999999998</v>
      </c>
      <c r="K179" s="108">
        <v>-21.377454545454544</v>
      </c>
      <c r="L179" s="108">
        <v>-21.522909090909092</v>
      </c>
      <c r="M179" s="108">
        <v>-21.663993948562783</v>
      </c>
      <c r="N179" s="108">
        <v>-21.800151285930408</v>
      </c>
      <c r="O179" s="108">
        <v>-21.936308623298036</v>
      </c>
      <c r="P179" s="108">
        <v>-22.07246596066566</v>
      </c>
      <c r="Q179" s="108">
        <v>-22.208623298033284</v>
      </c>
      <c r="R179" s="108">
        <v>-22.344780635400909</v>
      </c>
      <c r="S179" s="108">
        <v>-22.480937972768533</v>
      </c>
      <c r="T179" s="108">
        <v>-22.599030303030304</v>
      </c>
      <c r="U179" s="108">
        <v>-22.711636363636366</v>
      </c>
      <c r="V179" s="108">
        <v>-22.814666666666668</v>
      </c>
      <c r="W179" s="108">
        <v>-22.924484848484848</v>
      </c>
      <c r="X179" s="108">
        <v>-23.039636363636365</v>
      </c>
      <c r="Y179" s="108">
        <v>-23.165120481927712</v>
      </c>
      <c r="Z179" s="108">
        <v>-23.293333333333333</v>
      </c>
      <c r="AA179" s="108">
        <v>-23.426666666666666</v>
      </c>
      <c r="AB179" s="108">
        <v>-23.563636363636363</v>
      </c>
      <c r="AC179" s="108">
        <v>-23.703030303030303</v>
      </c>
      <c r="AD179" s="108">
        <v>-23.842424242424244</v>
      </c>
      <c r="AE179" s="108">
        <v>-23.983636363636364</v>
      </c>
      <c r="AF179" s="108">
        <v>-24.129090909090909</v>
      </c>
      <c r="AG179" s="108">
        <v>-24.270060240963854</v>
      </c>
      <c r="AH179" s="108">
        <v>-24.408614457831327</v>
      </c>
      <c r="AI179" s="108">
        <v>-24.553999999999998</v>
      </c>
      <c r="AJ179" s="108">
        <v>-24.697393939393937</v>
      </c>
      <c r="AK179" s="108">
        <v>-24.836787878787877</v>
      </c>
      <c r="AL179" s="108">
        <v>-24.976181818181818</v>
      </c>
      <c r="AM179" s="108">
        <v>-25.115333333333332</v>
      </c>
      <c r="AN179" s="108">
        <v>-25.248666666666665</v>
      </c>
      <c r="AO179" s="108">
        <v>-25.38403614457831</v>
      </c>
      <c r="AP179" s="108">
        <v>-25.522590361445783</v>
      </c>
      <c r="AQ179" s="108">
        <v>-25.657333333333334</v>
      </c>
      <c r="AR179" s="108">
        <v>-25.790666666666667</v>
      </c>
      <c r="AS179" s="108">
        <v>-25.923999999999999</v>
      </c>
      <c r="AT179" s="108">
        <v>-26.054727272727273</v>
      </c>
      <c r="AU179" s="108">
        <v>-26.181999999999999</v>
      </c>
      <c r="AV179" s="108">
        <v>-26.309272727272727</v>
      </c>
      <c r="AW179" s="108">
        <v>-26.435757575757577</v>
      </c>
      <c r="AX179" s="108">
        <v>-26.556969696969698</v>
      </c>
      <c r="AY179" s="108">
        <v>-26.677831325301206</v>
      </c>
      <c r="AZ179" s="108">
        <v>-26.798313253012051</v>
      </c>
      <c r="BA179" s="108">
        <v>-26.914424242424243</v>
      </c>
      <c r="BB179" s="108">
        <v>-27.02957575757576</v>
      </c>
      <c r="BC179" s="108">
        <v>-27.144727272727273</v>
      </c>
      <c r="BD179" s="108">
        <v>-27.256727272727272</v>
      </c>
      <c r="BE179" s="108">
        <v>-27.365818181818181</v>
      </c>
      <c r="BF179" s="108">
        <v>-27.480181818181819</v>
      </c>
      <c r="BG179" s="108">
        <v>-27.595180722891566</v>
      </c>
      <c r="BH179" s="108">
        <v>-27.70963855421687</v>
      </c>
      <c r="BI179" s="108">
        <v>-27.827878787878788</v>
      </c>
      <c r="BJ179" s="108">
        <v>-27.949090909090909</v>
      </c>
      <c r="BK179" s="108">
        <v>-28.064787878787879</v>
      </c>
      <c r="BL179" s="108">
        <v>-28.18151515151515</v>
      </c>
      <c r="BM179" s="108">
        <v>-28.302727272727275</v>
      </c>
      <c r="BN179" s="108">
        <v>-28.420242424242424</v>
      </c>
      <c r="BO179" s="108">
        <v>-28.535393939393938</v>
      </c>
      <c r="BP179" s="108">
        <v>-28.649879518072289</v>
      </c>
      <c r="BQ179" s="108">
        <v>-28.764545454545456</v>
      </c>
      <c r="BR179" s="108">
        <v>-28.879696969696973</v>
      </c>
      <c r="BS179" s="108">
        <v>-28.994848484848486</v>
      </c>
      <c r="BT179" s="108">
        <v>-29.11</v>
      </c>
    </row>
    <row r="180" spans="1:72" ht="21.75" thickBot="1" x14ac:dyDescent="0.4">
      <c r="A180" s="18" t="s">
        <v>68</v>
      </c>
      <c r="B180" s="35">
        <v>-21.479212121212122</v>
      </c>
      <c r="C180" s="35">
        <v>-21.178606060606061</v>
      </c>
      <c r="D180" s="108">
        <v>-20.990727272727273</v>
      </c>
      <c r="E180" s="108">
        <v>-20.913454545454545</v>
      </c>
      <c r="F180" s="108">
        <v>-20.884363636363634</v>
      </c>
      <c r="G180" s="108">
        <v>-20.938909090909089</v>
      </c>
      <c r="H180" s="108">
        <v>-21.016626506024096</v>
      </c>
      <c r="I180" s="108">
        <v>-21.125060240963855</v>
      </c>
      <c r="J180" s="108">
        <v>-21.247999999999998</v>
      </c>
      <c r="K180" s="108">
        <v>-21.377454545454544</v>
      </c>
      <c r="L180" s="108">
        <v>-21.522909090909092</v>
      </c>
      <c r="M180" s="108">
        <v>-21.663993948562783</v>
      </c>
      <c r="N180" s="108">
        <v>-21.800151285930408</v>
      </c>
      <c r="O180" s="108">
        <v>-21.936308623298036</v>
      </c>
      <c r="P180" s="108">
        <v>-22.07246596066566</v>
      </c>
      <c r="Q180" s="108">
        <v>-22.208623298033284</v>
      </c>
      <c r="R180" s="108">
        <v>-22.344780635400909</v>
      </c>
      <c r="S180" s="108">
        <v>-22.480937972768533</v>
      </c>
      <c r="T180" s="108">
        <v>-22.599030303030304</v>
      </c>
      <c r="U180" s="108">
        <v>-22.711636363636366</v>
      </c>
      <c r="V180" s="108">
        <v>-22.814666666666668</v>
      </c>
      <c r="W180" s="108">
        <v>-22.924484848484848</v>
      </c>
      <c r="X180" s="108">
        <v>-23.039636363636365</v>
      </c>
      <c r="Y180" s="108">
        <v>-23.165120481927712</v>
      </c>
      <c r="Z180" s="108">
        <v>-23.293333333333333</v>
      </c>
      <c r="AA180" s="108">
        <v>-23.426666666666666</v>
      </c>
      <c r="AB180" s="108">
        <v>-23.563636363636363</v>
      </c>
      <c r="AC180" s="108">
        <v>-23.703030303030303</v>
      </c>
      <c r="AD180" s="108">
        <v>-23.842424242424244</v>
      </c>
      <c r="AE180" s="108">
        <v>-23.983636363636364</v>
      </c>
      <c r="AF180" s="108">
        <v>-24.129090909090909</v>
      </c>
      <c r="AG180" s="108">
        <v>-24.270060240963854</v>
      </c>
      <c r="AH180" s="108">
        <v>-24.408614457831327</v>
      </c>
      <c r="AI180" s="108">
        <v>-24.553999999999998</v>
      </c>
      <c r="AJ180" s="108">
        <v>-24.697393939393937</v>
      </c>
      <c r="AK180" s="108">
        <v>-24.836787878787877</v>
      </c>
      <c r="AL180" s="108">
        <v>-24.976181818181818</v>
      </c>
      <c r="AM180" s="108">
        <v>-25.115333333333332</v>
      </c>
      <c r="AN180" s="108">
        <v>-25.248666666666665</v>
      </c>
      <c r="AO180" s="108">
        <v>-25.38403614457831</v>
      </c>
      <c r="AP180" s="108">
        <v>-25.522590361445783</v>
      </c>
      <c r="AQ180" s="108">
        <v>-25.657333333333334</v>
      </c>
      <c r="AR180" s="108">
        <v>-25.790666666666667</v>
      </c>
      <c r="AS180" s="108">
        <v>-25.923999999999999</v>
      </c>
      <c r="AT180" s="108">
        <v>-26.054727272727273</v>
      </c>
      <c r="AU180" s="108">
        <v>-26.181999999999999</v>
      </c>
      <c r="AV180" s="108">
        <v>-26.309272727272727</v>
      </c>
      <c r="AW180" s="108">
        <v>-26.435757575757577</v>
      </c>
      <c r="AX180" s="108">
        <v>-26.556969696969698</v>
      </c>
      <c r="AY180" s="108">
        <v>-26.677831325301206</v>
      </c>
      <c r="AZ180" s="108">
        <v>-26.798313253012051</v>
      </c>
      <c r="BA180" s="108">
        <v>-26.914424242424243</v>
      </c>
      <c r="BB180" s="108">
        <v>-27.02957575757576</v>
      </c>
      <c r="BC180" s="108">
        <v>-27.144727272727273</v>
      </c>
      <c r="BD180" s="108">
        <v>-27.256727272727272</v>
      </c>
      <c r="BE180" s="108">
        <v>-27.365818181818181</v>
      </c>
      <c r="BF180" s="108">
        <v>-27.480181818181819</v>
      </c>
      <c r="BG180" s="108">
        <v>-27.595180722891566</v>
      </c>
      <c r="BH180" s="108">
        <v>-27.70963855421687</v>
      </c>
      <c r="BI180" s="108">
        <v>-27.827878787878788</v>
      </c>
      <c r="BJ180" s="108">
        <v>-27.949090909090909</v>
      </c>
      <c r="BK180" s="108">
        <v>-28.064787878787879</v>
      </c>
      <c r="BL180" s="108">
        <v>-28.18151515151515</v>
      </c>
      <c r="BM180" s="108">
        <v>-28.302727272727275</v>
      </c>
      <c r="BN180" s="108">
        <v>-28.420242424242424</v>
      </c>
      <c r="BO180" s="108">
        <v>-28.535393939393938</v>
      </c>
      <c r="BP180" s="108">
        <v>-28.649879518072289</v>
      </c>
      <c r="BQ180" s="108">
        <v>-28.764545454545456</v>
      </c>
      <c r="BR180" s="108">
        <v>-28.879696969696973</v>
      </c>
      <c r="BS180" s="108">
        <v>-28.994848484848486</v>
      </c>
      <c r="BT180" s="108">
        <v>-29.11</v>
      </c>
    </row>
    <row r="181" spans="1:72" ht="21.75" thickBot="1" x14ac:dyDescent="0.4">
      <c r="A181" s="18" t="s">
        <v>63</v>
      </c>
      <c r="B181" s="35">
        <v>-21.479212121212122</v>
      </c>
      <c r="C181" s="35">
        <v>-21.178606060606061</v>
      </c>
      <c r="D181" s="108">
        <v>-20.990727272727273</v>
      </c>
      <c r="E181" s="108">
        <v>-20.913454545454545</v>
      </c>
      <c r="F181" s="108">
        <v>-20.884363636363634</v>
      </c>
      <c r="G181" s="108">
        <v>-20.938909090909089</v>
      </c>
      <c r="H181" s="108">
        <v>-21.016626506024096</v>
      </c>
      <c r="I181" s="108">
        <v>-21.125060240963855</v>
      </c>
      <c r="J181" s="108">
        <v>-21.247999999999998</v>
      </c>
      <c r="K181" s="108">
        <v>-21.377454545454544</v>
      </c>
      <c r="L181" s="108">
        <v>-21.522909090909092</v>
      </c>
      <c r="M181" s="108">
        <v>-21.663993948562783</v>
      </c>
      <c r="N181" s="108">
        <v>-21.800151285930408</v>
      </c>
      <c r="O181" s="108">
        <v>-21.936308623298036</v>
      </c>
      <c r="P181" s="108">
        <v>-22.07246596066566</v>
      </c>
      <c r="Q181" s="108">
        <v>-22.208623298033284</v>
      </c>
      <c r="R181" s="108">
        <v>-22.344780635400909</v>
      </c>
      <c r="S181" s="108">
        <v>-22.480937972768533</v>
      </c>
      <c r="T181" s="108">
        <v>-22.599030303030304</v>
      </c>
      <c r="U181" s="108">
        <v>-22.711636363636366</v>
      </c>
      <c r="V181" s="108">
        <v>-22.814666666666668</v>
      </c>
      <c r="W181" s="108">
        <v>-22.924484848484848</v>
      </c>
      <c r="X181" s="108">
        <v>-23.039636363636365</v>
      </c>
      <c r="Y181" s="108">
        <v>-23.165120481927712</v>
      </c>
      <c r="Z181" s="108">
        <v>-23.293333333333333</v>
      </c>
      <c r="AA181" s="108">
        <v>-23.426666666666666</v>
      </c>
      <c r="AB181" s="108">
        <v>-23.563636363636363</v>
      </c>
      <c r="AC181" s="108">
        <v>-23.703030303030303</v>
      </c>
      <c r="AD181" s="108">
        <v>-23.842424242424244</v>
      </c>
      <c r="AE181" s="108">
        <v>-23.983636363636364</v>
      </c>
      <c r="AF181" s="108">
        <v>-24.129090909090909</v>
      </c>
      <c r="AG181" s="108">
        <v>-24.270060240963854</v>
      </c>
      <c r="AH181" s="108">
        <v>-24.408614457831327</v>
      </c>
      <c r="AI181" s="108">
        <v>-24.553999999999998</v>
      </c>
      <c r="AJ181" s="108">
        <v>-24.697393939393937</v>
      </c>
      <c r="AK181" s="108">
        <v>-24.836787878787877</v>
      </c>
      <c r="AL181" s="108">
        <v>-24.976181818181818</v>
      </c>
      <c r="AM181" s="108">
        <v>-25.115333333333332</v>
      </c>
      <c r="AN181" s="108">
        <v>-25.248666666666665</v>
      </c>
      <c r="AO181" s="108">
        <v>-25.38403614457831</v>
      </c>
      <c r="AP181" s="108">
        <v>-25.522590361445783</v>
      </c>
      <c r="AQ181" s="108">
        <v>-25.657333333333334</v>
      </c>
      <c r="AR181" s="108">
        <v>-25.790666666666667</v>
      </c>
      <c r="AS181" s="108">
        <v>-25.923999999999999</v>
      </c>
      <c r="AT181" s="108">
        <v>-26.054727272727273</v>
      </c>
      <c r="AU181" s="108">
        <v>-26.181999999999999</v>
      </c>
      <c r="AV181" s="108">
        <v>-26.309272727272727</v>
      </c>
      <c r="AW181" s="108">
        <v>-26.435757575757577</v>
      </c>
      <c r="AX181" s="108">
        <v>-26.556969696969698</v>
      </c>
      <c r="AY181" s="108">
        <v>-26.677831325301206</v>
      </c>
      <c r="AZ181" s="108">
        <v>-26.798313253012051</v>
      </c>
      <c r="BA181" s="108">
        <v>-26.914424242424243</v>
      </c>
      <c r="BB181" s="108">
        <v>-27.02957575757576</v>
      </c>
      <c r="BC181" s="108">
        <v>-27.144727272727273</v>
      </c>
      <c r="BD181" s="108">
        <v>-27.256727272727272</v>
      </c>
      <c r="BE181" s="108">
        <v>-27.365818181818181</v>
      </c>
      <c r="BF181" s="108">
        <v>-27.480181818181819</v>
      </c>
      <c r="BG181" s="108">
        <v>-27.595180722891566</v>
      </c>
      <c r="BH181" s="108">
        <v>-27.70963855421687</v>
      </c>
      <c r="BI181" s="108">
        <v>-27.827878787878788</v>
      </c>
      <c r="BJ181" s="108">
        <v>-27.949090909090909</v>
      </c>
      <c r="BK181" s="108">
        <v>-28.064787878787879</v>
      </c>
      <c r="BL181" s="108">
        <v>-28.18151515151515</v>
      </c>
      <c r="BM181" s="108">
        <v>-28.302727272727275</v>
      </c>
      <c r="BN181" s="108">
        <v>-28.420242424242424</v>
      </c>
      <c r="BO181" s="108">
        <v>-28.535393939393938</v>
      </c>
      <c r="BP181" s="108">
        <v>-28.649879518072289</v>
      </c>
      <c r="BQ181" s="108">
        <v>-28.764545454545456</v>
      </c>
      <c r="BR181" s="108">
        <v>-28.879696969696973</v>
      </c>
      <c r="BS181" s="108">
        <v>-28.994848484848486</v>
      </c>
      <c r="BT181" s="108">
        <v>-29.11</v>
      </c>
    </row>
    <row r="182" spans="1:72" ht="21.75" thickBot="1" x14ac:dyDescent="0.4">
      <c r="A182" s="18" t="s">
        <v>60</v>
      </c>
      <c r="B182" s="35">
        <v>-21.479212121212122</v>
      </c>
      <c r="C182" s="35">
        <v>-21.178606060606061</v>
      </c>
      <c r="D182" s="108">
        <v>-20.990727272727273</v>
      </c>
      <c r="E182" s="108">
        <v>-20.913454545454545</v>
      </c>
      <c r="F182" s="108">
        <v>-20.884363636363634</v>
      </c>
      <c r="G182" s="108">
        <v>-20.938909090909089</v>
      </c>
      <c r="H182" s="108">
        <v>-21.016626506024096</v>
      </c>
      <c r="I182" s="108">
        <v>-21.125060240963855</v>
      </c>
      <c r="J182" s="108">
        <v>-21.247999999999998</v>
      </c>
      <c r="K182" s="108">
        <v>-21.377454545454544</v>
      </c>
      <c r="L182" s="108">
        <v>-21.522909090909092</v>
      </c>
      <c r="M182" s="108">
        <v>-21.663993948562783</v>
      </c>
      <c r="N182" s="108">
        <v>-21.800151285930408</v>
      </c>
      <c r="O182" s="108">
        <v>-21.936308623298036</v>
      </c>
      <c r="P182" s="108">
        <v>-22.07246596066566</v>
      </c>
      <c r="Q182" s="108">
        <v>-22.208623298033284</v>
      </c>
      <c r="R182" s="108">
        <v>-22.344780635400909</v>
      </c>
      <c r="S182" s="108">
        <v>-22.480937972768533</v>
      </c>
      <c r="T182" s="108">
        <v>-22.599030303030304</v>
      </c>
      <c r="U182" s="108">
        <v>-22.711636363636366</v>
      </c>
      <c r="V182" s="108">
        <v>-22.814666666666668</v>
      </c>
      <c r="W182" s="108">
        <v>-22.924484848484848</v>
      </c>
      <c r="X182" s="108">
        <v>-23.039636363636365</v>
      </c>
      <c r="Y182" s="108">
        <v>-23.165120481927712</v>
      </c>
      <c r="Z182" s="108">
        <v>-23.293333333333333</v>
      </c>
      <c r="AA182" s="108">
        <v>-23.426666666666666</v>
      </c>
      <c r="AB182" s="108">
        <v>-23.563636363636363</v>
      </c>
      <c r="AC182" s="108">
        <v>-23.703030303030303</v>
      </c>
      <c r="AD182" s="108">
        <v>-23.842424242424244</v>
      </c>
      <c r="AE182" s="108">
        <v>-23.983636363636364</v>
      </c>
      <c r="AF182" s="108">
        <v>-24.129090909090909</v>
      </c>
      <c r="AG182" s="108">
        <v>-24.270060240963854</v>
      </c>
      <c r="AH182" s="108">
        <v>-24.408614457831327</v>
      </c>
      <c r="AI182" s="108">
        <v>-24.553999999999998</v>
      </c>
      <c r="AJ182" s="108">
        <v>-24.697393939393937</v>
      </c>
      <c r="AK182" s="108">
        <v>-24.836787878787877</v>
      </c>
      <c r="AL182" s="108">
        <v>-24.976181818181818</v>
      </c>
      <c r="AM182" s="108">
        <v>-25.115333333333332</v>
      </c>
      <c r="AN182" s="108">
        <v>-25.248666666666665</v>
      </c>
      <c r="AO182" s="108">
        <v>-25.38403614457831</v>
      </c>
      <c r="AP182" s="108">
        <v>-25.522590361445783</v>
      </c>
      <c r="AQ182" s="108">
        <v>-25.657333333333334</v>
      </c>
      <c r="AR182" s="108">
        <v>-25.790666666666667</v>
      </c>
      <c r="AS182" s="108">
        <v>-25.923999999999999</v>
      </c>
      <c r="AT182" s="108">
        <v>-26.054727272727273</v>
      </c>
      <c r="AU182" s="108">
        <v>-26.181999999999999</v>
      </c>
      <c r="AV182" s="108">
        <v>-26.309272727272727</v>
      </c>
      <c r="AW182" s="108">
        <v>-26.435757575757577</v>
      </c>
      <c r="AX182" s="108">
        <v>-26.556969696969698</v>
      </c>
      <c r="AY182" s="108">
        <v>-26.677831325301206</v>
      </c>
      <c r="AZ182" s="108">
        <v>-26.798313253012051</v>
      </c>
      <c r="BA182" s="108">
        <v>-26.914424242424243</v>
      </c>
      <c r="BB182" s="108">
        <v>-27.02957575757576</v>
      </c>
      <c r="BC182" s="108">
        <v>-27.144727272727273</v>
      </c>
      <c r="BD182" s="108">
        <v>-27.256727272727272</v>
      </c>
      <c r="BE182" s="108">
        <v>-27.365818181818181</v>
      </c>
      <c r="BF182" s="108">
        <v>-27.480181818181819</v>
      </c>
      <c r="BG182" s="108">
        <v>-27.595180722891566</v>
      </c>
      <c r="BH182" s="108">
        <v>-27.70963855421687</v>
      </c>
      <c r="BI182" s="108">
        <v>-27.827878787878788</v>
      </c>
      <c r="BJ182" s="108">
        <v>-27.949090909090909</v>
      </c>
      <c r="BK182" s="108">
        <v>-28.064787878787879</v>
      </c>
      <c r="BL182" s="108">
        <v>-28.18151515151515</v>
      </c>
      <c r="BM182" s="108">
        <v>-28.302727272727275</v>
      </c>
      <c r="BN182" s="108">
        <v>-28.420242424242424</v>
      </c>
      <c r="BO182" s="108">
        <v>-28.535393939393938</v>
      </c>
      <c r="BP182" s="108">
        <v>-28.649879518072289</v>
      </c>
      <c r="BQ182" s="108">
        <v>-28.764545454545456</v>
      </c>
      <c r="BR182" s="108">
        <v>-28.879696969696973</v>
      </c>
      <c r="BS182" s="108">
        <v>-28.994848484848486</v>
      </c>
      <c r="BT182" s="108">
        <v>-29.11</v>
      </c>
    </row>
    <row r="183" spans="1:72" ht="21.75" thickBot="1" x14ac:dyDescent="0.4">
      <c r="A183" s="18" t="s">
        <v>64</v>
      </c>
      <c r="B183" s="35">
        <v>-61.077757575757573</v>
      </c>
      <c r="C183" s="35">
        <v>-58.87860606060606</v>
      </c>
      <c r="D183" s="108">
        <v>-56.690727272727273</v>
      </c>
      <c r="E183" s="108">
        <v>-54.524969696969691</v>
      </c>
      <c r="F183" s="108">
        <v>-52.372727272727268</v>
      </c>
      <c r="G183" s="108">
        <v>-50.281818181818181</v>
      </c>
      <c r="H183" s="108">
        <v>-48.245542168674703</v>
      </c>
      <c r="I183" s="108">
        <v>-46.281686746987951</v>
      </c>
      <c r="J183" s="108">
        <v>-44.402000000000001</v>
      </c>
      <c r="K183" s="108">
        <v>-42.56272727272728</v>
      </c>
      <c r="L183" s="108">
        <v>-40.835454545454553</v>
      </c>
      <c r="M183" s="108">
        <v>-39.252329803328294</v>
      </c>
      <c r="N183" s="108">
        <v>-37.83175491679274</v>
      </c>
      <c r="O183" s="108">
        <v>-36.411180030257185</v>
      </c>
      <c r="P183" s="108">
        <v>-34.990605143721638</v>
      </c>
      <c r="Q183" s="108">
        <v>-33.570030257186083</v>
      </c>
      <c r="R183" s="108">
        <v>-32.149455370650529</v>
      </c>
      <c r="S183" s="108">
        <v>-30.728880484114974</v>
      </c>
      <c r="T183" s="108">
        <v>-29.565757575757573</v>
      </c>
      <c r="U183" s="108">
        <v>-28.462363636363634</v>
      </c>
      <c r="V183" s="108">
        <v>-27.425999999999995</v>
      </c>
      <c r="W183" s="108">
        <v>-26.420181818181817</v>
      </c>
      <c r="X183" s="108">
        <v>-25.438363636363636</v>
      </c>
      <c r="Y183" s="108">
        <v>-24.511265060240962</v>
      </c>
      <c r="Z183" s="108">
        <v>-23.600303030303031</v>
      </c>
      <c r="AA183" s="108">
        <v>-22.721515151515153</v>
      </c>
      <c r="AB183" s="108">
        <v>-21.882727272727273</v>
      </c>
      <c r="AC183" s="108">
        <v>-21.07060606060606</v>
      </c>
      <c r="AD183" s="108">
        <v>-20.321818181818184</v>
      </c>
      <c r="AE183" s="108">
        <v>-19.592727272727274</v>
      </c>
      <c r="AF183" s="108">
        <v>-18.901818181818182</v>
      </c>
      <c r="AG183" s="108">
        <v>-18.248855421686748</v>
      </c>
      <c r="AH183" s="108">
        <v>-17.616325301204821</v>
      </c>
      <c r="AI183" s="108">
        <v>-17.022000000000002</v>
      </c>
      <c r="AJ183" s="108">
        <v>-16.440424242424243</v>
      </c>
      <c r="AK183" s="108">
        <v>-15.882848484848486</v>
      </c>
      <c r="AL183" s="108">
        <v>-15.342000000000002</v>
      </c>
      <c r="AM183" s="108">
        <v>-14.809878787878789</v>
      </c>
      <c r="AN183" s="108">
        <v>-14.306848484848485</v>
      </c>
      <c r="AO183" s="108">
        <v>-13.814397590361446</v>
      </c>
      <c r="AP183" s="108">
        <v>-13.338493975903617</v>
      </c>
      <c r="AQ183" s="108">
        <v>-12.873757575757578</v>
      </c>
      <c r="AR183" s="108">
        <v>-12.415575757575759</v>
      </c>
      <c r="AS183" s="108">
        <v>-11.985272727272729</v>
      </c>
      <c r="AT183" s="108">
        <v>-11.562787878787882</v>
      </c>
      <c r="AU183" s="108">
        <v>-11.15066666666667</v>
      </c>
      <c r="AV183" s="108">
        <v>-10.766909090909092</v>
      </c>
      <c r="AW183" s="108">
        <v>-10.395327272727274</v>
      </c>
      <c r="AX183" s="108">
        <v>-10.05169090909091</v>
      </c>
      <c r="AY183" s="108">
        <v>-9.7289999999999992</v>
      </c>
      <c r="AZ183" s="108">
        <v>-9.4289999999999985</v>
      </c>
      <c r="BA183" s="108">
        <v>-9.1657757575757568</v>
      </c>
      <c r="BB183" s="108">
        <v>-8.9189696969696968</v>
      </c>
      <c r="BC183" s="108">
        <v>-8.7129090909090898</v>
      </c>
      <c r="BD183" s="108">
        <v>-8.5336363636363632</v>
      </c>
      <c r="BE183" s="108">
        <v>-8.3790909090909089</v>
      </c>
      <c r="BF183" s="108">
        <v>-8.267254545454545</v>
      </c>
      <c r="BG183" s="108">
        <v>-8.1710843373493969</v>
      </c>
      <c r="BH183" s="108">
        <v>-8.1078313253012055</v>
      </c>
      <c r="BI183" s="108">
        <v>-8.0620121212121205</v>
      </c>
      <c r="BJ183" s="108">
        <v>-8.0298909090909092</v>
      </c>
      <c r="BK183" s="108">
        <v>-8.0176242424242421</v>
      </c>
      <c r="BL183" s="108">
        <v>-8.010945454545455</v>
      </c>
      <c r="BM183" s="108">
        <v>-8.0145818181818189</v>
      </c>
      <c r="BN183" s="108">
        <v>-8.0263515151515161</v>
      </c>
      <c r="BO183" s="108">
        <v>-8.0433212121212119</v>
      </c>
      <c r="BP183" s="108">
        <v>-8.0740722891566268</v>
      </c>
      <c r="BQ183" s="108">
        <v>-8.1061818181818186</v>
      </c>
      <c r="BR183" s="108">
        <v>-8.1401212121212119</v>
      </c>
      <c r="BS183" s="108">
        <v>-8.1740606060606051</v>
      </c>
      <c r="BT183" s="108">
        <v>-8.2080000000000002</v>
      </c>
    </row>
    <row r="184" spans="1:72" ht="21.75" thickBot="1" x14ac:dyDescent="0.4">
      <c r="A184" s="18" t="s">
        <v>65</v>
      </c>
      <c r="B184" s="35">
        <v>-17.144545454545455</v>
      </c>
      <c r="C184" s="35">
        <v>-16.478242424242424</v>
      </c>
      <c r="D184" s="108">
        <v>-15.763090909090909</v>
      </c>
      <c r="E184" s="108">
        <v>-15.016969696969696</v>
      </c>
      <c r="F184" s="108">
        <v>-14.259878787878787</v>
      </c>
      <c r="G184" s="108">
        <v>-13.508363636363637</v>
      </c>
      <c r="H184" s="108">
        <v>-12.771746987951808</v>
      </c>
      <c r="I184" s="108">
        <v>-12.054879518072291</v>
      </c>
      <c r="J184" s="108">
        <v>-11.367333333333335</v>
      </c>
      <c r="K184" s="108">
        <v>-10.694654545454545</v>
      </c>
      <c r="L184" s="108">
        <v>-10.066775757575758</v>
      </c>
      <c r="M184" s="108">
        <v>-9.50184417549168</v>
      </c>
      <c r="N184" s="108">
        <v>-9.007895612708019</v>
      </c>
      <c r="O184" s="108">
        <v>-8.5139470499243579</v>
      </c>
      <c r="P184" s="108">
        <v>-8.0199984871406951</v>
      </c>
      <c r="Q184" s="108">
        <v>-7.526049924357034</v>
      </c>
      <c r="R184" s="108">
        <v>-7.032101361573373</v>
      </c>
      <c r="S184" s="108">
        <v>-6.5381527987897119</v>
      </c>
      <c r="T184" s="108">
        <v>-6.2250727272727273</v>
      </c>
      <c r="U184" s="108">
        <v>-5.9639636363636361</v>
      </c>
      <c r="V184" s="108">
        <v>-5.7875999999999994</v>
      </c>
      <c r="W184" s="108">
        <v>-5.6597696969696969</v>
      </c>
      <c r="X184" s="108">
        <v>-5.5700727272727271</v>
      </c>
      <c r="Y184" s="108">
        <v>-5.5351385542168678</v>
      </c>
      <c r="Z184" s="108">
        <v>-5.5146666666666668</v>
      </c>
      <c r="AA184" s="108">
        <v>-5.5213333333333336</v>
      </c>
      <c r="AB184" s="108">
        <v>-5.5396363636363635</v>
      </c>
      <c r="AC184" s="108">
        <v>-5.5656969696969698</v>
      </c>
      <c r="AD184" s="108">
        <v>-5.5992424242424246</v>
      </c>
      <c r="AE184" s="108">
        <v>-5.6331818181818187</v>
      </c>
      <c r="AF184" s="108">
        <v>-5.667121212121212</v>
      </c>
      <c r="AG184" s="108">
        <v>-5.6993614457831328</v>
      </c>
      <c r="AH184" s="108">
        <v>-5.7306867469879519</v>
      </c>
      <c r="AI184" s="108">
        <v>-5.7591999999999999</v>
      </c>
      <c r="AJ184" s="108">
        <v>-5.7872727272727271</v>
      </c>
      <c r="AK184" s="108">
        <v>-5.8145454545454545</v>
      </c>
      <c r="AL184" s="108">
        <v>-5.8405636363636368</v>
      </c>
      <c r="AM184" s="108">
        <v>-5.8660181818181822</v>
      </c>
      <c r="AN184" s="108">
        <v>-5.8914727272727276</v>
      </c>
      <c r="AO184" s="108">
        <v>-5.9168674698795183</v>
      </c>
      <c r="AP184" s="108">
        <v>-5.9421686746987952</v>
      </c>
      <c r="AQ184" s="108">
        <v>-5.9671393939393935</v>
      </c>
      <c r="AR184" s="108">
        <v>-5.9920363636363634</v>
      </c>
      <c r="AS184" s="108">
        <v>-6.0174909090909088</v>
      </c>
      <c r="AT184" s="108">
        <v>-6.0432060606060602</v>
      </c>
      <c r="AU184" s="108">
        <v>-6.0692666666666666</v>
      </c>
      <c r="AV184" s="108">
        <v>-6.0962727272727273</v>
      </c>
      <c r="AW184" s="108">
        <v>-6.1238606060606058</v>
      </c>
      <c r="AX184" s="108">
        <v>-6.1535575757575751</v>
      </c>
      <c r="AY184" s="108">
        <v>-6.1849036144578307</v>
      </c>
      <c r="AZ184" s="108">
        <v>-6.2180361445783134</v>
      </c>
      <c r="BA184" s="108">
        <v>-6.2543151515151516</v>
      </c>
      <c r="BB184" s="108">
        <v>-6.2918000000000003</v>
      </c>
      <c r="BC184" s="108">
        <v>-6.3318000000000003</v>
      </c>
      <c r="BD184" s="108">
        <v>-6.3730606060606068</v>
      </c>
      <c r="BE184" s="108">
        <v>-6.4154848484848488</v>
      </c>
      <c r="BF184" s="108">
        <v>-6.457381818181819</v>
      </c>
      <c r="BG184" s="108">
        <v>-6.4983493975903617</v>
      </c>
      <c r="BH184" s="108">
        <v>-6.536301204819277</v>
      </c>
      <c r="BI184" s="108">
        <v>-6.5720060606060606</v>
      </c>
      <c r="BJ184" s="108">
        <v>-6.6059454545454548</v>
      </c>
      <c r="BK184" s="108">
        <v>-6.6360242424242424</v>
      </c>
      <c r="BL184" s="108">
        <v>-6.6649333333333338</v>
      </c>
      <c r="BM184" s="108">
        <v>-6.6916000000000002</v>
      </c>
      <c r="BN184" s="108">
        <v>-6.716787878787879</v>
      </c>
      <c r="BO184" s="108">
        <v>-6.7410303030303034</v>
      </c>
      <c r="BP184" s="108">
        <v>-6.7622409638554215</v>
      </c>
      <c r="BQ184" s="108">
        <v>-6.7831818181818182</v>
      </c>
      <c r="BR184" s="108">
        <v>-6.8037878787878787</v>
      </c>
      <c r="BS184" s="108">
        <v>-6.8243939393939392</v>
      </c>
      <c r="BT184" s="108">
        <v>-6.8449999999999998</v>
      </c>
    </row>
    <row r="185" spans="1:72" ht="21.75" thickBot="1" x14ac:dyDescent="0.4">
      <c r="A185" s="18" t="s">
        <v>66</v>
      </c>
      <c r="B185" s="35">
        <v>-38.623757575757573</v>
      </c>
      <c r="C185" s="35">
        <v>-37.656848484848481</v>
      </c>
      <c r="D185" s="108">
        <v>-36.753818181818183</v>
      </c>
      <c r="E185" s="108">
        <v>-35.930424242424245</v>
      </c>
      <c r="F185" s="108">
        <v>-35.144242424242428</v>
      </c>
      <c r="G185" s="108">
        <v>-34.447272727272725</v>
      </c>
      <c r="H185" s="108">
        <v>-33.788373493975904</v>
      </c>
      <c r="I185" s="108">
        <v>-33.179939759036145</v>
      </c>
      <c r="J185" s="108">
        <v>-32.615333333333332</v>
      </c>
      <c r="K185" s="108">
        <v>-32.072109090909088</v>
      </c>
      <c r="L185" s="108">
        <v>-31.58968484848485</v>
      </c>
      <c r="M185" s="108">
        <v>-31.165838124054467</v>
      </c>
      <c r="N185" s="108">
        <v>-30.80804689863843</v>
      </c>
      <c r="O185" s="108">
        <v>-30.450255673222394</v>
      </c>
      <c r="P185" s="108">
        <v>-30.092464447806357</v>
      </c>
      <c r="Q185" s="108">
        <v>-29.73467322239032</v>
      </c>
      <c r="R185" s="108">
        <v>-29.376881996974284</v>
      </c>
      <c r="S185" s="108">
        <v>-29.019090771558247</v>
      </c>
      <c r="T185" s="108">
        <v>-28.824103030303032</v>
      </c>
      <c r="U185" s="108">
        <v>-28.675600000000003</v>
      </c>
      <c r="V185" s="108">
        <v>-28.602266666666669</v>
      </c>
      <c r="W185" s="108">
        <v>-28.584254545454545</v>
      </c>
      <c r="X185" s="108">
        <v>-28.609709090909092</v>
      </c>
      <c r="Y185" s="108">
        <v>-28.70025903614458</v>
      </c>
      <c r="Z185" s="108">
        <v>-28.808000000000003</v>
      </c>
      <c r="AA185" s="108">
        <v>-28.948</v>
      </c>
      <c r="AB185" s="108">
        <v>-29.103272727272728</v>
      </c>
      <c r="AC185" s="108">
        <v>-29.268727272727272</v>
      </c>
      <c r="AD185" s="108">
        <v>-29.44166666666667</v>
      </c>
      <c r="AE185" s="108">
        <v>-29.616818181818186</v>
      </c>
      <c r="AF185" s="108">
        <v>-29.796212121212122</v>
      </c>
      <c r="AG185" s="108">
        <v>-29.969421686746987</v>
      </c>
      <c r="AH185" s="108">
        <v>-30.139301204819276</v>
      </c>
      <c r="AI185" s="108">
        <v>-30.313199999999998</v>
      </c>
      <c r="AJ185" s="108">
        <v>-30.484666666666666</v>
      </c>
      <c r="AK185" s="108">
        <v>-30.651333333333334</v>
      </c>
      <c r="AL185" s="108">
        <v>-30.816745454545455</v>
      </c>
      <c r="AM185" s="108">
        <v>-30.981351515151516</v>
      </c>
      <c r="AN185" s="108">
        <v>-31.140139393939393</v>
      </c>
      <c r="AO185" s="108">
        <v>-31.30090361445783</v>
      </c>
      <c r="AP185" s="108">
        <v>-31.464759036144578</v>
      </c>
      <c r="AQ185" s="108">
        <v>-31.624472727272728</v>
      </c>
      <c r="AR185" s="108">
        <v>-31.782703030303033</v>
      </c>
      <c r="AS185" s="108">
        <v>-31.941490909090906</v>
      </c>
      <c r="AT185" s="108">
        <v>-32.09793333333333</v>
      </c>
      <c r="AU185" s="108">
        <v>-32.251266666666666</v>
      </c>
      <c r="AV185" s="108">
        <v>-32.405545454545454</v>
      </c>
      <c r="AW185" s="108">
        <v>-32.55961818181818</v>
      </c>
      <c r="AX185" s="108">
        <v>-32.710527272727276</v>
      </c>
      <c r="AY185" s="108">
        <v>-32.862734939759036</v>
      </c>
      <c r="AZ185" s="108">
        <v>-33.016349397590361</v>
      </c>
      <c r="BA185" s="108">
        <v>-33.168739393939397</v>
      </c>
      <c r="BB185" s="108">
        <v>-33.321375757575758</v>
      </c>
      <c r="BC185" s="108">
        <v>-33.476527272727274</v>
      </c>
      <c r="BD185" s="108">
        <v>-33.62978787878788</v>
      </c>
      <c r="BE185" s="108">
        <v>-33.781303030303036</v>
      </c>
      <c r="BF185" s="108">
        <v>-33.937563636363642</v>
      </c>
      <c r="BG185" s="108">
        <v>-34.09353012048193</v>
      </c>
      <c r="BH185" s="108">
        <v>-34.245939759036148</v>
      </c>
      <c r="BI185" s="108">
        <v>-34.399884848484852</v>
      </c>
      <c r="BJ185" s="108">
        <v>-34.555036363636368</v>
      </c>
      <c r="BK185" s="108">
        <v>-34.700812121212124</v>
      </c>
      <c r="BL185" s="108">
        <v>-34.846448484848487</v>
      </c>
      <c r="BM185" s="108">
        <v>-34.994327272727276</v>
      </c>
      <c r="BN185" s="108">
        <v>-35.137030303030301</v>
      </c>
      <c r="BO185" s="108">
        <v>-35.276424242424241</v>
      </c>
      <c r="BP185" s="108">
        <v>-35.412120481927708</v>
      </c>
      <c r="BQ185" s="108">
        <v>-35.547727272727272</v>
      </c>
      <c r="BR185" s="108">
        <v>-35.683484848484852</v>
      </c>
      <c r="BS185" s="108">
        <v>-35.819242424242425</v>
      </c>
      <c r="BT185" s="108">
        <v>-35.954999999999998</v>
      </c>
    </row>
    <row r="186" spans="1:72" ht="21.75" thickBot="1" x14ac:dyDescent="0.4">
      <c r="A186" s="18" t="s">
        <v>26</v>
      </c>
      <c r="B186" s="35">
        <v>-18.858727272727272</v>
      </c>
      <c r="C186" s="35">
        <v>-18.879212121212124</v>
      </c>
      <c r="D186" s="108">
        <v>-18.903454545454547</v>
      </c>
      <c r="E186" s="108">
        <v>-18.932121212121213</v>
      </c>
      <c r="F186" s="108">
        <v>-18.961939393939396</v>
      </c>
      <c r="G186" s="108">
        <v>-18.986181818181819</v>
      </c>
      <c r="H186" s="108">
        <v>-19.00777108433735</v>
      </c>
      <c r="I186" s="108">
        <v>-19.025843373493977</v>
      </c>
      <c r="J186" s="108">
        <v>-19.039333333333335</v>
      </c>
      <c r="K186" s="108">
        <v>-19.052181818181818</v>
      </c>
      <c r="L186" s="108">
        <v>-19.070363636363634</v>
      </c>
      <c r="M186" s="108">
        <v>-19.082844175491676</v>
      </c>
      <c r="N186" s="108">
        <v>-19.088895612708018</v>
      </c>
      <c r="O186" s="108">
        <v>-19.094947049924357</v>
      </c>
      <c r="P186" s="108">
        <v>-19.100998487140696</v>
      </c>
      <c r="Q186" s="108">
        <v>-19.107049924357035</v>
      </c>
      <c r="R186" s="108">
        <v>-19.113101361573374</v>
      </c>
      <c r="S186" s="108">
        <v>-19.119152798789713</v>
      </c>
      <c r="T186" s="108">
        <v>-19.104363636363637</v>
      </c>
      <c r="U186" s="108">
        <v>-19.08490909090909</v>
      </c>
      <c r="V186" s="108">
        <v>-19.060666666666666</v>
      </c>
      <c r="W186" s="108">
        <v>-19.03981818181818</v>
      </c>
      <c r="X186" s="108">
        <v>-19.021636363636365</v>
      </c>
      <c r="Y186" s="108">
        <v>-19.02</v>
      </c>
      <c r="Z186" s="108">
        <v>-19.02151515151515</v>
      </c>
      <c r="AA186" s="108">
        <v>-19.027575757575757</v>
      </c>
      <c r="AB186" s="108">
        <v>-19.037272727272729</v>
      </c>
      <c r="AC186" s="108">
        <v>-19.049393939393941</v>
      </c>
      <c r="AD186" s="108">
        <v>-19.067272727272726</v>
      </c>
      <c r="AE186" s="108">
        <v>-19.085454545454542</v>
      </c>
      <c r="AF186" s="108">
        <v>-19.103636363636362</v>
      </c>
      <c r="AG186" s="108">
        <v>-19.125662650602408</v>
      </c>
      <c r="AH186" s="108">
        <v>-19.149759036144577</v>
      </c>
      <c r="AI186" s="108">
        <v>-19.167999999999999</v>
      </c>
      <c r="AJ186" s="108">
        <v>-19.186181818181819</v>
      </c>
      <c r="AK186" s="108">
        <v>-19.204363636363638</v>
      </c>
      <c r="AL186" s="108">
        <v>-19.226727272727274</v>
      </c>
      <c r="AM186" s="108">
        <v>-19.250727272727271</v>
      </c>
      <c r="AN186" s="108">
        <v>-19.268909090909091</v>
      </c>
      <c r="AO186" s="108">
        <v>-19.289397590361446</v>
      </c>
      <c r="AP186" s="108">
        <v>-19.313493975903615</v>
      </c>
      <c r="AQ186" s="108">
        <v>-19.333272727272728</v>
      </c>
      <c r="AR186" s="108">
        <v>-19.351454545454548</v>
      </c>
      <c r="AS186" s="108">
        <v>-19.369636363636364</v>
      </c>
      <c r="AT186" s="108">
        <v>-19.390424242424242</v>
      </c>
      <c r="AU186" s="108">
        <v>-19.414666666666669</v>
      </c>
      <c r="AV186" s="108">
        <v>-19.43418181818182</v>
      </c>
      <c r="AW186" s="108">
        <v>-19.452363636363636</v>
      </c>
      <c r="AX186" s="108">
        <v>-19.470545454545455</v>
      </c>
      <c r="AY186" s="108">
        <v>-19.488674698795183</v>
      </c>
      <c r="AZ186" s="108">
        <v>-19.506746987951807</v>
      </c>
      <c r="BA186" s="108">
        <v>-19.52987878787879</v>
      </c>
      <c r="BB186" s="108">
        <v>-19.553090909090908</v>
      </c>
      <c r="BC186" s="108">
        <v>-19.571272727272728</v>
      </c>
      <c r="BD186" s="108">
        <v>-19.589454545454544</v>
      </c>
      <c r="BE186" s="108">
        <v>-19.607636363636363</v>
      </c>
      <c r="BF186" s="108">
        <v>-19.625818181818182</v>
      </c>
      <c r="BG186" s="108">
        <v>-19.643975903614457</v>
      </c>
      <c r="BH186" s="108">
        <v>-19.662048192771085</v>
      </c>
      <c r="BI186" s="108">
        <v>-19.680181818181818</v>
      </c>
      <c r="BJ186" s="108">
        <v>-19.698363636363634</v>
      </c>
      <c r="BK186" s="108">
        <v>-19.716545454545454</v>
      </c>
      <c r="BL186" s="108">
        <v>-19.734727272727273</v>
      </c>
      <c r="BM186" s="108">
        <v>-19.752909090909093</v>
      </c>
      <c r="BN186" s="108">
        <v>-19.771090909090908</v>
      </c>
      <c r="BO186" s="108">
        <v>-19.789272727272728</v>
      </c>
      <c r="BP186" s="108">
        <v>-19.807349397590361</v>
      </c>
      <c r="BQ186" s="108">
        <v>-19.825454545454544</v>
      </c>
      <c r="BR186" s="108">
        <v>-19.843636363636364</v>
      </c>
      <c r="BS186" s="108">
        <v>-19.861818181818183</v>
      </c>
      <c r="BT186" s="108">
        <v>-19.88</v>
      </c>
    </row>
    <row r="187" spans="1:72" ht="21.75" thickBot="1" x14ac:dyDescent="0.4">
      <c r="A187" s="18" t="s">
        <v>5</v>
      </c>
      <c r="B187" s="35">
        <v>-61.077757575757573</v>
      </c>
      <c r="C187" s="35">
        <v>-58.87860606060606</v>
      </c>
      <c r="D187" s="108">
        <v>-56.690727272727273</v>
      </c>
      <c r="E187" s="108">
        <v>-54.524969696969691</v>
      </c>
      <c r="F187" s="108">
        <v>-52.372727272727268</v>
      </c>
      <c r="G187" s="108">
        <v>-50.281818181818181</v>
      </c>
      <c r="H187" s="108">
        <v>-48.245542168674703</v>
      </c>
      <c r="I187" s="108">
        <v>-46.281686746987951</v>
      </c>
      <c r="J187" s="108">
        <v>-44.402000000000001</v>
      </c>
      <c r="K187" s="108">
        <v>-42.56272727272728</v>
      </c>
      <c r="L187" s="108">
        <v>-40.835454545454553</v>
      </c>
      <c r="M187" s="108">
        <v>-39.252329803328294</v>
      </c>
      <c r="N187" s="108">
        <v>-37.83175491679274</v>
      </c>
      <c r="O187" s="108">
        <v>-36.411180030257185</v>
      </c>
      <c r="P187" s="108">
        <v>-34.990605143721638</v>
      </c>
      <c r="Q187" s="108">
        <v>-33.570030257186083</v>
      </c>
      <c r="R187" s="108">
        <v>-32.149455370650529</v>
      </c>
      <c r="S187" s="108">
        <v>-30.728880484114974</v>
      </c>
      <c r="T187" s="108">
        <v>-29.565757575757573</v>
      </c>
      <c r="U187" s="108">
        <v>-28.462363636363634</v>
      </c>
      <c r="V187" s="108">
        <v>-27.425999999999995</v>
      </c>
      <c r="W187" s="108">
        <v>-26.420181818181817</v>
      </c>
      <c r="X187" s="108">
        <v>-25.438363636363636</v>
      </c>
      <c r="Y187" s="108">
        <v>-24.511265060240962</v>
      </c>
      <c r="Z187" s="108">
        <v>-23.600303030303031</v>
      </c>
      <c r="AA187" s="108">
        <v>-22.721515151515153</v>
      </c>
      <c r="AB187" s="108">
        <v>-21.882727272727273</v>
      </c>
      <c r="AC187" s="108">
        <v>-21.07060606060606</v>
      </c>
      <c r="AD187" s="108">
        <v>-20.321818181818184</v>
      </c>
      <c r="AE187" s="108">
        <v>-19.592727272727274</v>
      </c>
      <c r="AF187" s="108">
        <v>-18.901818181818182</v>
      </c>
      <c r="AG187" s="108">
        <v>-18.248855421686748</v>
      </c>
      <c r="AH187" s="108">
        <v>-17.616325301204821</v>
      </c>
      <c r="AI187" s="108">
        <v>-17.022000000000002</v>
      </c>
      <c r="AJ187" s="108">
        <v>-16.440424242424243</v>
      </c>
      <c r="AK187" s="108">
        <v>-15.882848484848486</v>
      </c>
      <c r="AL187" s="108">
        <v>-15.342000000000002</v>
      </c>
      <c r="AM187" s="108">
        <v>-14.809878787878789</v>
      </c>
      <c r="AN187" s="108">
        <v>-14.306848484848485</v>
      </c>
      <c r="AO187" s="108">
        <v>-13.814397590361446</v>
      </c>
      <c r="AP187" s="108">
        <v>-13.338493975903617</v>
      </c>
      <c r="AQ187" s="108">
        <v>-12.873757575757578</v>
      </c>
      <c r="AR187" s="108">
        <v>-12.415575757575759</v>
      </c>
      <c r="AS187" s="108">
        <v>-11.985272727272729</v>
      </c>
      <c r="AT187" s="108">
        <v>-11.562787878787882</v>
      </c>
      <c r="AU187" s="108">
        <v>-11.15066666666667</v>
      </c>
      <c r="AV187" s="108">
        <v>-10.766909090909092</v>
      </c>
      <c r="AW187" s="108">
        <v>-10.395327272727274</v>
      </c>
      <c r="AX187" s="108">
        <v>-10.05169090909091</v>
      </c>
      <c r="AY187" s="108">
        <v>-9.7289999999999992</v>
      </c>
      <c r="AZ187" s="108">
        <v>-9.4289999999999985</v>
      </c>
      <c r="BA187" s="108">
        <v>-9.1657757575757568</v>
      </c>
      <c r="BB187" s="108">
        <v>-8.9189696969696968</v>
      </c>
      <c r="BC187" s="108">
        <v>-8.7129090909090898</v>
      </c>
      <c r="BD187" s="108">
        <v>-8.5336363636363632</v>
      </c>
      <c r="BE187" s="108">
        <v>-8.3790909090909089</v>
      </c>
      <c r="BF187" s="108">
        <v>-8.267254545454545</v>
      </c>
      <c r="BG187" s="108">
        <v>-8.1710843373493969</v>
      </c>
      <c r="BH187" s="108">
        <v>-8.1078313253012055</v>
      </c>
      <c r="BI187" s="108">
        <v>-8.0620121212121205</v>
      </c>
      <c r="BJ187" s="108">
        <v>-8.0298909090909092</v>
      </c>
      <c r="BK187" s="108">
        <v>-8.0176242424242421</v>
      </c>
      <c r="BL187" s="108">
        <v>-8.010945454545455</v>
      </c>
      <c r="BM187" s="108">
        <v>-8.0145818181818189</v>
      </c>
      <c r="BN187" s="108">
        <v>-8.0263515151515161</v>
      </c>
      <c r="BO187" s="108">
        <v>-8.0433212121212119</v>
      </c>
      <c r="BP187" s="108">
        <v>-8.0740722891566268</v>
      </c>
      <c r="BQ187" s="108">
        <v>-8.1061818181818186</v>
      </c>
      <c r="BR187" s="108">
        <v>-8.1401212121212119</v>
      </c>
      <c r="BS187" s="108">
        <v>-8.1740606060606051</v>
      </c>
      <c r="BT187" s="108">
        <v>-8.2080000000000002</v>
      </c>
    </row>
    <row r="188" spans="1:72" ht="21.75" thickBot="1" x14ac:dyDescent="0.4">
      <c r="A188" s="18" t="s">
        <v>6</v>
      </c>
      <c r="B188" s="35">
        <v>-17.144545454545455</v>
      </c>
      <c r="C188" s="35">
        <v>-16.478242424242424</v>
      </c>
      <c r="D188" s="108">
        <v>-15.763090909090909</v>
      </c>
      <c r="E188" s="108">
        <v>-15.016969696969696</v>
      </c>
      <c r="F188" s="108">
        <v>-14.259878787878787</v>
      </c>
      <c r="G188" s="108">
        <v>-13.508363636363637</v>
      </c>
      <c r="H188" s="108">
        <v>-12.771746987951808</v>
      </c>
      <c r="I188" s="108">
        <v>-12.054879518072291</v>
      </c>
      <c r="J188" s="108">
        <v>-11.367333333333335</v>
      </c>
      <c r="K188" s="108">
        <v>-10.694654545454545</v>
      </c>
      <c r="L188" s="108">
        <v>-10.066775757575758</v>
      </c>
      <c r="M188" s="108">
        <v>-9.50184417549168</v>
      </c>
      <c r="N188" s="108">
        <v>-9.007895612708019</v>
      </c>
      <c r="O188" s="108">
        <v>-8.5139470499243579</v>
      </c>
      <c r="P188" s="108">
        <v>-8.0199984871406951</v>
      </c>
      <c r="Q188" s="108">
        <v>-7.526049924357034</v>
      </c>
      <c r="R188" s="108">
        <v>-7.032101361573373</v>
      </c>
      <c r="S188" s="108">
        <v>-6.5381527987897119</v>
      </c>
      <c r="T188" s="108">
        <v>-6.2250727272727273</v>
      </c>
      <c r="U188" s="108">
        <v>-5.9639636363636361</v>
      </c>
      <c r="V188" s="108">
        <v>-5.7875999999999994</v>
      </c>
      <c r="W188" s="108">
        <v>-5.6597696969696969</v>
      </c>
      <c r="X188" s="108">
        <v>-5.5700727272727271</v>
      </c>
      <c r="Y188" s="108">
        <v>-5.5351385542168678</v>
      </c>
      <c r="Z188" s="108">
        <v>-5.5146666666666668</v>
      </c>
      <c r="AA188" s="108">
        <v>-5.5213333333333336</v>
      </c>
      <c r="AB188" s="108">
        <v>-5.5396363636363635</v>
      </c>
      <c r="AC188" s="108">
        <v>-5.5656969696969698</v>
      </c>
      <c r="AD188" s="108">
        <v>-5.5992424242424246</v>
      </c>
      <c r="AE188" s="108">
        <v>-5.6331818181818187</v>
      </c>
      <c r="AF188" s="108">
        <v>-5.667121212121212</v>
      </c>
      <c r="AG188" s="108">
        <v>-5.6993614457831328</v>
      </c>
      <c r="AH188" s="108">
        <v>-5.7306867469879519</v>
      </c>
      <c r="AI188" s="108">
        <v>-5.7591999999999999</v>
      </c>
      <c r="AJ188" s="108">
        <v>-5.7872727272727271</v>
      </c>
      <c r="AK188" s="108">
        <v>-5.8145454545454545</v>
      </c>
      <c r="AL188" s="108">
        <v>-5.8405636363636368</v>
      </c>
      <c r="AM188" s="108">
        <v>-5.8660181818181822</v>
      </c>
      <c r="AN188" s="108">
        <v>-5.8914727272727276</v>
      </c>
      <c r="AO188" s="108">
        <v>-5.9168674698795183</v>
      </c>
      <c r="AP188" s="108">
        <v>-5.9421686746987952</v>
      </c>
      <c r="AQ188" s="108">
        <v>-5.9671393939393935</v>
      </c>
      <c r="AR188" s="108">
        <v>-5.9920363636363634</v>
      </c>
      <c r="AS188" s="108">
        <v>-6.0174909090909088</v>
      </c>
      <c r="AT188" s="108">
        <v>-6.0432060606060602</v>
      </c>
      <c r="AU188" s="108">
        <v>-6.0692666666666666</v>
      </c>
      <c r="AV188" s="108">
        <v>-6.0962727272727273</v>
      </c>
      <c r="AW188" s="108">
        <v>-6.1238606060606058</v>
      </c>
      <c r="AX188" s="108">
        <v>-6.1535575757575751</v>
      </c>
      <c r="AY188" s="108">
        <v>-6.1849036144578307</v>
      </c>
      <c r="AZ188" s="108">
        <v>-6.2180361445783134</v>
      </c>
      <c r="BA188" s="108">
        <v>-6.2543151515151516</v>
      </c>
      <c r="BB188" s="108">
        <v>-6.2918000000000003</v>
      </c>
      <c r="BC188" s="108">
        <v>-6.3318000000000003</v>
      </c>
      <c r="BD188" s="108">
        <v>-6.3730606060606068</v>
      </c>
      <c r="BE188" s="108">
        <v>-6.4154848484848488</v>
      </c>
      <c r="BF188" s="108">
        <v>-6.457381818181819</v>
      </c>
      <c r="BG188" s="108">
        <v>-6.4983493975903617</v>
      </c>
      <c r="BH188" s="108">
        <v>-6.536301204819277</v>
      </c>
      <c r="BI188" s="108">
        <v>-6.5720060606060606</v>
      </c>
      <c r="BJ188" s="108">
        <v>-6.6059454545454548</v>
      </c>
      <c r="BK188" s="108">
        <v>-6.6360242424242424</v>
      </c>
      <c r="BL188" s="108">
        <v>-6.6649333333333338</v>
      </c>
      <c r="BM188" s="108">
        <v>-6.6916000000000002</v>
      </c>
      <c r="BN188" s="108">
        <v>-6.716787878787879</v>
      </c>
      <c r="BO188" s="108">
        <v>-6.7410303030303034</v>
      </c>
      <c r="BP188" s="108">
        <v>-6.7622409638554215</v>
      </c>
      <c r="BQ188" s="108">
        <v>-6.7831818181818182</v>
      </c>
      <c r="BR188" s="108">
        <v>-6.8037878787878787</v>
      </c>
      <c r="BS188" s="108">
        <v>-6.8243939393939392</v>
      </c>
      <c r="BT188" s="108">
        <v>-6.8449999999999998</v>
      </c>
    </row>
    <row r="189" spans="1:72" ht="21.75" thickBot="1" x14ac:dyDescent="0.4">
      <c r="A189" s="18" t="s">
        <v>7</v>
      </c>
      <c r="B189" s="35">
        <v>-21.479212121212122</v>
      </c>
      <c r="C189" s="35">
        <v>-21.178606060606061</v>
      </c>
      <c r="D189" s="108">
        <v>-20.990727272727273</v>
      </c>
      <c r="E189" s="108">
        <v>-20.913454545454545</v>
      </c>
      <c r="F189" s="108">
        <v>-20.884363636363634</v>
      </c>
      <c r="G189" s="108">
        <v>-20.938909090909089</v>
      </c>
      <c r="H189" s="108">
        <v>-21.016626506024096</v>
      </c>
      <c r="I189" s="108">
        <v>-21.125060240963855</v>
      </c>
      <c r="J189" s="108">
        <v>-21.247999999999998</v>
      </c>
      <c r="K189" s="108">
        <v>-21.377454545454544</v>
      </c>
      <c r="L189" s="108">
        <v>-21.522909090909092</v>
      </c>
      <c r="M189" s="108">
        <v>-21.663993948562783</v>
      </c>
      <c r="N189" s="108">
        <v>-21.800151285930408</v>
      </c>
      <c r="O189" s="108">
        <v>-21.936308623298036</v>
      </c>
      <c r="P189" s="108">
        <v>-22.07246596066566</v>
      </c>
      <c r="Q189" s="108">
        <v>-22.208623298033284</v>
      </c>
      <c r="R189" s="108">
        <v>-22.344780635400909</v>
      </c>
      <c r="S189" s="108">
        <v>-22.480937972768533</v>
      </c>
      <c r="T189" s="108">
        <v>-22.599030303030304</v>
      </c>
      <c r="U189" s="108">
        <v>-22.711636363636366</v>
      </c>
      <c r="V189" s="108">
        <v>-22.814666666666668</v>
      </c>
      <c r="W189" s="108">
        <v>-22.924484848484848</v>
      </c>
      <c r="X189" s="108">
        <v>-23.039636363636365</v>
      </c>
      <c r="Y189" s="108">
        <v>-23.165120481927712</v>
      </c>
      <c r="Z189" s="108">
        <v>-23.293333333333333</v>
      </c>
      <c r="AA189" s="108">
        <v>-23.426666666666666</v>
      </c>
      <c r="AB189" s="108">
        <v>-23.563636363636363</v>
      </c>
      <c r="AC189" s="108">
        <v>-23.703030303030303</v>
      </c>
      <c r="AD189" s="108">
        <v>-23.842424242424244</v>
      </c>
      <c r="AE189" s="108">
        <v>-23.983636363636364</v>
      </c>
      <c r="AF189" s="108">
        <v>-24.129090909090909</v>
      </c>
      <c r="AG189" s="108">
        <v>-24.270060240963854</v>
      </c>
      <c r="AH189" s="108">
        <v>-24.408614457831327</v>
      </c>
      <c r="AI189" s="108">
        <v>-24.553999999999998</v>
      </c>
      <c r="AJ189" s="108">
        <v>-24.697393939393937</v>
      </c>
      <c r="AK189" s="108">
        <v>-24.836787878787877</v>
      </c>
      <c r="AL189" s="108">
        <v>-24.976181818181818</v>
      </c>
      <c r="AM189" s="108">
        <v>-25.115333333333332</v>
      </c>
      <c r="AN189" s="108">
        <v>-25.248666666666665</v>
      </c>
      <c r="AO189" s="108">
        <v>-25.38403614457831</v>
      </c>
      <c r="AP189" s="108">
        <v>-25.522590361445783</v>
      </c>
      <c r="AQ189" s="108">
        <v>-25.657333333333334</v>
      </c>
      <c r="AR189" s="108">
        <v>-25.790666666666667</v>
      </c>
      <c r="AS189" s="108">
        <v>-25.923999999999999</v>
      </c>
      <c r="AT189" s="108">
        <v>-26.054727272727273</v>
      </c>
      <c r="AU189" s="108">
        <v>-26.181999999999999</v>
      </c>
      <c r="AV189" s="108">
        <v>-26.309272727272727</v>
      </c>
      <c r="AW189" s="108">
        <v>-26.435757575757577</v>
      </c>
      <c r="AX189" s="108">
        <v>-26.556969696969698</v>
      </c>
      <c r="AY189" s="108">
        <v>-26.677831325301206</v>
      </c>
      <c r="AZ189" s="108">
        <v>-26.798313253012051</v>
      </c>
      <c r="BA189" s="108">
        <v>-26.914424242424243</v>
      </c>
      <c r="BB189" s="108">
        <v>-27.02957575757576</v>
      </c>
      <c r="BC189" s="108">
        <v>-27.144727272727273</v>
      </c>
      <c r="BD189" s="108">
        <v>-27.256727272727272</v>
      </c>
      <c r="BE189" s="108">
        <v>-27.365818181818181</v>
      </c>
      <c r="BF189" s="108">
        <v>-27.480181818181819</v>
      </c>
      <c r="BG189" s="108">
        <v>-27.595180722891566</v>
      </c>
      <c r="BH189" s="108">
        <v>-27.70963855421687</v>
      </c>
      <c r="BI189" s="108">
        <v>-27.827878787878788</v>
      </c>
      <c r="BJ189" s="108">
        <v>-27.949090909090909</v>
      </c>
      <c r="BK189" s="108">
        <v>-28.064787878787879</v>
      </c>
      <c r="BL189" s="108">
        <v>-28.18151515151515</v>
      </c>
      <c r="BM189" s="108">
        <v>-28.302727272727275</v>
      </c>
      <c r="BN189" s="108">
        <v>-28.420242424242424</v>
      </c>
      <c r="BO189" s="108">
        <v>-28.535393939393938</v>
      </c>
      <c r="BP189" s="108">
        <v>-28.649879518072289</v>
      </c>
      <c r="BQ189" s="108">
        <v>-28.764545454545456</v>
      </c>
      <c r="BR189" s="108">
        <v>-28.879696969696973</v>
      </c>
      <c r="BS189" s="108">
        <v>-28.994848484848486</v>
      </c>
      <c r="BT189" s="108">
        <v>-29.11</v>
      </c>
    </row>
    <row r="190" spans="1:72" ht="21.75" thickBot="1" x14ac:dyDescent="0.4">
      <c r="A190" s="1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</row>
    <row r="191" spans="1:72" ht="21.75" thickBot="1" x14ac:dyDescent="0.4">
      <c r="A191" s="1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</row>
    <row r="192" spans="1:72" ht="21.75" thickBot="1" x14ac:dyDescent="0.4">
      <c r="A192" s="1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</row>
    <row r="193" spans="1:72" ht="22.5" thickTop="1" thickBot="1" x14ac:dyDescent="0.4">
      <c r="A193" s="4" t="s">
        <v>87</v>
      </c>
      <c r="B193" s="4">
        <v>0</v>
      </c>
      <c r="C193" s="4">
        <v>0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0</v>
      </c>
      <c r="AR193" s="4">
        <v>0</v>
      </c>
      <c r="AS193" s="4">
        <v>0</v>
      </c>
      <c r="AT193" s="4">
        <v>0</v>
      </c>
      <c r="AU193" s="4">
        <v>0</v>
      </c>
      <c r="AV193" s="4">
        <v>0</v>
      </c>
      <c r="AW193" s="4">
        <v>0</v>
      </c>
      <c r="AX193" s="4">
        <v>0</v>
      </c>
      <c r="AY193" s="4">
        <v>0</v>
      </c>
      <c r="AZ193" s="4">
        <v>0</v>
      </c>
      <c r="BA193" s="4">
        <v>0</v>
      </c>
      <c r="BB193" s="4">
        <v>0</v>
      </c>
      <c r="BC193" s="4">
        <v>0</v>
      </c>
      <c r="BD193" s="4">
        <v>0</v>
      </c>
      <c r="BE193" s="4">
        <v>0</v>
      </c>
      <c r="BF193" s="4">
        <v>0</v>
      </c>
      <c r="BG193" s="4">
        <v>0</v>
      </c>
      <c r="BH193" s="4">
        <v>0</v>
      </c>
      <c r="BI193" s="4">
        <v>0</v>
      </c>
      <c r="BJ193" s="4">
        <v>0</v>
      </c>
      <c r="BK193" s="4">
        <v>0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v>0</v>
      </c>
    </row>
    <row r="194" spans="1:72" ht="21.75" thickTop="1" x14ac:dyDescent="0.35"/>
  </sheetData>
  <conditionalFormatting sqref="A101:BT129">
    <cfRule type="cellIs" dxfId="11" priority="2" operator="equal">
      <formula>0</formula>
    </cfRule>
  </conditionalFormatting>
  <conditionalFormatting sqref="A165:BT192">
    <cfRule type="cellIs" dxfId="10" priority="3" operator="equal">
      <formula>0</formula>
    </cfRule>
  </conditionalFormatting>
  <conditionalFormatting sqref="A133:BT161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148" activePane="bottomLeft" state="frozen"/>
      <selection pane="bottomLeft" activeCell="A133" sqref="A133:BT160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0</v>
      </c>
      <c r="C2" s="62">
        <f>FLUID!G3</f>
        <v>0</v>
      </c>
      <c r="D2" s="62">
        <f>FLUID!H3</f>
        <v>0</v>
      </c>
      <c r="E2" s="62">
        <f>FLUID!I3</f>
        <v>0</v>
      </c>
      <c r="F2" s="62">
        <f>FLUID!J3</f>
        <v>0</v>
      </c>
      <c r="G2" s="62">
        <f>FLUID!K3</f>
        <v>0</v>
      </c>
      <c r="H2" s="62">
        <f>FLUID!L3</f>
        <v>0</v>
      </c>
      <c r="I2" s="62">
        <f>FLUID!M3</f>
        <v>0</v>
      </c>
      <c r="J2" s="62">
        <f>FLUID!N3</f>
        <v>0</v>
      </c>
      <c r="K2" s="62">
        <f>FLUID!O3</f>
        <v>0</v>
      </c>
      <c r="L2" s="62">
        <f>FLUID!P3</f>
        <v>0</v>
      </c>
      <c r="M2" s="62">
        <f>FLUID!Q3</f>
        <v>0</v>
      </c>
      <c r="N2" s="62">
        <f>FLUID!R3</f>
        <v>0</v>
      </c>
      <c r="O2" s="62">
        <f>FLUID!S3</f>
        <v>0</v>
      </c>
      <c r="P2" s="62">
        <f>FLUID!T3</f>
        <v>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0</v>
      </c>
      <c r="C34" s="62">
        <f>IFERROR(SOLID!G3,0)</f>
        <v>0</v>
      </c>
      <c r="D34" s="62">
        <f>IFERROR(SOLID!H3,0)</f>
        <v>0</v>
      </c>
      <c r="E34" s="62">
        <f>IFERROR(SOLID!I3,0)</f>
        <v>0</v>
      </c>
      <c r="F34" s="62">
        <f>IFERROR(SOLID!J3,0)</f>
        <v>0</v>
      </c>
      <c r="G34" s="62">
        <f>IFERROR(SOLID!K3,0)</f>
        <v>0</v>
      </c>
      <c r="H34" s="62">
        <f>IFERROR(SOLID!L3,0)</f>
        <v>0</v>
      </c>
      <c r="I34" s="62">
        <f>IFERROR(SOLID!M3,0)</f>
        <v>0</v>
      </c>
      <c r="J34" s="62">
        <f>IFERROR(SOLID!N3,0)</f>
        <v>0</v>
      </c>
      <c r="K34" s="62">
        <f>IFERROR(SOLID!O3,0)</f>
        <v>0</v>
      </c>
      <c r="L34" s="62">
        <f>IFERROR(SOLID!P3,0)</f>
        <v>0</v>
      </c>
      <c r="M34" s="62">
        <f>IFERROR(SOLID!Q3,0)</f>
        <v>0</v>
      </c>
      <c r="N34" s="62">
        <f>IFERROR(SOLID!R3,0)</f>
        <v>0</v>
      </c>
      <c r="O34" s="62">
        <f>IFERROR(SOLID!S3,0)</f>
        <v>0</v>
      </c>
      <c r="P34" s="62">
        <f>IFERROR(SOLID!T3,0)</f>
        <v>0</v>
      </c>
      <c r="Q34" s="62">
        <f>IFERROR(SOLID!U3,0)</f>
        <v>0</v>
      </c>
      <c r="R34" s="62">
        <f>IFERROR(SOLID!V3,0)</f>
        <v>0</v>
      </c>
      <c r="S34" s="62">
        <f>IFERROR(SOLID!W3,0)</f>
        <v>0</v>
      </c>
      <c r="T34" s="62">
        <f>IFERROR(SOLID!X3,0)</f>
        <v>0</v>
      </c>
      <c r="U34" s="62">
        <f>IFERROR(SOLID!Y3,0)</f>
        <v>0</v>
      </c>
      <c r="V34" s="62">
        <f>IFERROR(SOLID!Z3,0)</f>
        <v>0</v>
      </c>
      <c r="W34" s="62">
        <f>IFERROR(SOLID!AA3,0)</f>
        <v>0</v>
      </c>
      <c r="X34" s="62">
        <f>IFERROR(SOLID!AB3,0)</f>
        <v>0</v>
      </c>
      <c r="Y34" s="62">
        <f>IFERROR(SOLID!AC3,0)</f>
        <v>0</v>
      </c>
      <c r="Z34" s="62">
        <f>IFERROR(SOLID!AD3,0)</f>
        <v>0</v>
      </c>
      <c r="AA34" s="62">
        <f>IFERROR(SOLID!AE3,0)</f>
        <v>0</v>
      </c>
      <c r="AB34" s="62">
        <f>IFERROR(SOLID!AF3,0)</f>
        <v>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>
        <f>IFERROR(SOLID!E4,0)</f>
        <v>0</v>
      </c>
      <c r="B35" s="16">
        <f>IFERROR(SOLID!F4,0)</f>
        <v>0</v>
      </c>
      <c r="C35" s="16">
        <f>IFERROR(SOLID!G4,0)</f>
        <v>0</v>
      </c>
      <c r="D35" s="16">
        <f>IFERROR(SOLID!H4,0)</f>
        <v>0</v>
      </c>
      <c r="E35" s="16">
        <f>IFERROR(SOLID!I4,0)</f>
        <v>0</v>
      </c>
      <c r="F35" s="16">
        <f>IFERROR(SOLID!J4,0)</f>
        <v>0</v>
      </c>
      <c r="G35" s="16">
        <f>IFERROR(SOLID!K4,0)</f>
        <v>0</v>
      </c>
      <c r="H35" s="16">
        <f>IFERROR(SOLID!L4,0)</f>
        <v>0</v>
      </c>
      <c r="I35" s="16">
        <f>IFERROR(SOLID!M4,0)</f>
        <v>0</v>
      </c>
      <c r="J35" s="16">
        <f>IFERROR(SOLID!N4,0)</f>
        <v>0</v>
      </c>
      <c r="K35" s="16">
        <f>IFERROR(SOLID!O4,0)</f>
        <v>0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>
        <f>IFERROR(SOLID!E5,0)</f>
        <v>0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>
        <f>IFERROR(SOLID!E6,0)</f>
        <v>0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>
        <f>IFERROR(SOLID!E7,0)</f>
        <v>0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>
        <f>IFERROR(SOLID!E8,0)</f>
        <v>0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>
        <f>IFERROR(SOLID!E9,0)</f>
        <v>0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0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0</v>
      </c>
      <c r="V40" s="16">
        <f>IFERROR(SOLID!Z9,0)</f>
        <v>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>
        <f>IFERROR(SOLID!E10,0)</f>
        <v>0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0</v>
      </c>
      <c r="K41" s="16">
        <f>IFERROR(SOLID!O10,0)</f>
        <v>0</v>
      </c>
      <c r="L41" s="16">
        <f>IFERROR(SOLID!P10,0)</f>
        <v>0</v>
      </c>
      <c r="M41" s="16">
        <f>IFERROR(SOLID!Q10,0)</f>
        <v>0</v>
      </c>
      <c r="N41" s="16">
        <f>IFERROR(SOLID!R10,0)</f>
        <v>0</v>
      </c>
      <c r="O41" s="16">
        <f>IFERROR(SOLID!S10,0)</f>
        <v>0</v>
      </c>
      <c r="P41" s="16">
        <f>IFERROR(SOLID!T10,0)</f>
        <v>0</v>
      </c>
      <c r="Q41" s="16">
        <f>IFERROR(SOLID!U10,0)</f>
        <v>0</v>
      </c>
      <c r="R41" s="16">
        <f>IFERROR(SOLID!V10,0)</f>
        <v>0</v>
      </c>
      <c r="S41" s="16">
        <f>IFERROR(SOLID!W10,0)</f>
        <v>0</v>
      </c>
      <c r="T41" s="16">
        <f>IFERROR(SOLID!X10,0)</f>
        <v>0</v>
      </c>
      <c r="U41" s="16">
        <f>IFERROR(SOLID!Y10,0)</f>
        <v>0</v>
      </c>
      <c r="V41" s="16">
        <f>IFERROR(SOLID!Z10,0)</f>
        <v>0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>
        <f>IFERROR(SOLID!E11,0)</f>
        <v>0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0</v>
      </c>
      <c r="L42" s="16">
        <f>IFERROR(SOLID!P11,0)</f>
        <v>0</v>
      </c>
      <c r="M42" s="16">
        <f>IFERROR(SOLID!Q11,0)</f>
        <v>0</v>
      </c>
      <c r="N42" s="16">
        <f>IFERROR(SOLID!R11,0)</f>
        <v>0</v>
      </c>
      <c r="O42" s="16">
        <f>IFERROR(SOLID!S11,0)</f>
        <v>0</v>
      </c>
      <c r="P42" s="16">
        <f>IFERROR(SOLID!T11,0)</f>
        <v>0</v>
      </c>
      <c r="Q42" s="16">
        <f>IFERROR(SOLID!U11,0)</f>
        <v>0</v>
      </c>
      <c r="R42" s="16">
        <f>IFERROR(SOLID!V11,0)</f>
        <v>0</v>
      </c>
      <c r="S42" s="16">
        <f>IFERROR(SOLID!W11,0)</f>
        <v>0</v>
      </c>
      <c r="T42" s="16">
        <f>IFERROR(SOLID!X11,0)</f>
        <v>0</v>
      </c>
      <c r="U42" s="16">
        <f>IFERROR(SOLID!Y11,0)</f>
        <v>0</v>
      </c>
      <c r="V42" s="16">
        <f>IFERROR(SOLID!Z11,0)</f>
        <v>0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>
        <f>IFERROR(SOLID!E12,0)</f>
        <v>0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0</v>
      </c>
      <c r="L43" s="16">
        <f>IFERROR(SOLID!P12,0)</f>
        <v>0</v>
      </c>
      <c r="M43" s="16">
        <f>IFERROR(SOLID!Q12,0)</f>
        <v>0</v>
      </c>
      <c r="N43" s="16">
        <f>IFERROR(SOLID!R12,0)</f>
        <v>0</v>
      </c>
      <c r="O43" s="16">
        <f>IFERROR(SOLID!S12,0)</f>
        <v>0</v>
      </c>
      <c r="P43" s="16">
        <f>IFERROR(SOLID!T12,0)</f>
        <v>0</v>
      </c>
      <c r="Q43" s="16">
        <f>IFERROR(SOLID!U12,0)</f>
        <v>0</v>
      </c>
      <c r="R43" s="16">
        <f>IFERROR(SOLID!V12,0)</f>
        <v>0</v>
      </c>
      <c r="S43" s="16">
        <f>IFERROR(SOLID!W12,0)</f>
        <v>0</v>
      </c>
      <c r="T43" s="16">
        <f>IFERROR(SOLID!X12,0)</f>
        <v>0</v>
      </c>
      <c r="U43" s="16">
        <f>IFERROR(SOLID!Y12,0)</f>
        <v>0</v>
      </c>
      <c r="V43" s="16">
        <f>IFERROR(SOLID!Z12,0)</f>
        <v>0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>
        <f>IFERROR(SOLID!E13,0)</f>
        <v>0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0</v>
      </c>
      <c r="L44" s="16">
        <f>IFERROR(SOLID!P13,0)</f>
        <v>0</v>
      </c>
      <c r="M44" s="16">
        <f>IFERROR(SOLID!Q13,0)</f>
        <v>0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0</v>
      </c>
      <c r="U44" s="16">
        <f>IFERROR(SOLID!Y13,0)</f>
        <v>0</v>
      </c>
      <c r="V44" s="16">
        <f>IFERROR(SOLID!Z13,0)</f>
        <v>0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>
        <f>IFERROR(SOLID!E14,0)</f>
        <v>0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0</v>
      </c>
      <c r="L45" s="16">
        <f>IFERROR(SOLID!P14,0)</f>
        <v>0</v>
      </c>
      <c r="M45" s="16">
        <f>IFERROR(SOLID!Q14,0)</f>
        <v>0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0</v>
      </c>
      <c r="U45" s="16">
        <f>IFERROR(SOLID!Y14,0)</f>
        <v>0</v>
      </c>
      <c r="V45" s="16">
        <f>IFERROR(SOLID!Z14,0)</f>
        <v>0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>
        <f>IFERROR(SOLID!E15,0)</f>
        <v>0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0</v>
      </c>
      <c r="K46" s="16">
        <f>IFERROR(SOLID!O15,0)</f>
        <v>0</v>
      </c>
      <c r="L46" s="16">
        <f>IFERROR(SOLID!P15,0)</f>
        <v>0</v>
      </c>
      <c r="M46" s="16">
        <f>IFERROR(SOLID!Q15,0)</f>
        <v>0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0</v>
      </c>
      <c r="U46" s="16">
        <f>IFERROR(SOLID!Y15,0)</f>
        <v>0</v>
      </c>
      <c r="V46" s="16">
        <f>IFERROR(SOLID!Z15,0)</f>
        <v>0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>
        <f>IFERROR(SOLID!E16,0)</f>
        <v>0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0</v>
      </c>
      <c r="K47" s="16">
        <f>IFERROR(SOLID!O16,0)</f>
        <v>0</v>
      </c>
      <c r="L47" s="16">
        <f>IFERROR(SOLID!P16,0)</f>
        <v>0</v>
      </c>
      <c r="M47" s="16">
        <f>IFERROR(SOLID!Q16,0)</f>
        <v>0</v>
      </c>
      <c r="N47" s="16">
        <f>IFERROR(SOLID!R16,0)</f>
        <v>0</v>
      </c>
      <c r="O47" s="16">
        <f>IFERROR(SOLID!S16,0)</f>
        <v>0</v>
      </c>
      <c r="P47" s="16">
        <f>IFERROR(SOLID!T16,0)</f>
        <v>0</v>
      </c>
      <c r="Q47" s="16">
        <f>IFERROR(SOLID!U16,0)</f>
        <v>0</v>
      </c>
      <c r="R47" s="16">
        <f>IFERROR(SOLID!V16,0)</f>
        <v>0</v>
      </c>
      <c r="S47" s="16">
        <f>IFERROR(SOLID!W16,0)</f>
        <v>0</v>
      </c>
      <c r="T47" s="16">
        <f>IFERROR(SOLID!X16,0)</f>
        <v>0</v>
      </c>
      <c r="U47" s="16">
        <f>IFERROR(SOLID!Y16,0)</f>
        <v>0</v>
      </c>
      <c r="V47" s="16">
        <f>IFERROR(SOLID!Z16,0)</f>
        <v>0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>
        <f>IFERROR(SOLID!E17,0)</f>
        <v>0</v>
      </c>
      <c r="B48" s="16">
        <f>IFERROR(SOLID!F17,0)</f>
        <v>0</v>
      </c>
      <c r="C48" s="16">
        <f>IFERROR(SOLID!G17,0)</f>
        <v>0</v>
      </c>
      <c r="D48" s="16">
        <f>IFERROR(SOLID!H17,0)</f>
        <v>0</v>
      </c>
      <c r="E48" s="16">
        <f>IFERROR(SOLID!I17,0)</f>
        <v>0</v>
      </c>
      <c r="F48" s="16">
        <f>IFERROR(SOLID!J17,0)</f>
        <v>0</v>
      </c>
      <c r="G48" s="16">
        <f>IFERROR(SOLID!K17,0)</f>
        <v>0</v>
      </c>
      <c r="H48" s="16">
        <f>IFERROR(SOLID!L17,0)</f>
        <v>0</v>
      </c>
      <c r="I48" s="16">
        <f>IFERROR(SOLID!M17,0)</f>
        <v>0</v>
      </c>
      <c r="J48" s="16">
        <f>IFERROR(SOLID!N17,0)</f>
        <v>0</v>
      </c>
      <c r="K48" s="16">
        <f>IFERROR(SOLID!O17,0)</f>
        <v>0</v>
      </c>
      <c r="L48" s="16">
        <f>IFERROR(SOLID!P17,0)</f>
        <v>0</v>
      </c>
      <c r="M48" s="16">
        <f>IFERROR(SOLID!Q17,0)</f>
        <v>0</v>
      </c>
      <c r="N48" s="16">
        <f>IFERROR(SOLID!R17,0)</f>
        <v>0</v>
      </c>
      <c r="O48" s="16">
        <f>IFERROR(SOLID!S17,0)</f>
        <v>0</v>
      </c>
      <c r="P48" s="16">
        <f>IFERROR(SOLID!T17,0)</f>
        <v>0</v>
      </c>
      <c r="Q48" s="16">
        <f>IFERROR(SOLID!U17,0)</f>
        <v>0</v>
      </c>
      <c r="R48" s="16">
        <f>IFERROR(SOLID!V17,0)</f>
        <v>0</v>
      </c>
      <c r="S48" s="16">
        <f>IFERROR(SOLID!W17,0)</f>
        <v>0</v>
      </c>
      <c r="T48" s="16">
        <f>IFERROR(SOLID!X17,0)</f>
        <v>0</v>
      </c>
      <c r="U48" s="16">
        <f>IFERROR(SOLID!Y17,0)</f>
        <v>0</v>
      </c>
      <c r="V48" s="16">
        <f>IFERROR(SOLID!Z17,0)</f>
        <v>0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>
        <f>IFERROR(SOLID!E18,0)</f>
        <v>0</v>
      </c>
      <c r="B49" s="16">
        <f>IFERROR(SOLID!F18,0)</f>
        <v>0</v>
      </c>
      <c r="C49" s="16">
        <f>IFERROR(SOLID!G18,0)</f>
        <v>0</v>
      </c>
      <c r="D49" s="16">
        <f>IFERROR(SOLID!H18,0)</f>
        <v>0</v>
      </c>
      <c r="E49" s="16">
        <f>IFERROR(SOLID!I18,0)</f>
        <v>0</v>
      </c>
      <c r="F49" s="16">
        <f>IFERROR(SOLID!J18,0)</f>
        <v>0</v>
      </c>
      <c r="G49" s="16">
        <f>IFERROR(SOLID!K18,0)</f>
        <v>0</v>
      </c>
      <c r="H49" s="16">
        <f>IFERROR(SOLID!L18,0)</f>
        <v>0</v>
      </c>
      <c r="I49" s="16">
        <f>IFERROR(SOLID!M18,0)</f>
        <v>0</v>
      </c>
      <c r="J49" s="16">
        <f>IFERROR(SOLID!N18,0)</f>
        <v>0</v>
      </c>
      <c r="K49" s="16">
        <f>IFERROR(SOLID!O18,0)</f>
        <v>0</v>
      </c>
      <c r="L49" s="16">
        <f>IFERROR(SOLID!P18,0)</f>
        <v>0</v>
      </c>
      <c r="M49" s="16">
        <f>IFERROR(SOLID!Q18,0)</f>
        <v>0</v>
      </c>
      <c r="N49" s="16">
        <f>IFERROR(SOLID!R18,0)</f>
        <v>0</v>
      </c>
      <c r="O49" s="16">
        <f>IFERROR(SOLID!S18,0)</f>
        <v>0</v>
      </c>
      <c r="P49" s="16">
        <f>IFERROR(SOLID!T18,0)</f>
        <v>0</v>
      </c>
      <c r="Q49" s="16">
        <f>IFERROR(SOLID!U18,0)</f>
        <v>0</v>
      </c>
      <c r="R49" s="16">
        <f>IFERROR(SOLID!V18,0)</f>
        <v>0</v>
      </c>
      <c r="S49" s="16">
        <f>IFERROR(SOLID!W18,0)</f>
        <v>0</v>
      </c>
      <c r="T49" s="16">
        <f>IFERROR(SOLID!X18,0)</f>
        <v>0</v>
      </c>
      <c r="U49" s="16">
        <f>IFERROR(SOLID!Y18,0)</f>
        <v>0</v>
      </c>
      <c r="V49" s="16">
        <f>IFERROR(SOLID!Z18,0)</f>
        <v>0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>
        <f>IFERROR(SOLID!E19,0)</f>
        <v>0</v>
      </c>
      <c r="B50" s="16">
        <f>IFERROR(SOLID!F19,0)</f>
        <v>0</v>
      </c>
      <c r="C50" s="16">
        <f>IFERROR(SOLID!G19,0)</f>
        <v>0</v>
      </c>
      <c r="D50" s="16">
        <f>IFERROR(SOLID!H19,0)</f>
        <v>0</v>
      </c>
      <c r="E50" s="16">
        <f>IFERROR(SOLID!I19,0)</f>
        <v>0</v>
      </c>
      <c r="F50" s="16">
        <f>IFERROR(SOLID!J19,0)</f>
        <v>0</v>
      </c>
      <c r="G50" s="16">
        <f>IFERROR(SOLID!K19,0)</f>
        <v>0</v>
      </c>
      <c r="H50" s="16">
        <f>IFERROR(SOLID!L19,0)</f>
        <v>0</v>
      </c>
      <c r="I50" s="16">
        <f>IFERROR(SOLID!M19,0)</f>
        <v>0</v>
      </c>
      <c r="J50" s="16">
        <f>IFERROR(SOLID!N19,0)</f>
        <v>0</v>
      </c>
      <c r="K50" s="16">
        <f>IFERROR(SOLID!O19,0)</f>
        <v>0</v>
      </c>
      <c r="L50" s="16">
        <f>IFERROR(SOLID!P19,0)</f>
        <v>0</v>
      </c>
      <c r="M50" s="16">
        <f>IFERROR(SOLID!Q19,0)</f>
        <v>0</v>
      </c>
      <c r="N50" s="16">
        <f>IFERROR(SOLID!R19,0)</f>
        <v>0</v>
      </c>
      <c r="O50" s="16">
        <f>IFERROR(SOLID!S19,0)</f>
        <v>0</v>
      </c>
      <c r="P50" s="16">
        <f>IFERROR(SOLID!T19,0)</f>
        <v>0</v>
      </c>
      <c r="Q50" s="16">
        <f>IFERROR(SOLID!U19,0)</f>
        <v>0</v>
      </c>
      <c r="R50" s="16">
        <f>IFERROR(SOLID!V19,0)</f>
        <v>0</v>
      </c>
      <c r="S50" s="16">
        <f>IFERROR(SOLID!W19,0)</f>
        <v>0</v>
      </c>
      <c r="T50" s="16">
        <f>IFERROR(SOLID!X19,0)</f>
        <v>0</v>
      </c>
      <c r="U50" s="16">
        <f>IFERROR(SOLID!Y19,0)</f>
        <v>0</v>
      </c>
      <c r="V50" s="16">
        <f>IFERROR(SOLID!Z19,0)</f>
        <v>0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0</v>
      </c>
      <c r="C64" s="16">
        <f>IFERROR(SOLID!G33,0)</f>
        <v>0</v>
      </c>
      <c r="D64" s="16">
        <f>IFERROR(SOLID!H33,0)</f>
        <v>0</v>
      </c>
      <c r="E64" s="16">
        <f>IFERROR(SOLID!I33,0)</f>
        <v>0</v>
      </c>
      <c r="F64" s="16">
        <f>IFERROR(SOLID!J33,0)</f>
        <v>0</v>
      </c>
      <c r="G64" s="16">
        <f>IFERROR(SOLID!K33,0)</f>
        <v>0</v>
      </c>
      <c r="H64" s="16">
        <f>IFERROR(SOLID!L33,0)</f>
        <v>0</v>
      </c>
      <c r="I64" s="16">
        <f>IFERROR(SOLID!M33,0)</f>
        <v>0</v>
      </c>
      <c r="J64" s="16">
        <f>IFERROR(SOLID!N33,0)</f>
        <v>0</v>
      </c>
      <c r="K64" s="16">
        <f>IFERROR(SOLID!O33,0)</f>
        <v>0</v>
      </c>
      <c r="L64" s="16">
        <f>IFERROR(SOLID!P33,0)</f>
        <v>0</v>
      </c>
      <c r="M64" s="16">
        <f>IFERROR(SOLID!Q33,0)</f>
        <v>0</v>
      </c>
      <c r="N64" s="16">
        <f>IFERROR(SOLID!R33,0)</f>
        <v>0</v>
      </c>
      <c r="O64" s="16">
        <f>IFERROR(SOLID!S33,0)</f>
        <v>0</v>
      </c>
      <c r="P64" s="16">
        <f>IFERROR(SOLID!T33,0)</f>
        <v>0</v>
      </c>
      <c r="Q64" s="16">
        <f>IFERROR(SOLID!U33,0)</f>
        <v>0</v>
      </c>
      <c r="R64" s="16">
        <f>IFERROR(SOLID!V33,0)</f>
        <v>0</v>
      </c>
      <c r="S64" s="16">
        <f>IFERROR(SOLID!W33,0)</f>
        <v>0</v>
      </c>
      <c r="T64" s="16">
        <f>IFERROR(SOLID!X33,0)</f>
        <v>0</v>
      </c>
      <c r="U64" s="16">
        <f>IFERROR(SOLID!Y33,0)</f>
        <v>0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0</v>
      </c>
      <c r="C66" s="62">
        <f>IFERROR(ALL!G3,0)</f>
        <v>0</v>
      </c>
      <c r="D66" s="62">
        <f>IFERROR(ALL!H3,0)</f>
        <v>0</v>
      </c>
      <c r="E66" s="62">
        <f>IFERROR(ALL!I3,0)</f>
        <v>0</v>
      </c>
      <c r="F66" s="62">
        <f>IFERROR(ALL!J3,0)</f>
        <v>0</v>
      </c>
      <c r="G66" s="62">
        <f>IFERROR(ALL!K3,0)</f>
        <v>0</v>
      </c>
      <c r="H66" s="62">
        <f>IFERROR(ALL!L3,0)</f>
        <v>0</v>
      </c>
      <c r="I66" s="62">
        <f>IFERROR(ALL!M3,0)</f>
        <v>0</v>
      </c>
      <c r="J66" s="62">
        <f>IFERROR(ALL!N3,0)</f>
        <v>0</v>
      </c>
      <c r="K66" s="62">
        <f>IFERROR(ALL!O3,0)</f>
        <v>0</v>
      </c>
      <c r="L66" s="62">
        <f>IFERROR(ALL!P3,0)</f>
        <v>0</v>
      </c>
      <c r="M66" s="62">
        <f>IFERROR(ALL!Q3,0)</f>
        <v>0</v>
      </c>
      <c r="N66" s="62">
        <f>IFERROR(ALL!R3,0)</f>
        <v>0</v>
      </c>
      <c r="O66" s="62">
        <f>IFERROR(ALL!S3,0)</f>
        <v>0</v>
      </c>
      <c r="P66" s="62">
        <f>IFERROR(ALL!T3,0)</f>
        <v>0</v>
      </c>
      <c r="Q66" s="62">
        <f>IFERROR(ALL!U3,0)</f>
        <v>0</v>
      </c>
      <c r="R66" s="62">
        <f>IFERROR(ALL!V3,0)</f>
        <v>0</v>
      </c>
      <c r="S66" s="62">
        <f>IFERROR(ALL!W3,0)</f>
        <v>0</v>
      </c>
      <c r="T66" s="62">
        <f>IFERROR(ALL!X3,0)</f>
        <v>0</v>
      </c>
      <c r="U66" s="62">
        <f>IFERROR(ALL!Y3,0)</f>
        <v>0</v>
      </c>
      <c r="V66" s="62">
        <f>IFERROR(ALL!Z3,0)</f>
        <v>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>
        <f>ALL!E4</f>
        <v>0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>
        <f>ALL!E5</f>
        <v>0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>
        <f>ALL!E6</f>
        <v>0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>
        <f>ALL!E7</f>
        <v>0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0</v>
      </c>
      <c r="L70" s="16">
        <f>IFERROR(ALL!P7,0)</f>
        <v>0</v>
      </c>
      <c r="M70" s="16">
        <f>IFERROR(ALL!Q7,0)</f>
        <v>0</v>
      </c>
      <c r="N70" s="16">
        <f>IFERROR(ALL!R7,0)</f>
        <v>0</v>
      </c>
      <c r="O70" s="16">
        <f>IFERROR(ALL!S7,0)</f>
        <v>0</v>
      </c>
      <c r="P70" s="16">
        <f>IFERROR(ALL!T7,0)</f>
        <v>0</v>
      </c>
      <c r="Q70" s="16">
        <f>IFERROR(ALL!U7,0)</f>
        <v>0</v>
      </c>
      <c r="R70" s="16">
        <f>IFERROR(ALL!V7,0)</f>
        <v>0</v>
      </c>
      <c r="S70" s="16">
        <f>IFERROR(ALL!W7,0)</f>
        <v>0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>
        <f>ALL!E8</f>
        <v>0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0</v>
      </c>
      <c r="L71" s="16">
        <f>IFERROR(ALL!P8,0)</f>
        <v>0</v>
      </c>
      <c r="M71" s="16">
        <f>IFERROR(ALL!Q8,0)</f>
        <v>0</v>
      </c>
      <c r="N71" s="16">
        <f>IFERROR(ALL!R8,0)</f>
        <v>0</v>
      </c>
      <c r="O71" s="16">
        <f>IFERROR(ALL!S8,0)</f>
        <v>0</v>
      </c>
      <c r="P71" s="16">
        <f>IFERROR(ALL!T8,0)</f>
        <v>0</v>
      </c>
      <c r="Q71" s="16">
        <f>IFERROR(ALL!U8,0)</f>
        <v>0</v>
      </c>
      <c r="R71" s="16">
        <f>IFERROR(ALL!V8,0)</f>
        <v>0</v>
      </c>
      <c r="S71" s="16">
        <f>IFERROR(ALL!W8,0)</f>
        <v>0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>
        <f>ALL!E9</f>
        <v>0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0</v>
      </c>
      <c r="L72" s="16">
        <f>IFERROR(ALL!P9,0)</f>
        <v>0</v>
      </c>
      <c r="M72" s="16">
        <f>IFERROR(ALL!Q9,0)</f>
        <v>0</v>
      </c>
      <c r="N72" s="16">
        <f>IFERROR(ALL!R9,0)</f>
        <v>0</v>
      </c>
      <c r="O72" s="16">
        <f>IFERROR(ALL!S9,0)</f>
        <v>0</v>
      </c>
      <c r="P72" s="16">
        <f>IFERROR(ALL!T9,0)</f>
        <v>0</v>
      </c>
      <c r="Q72" s="16">
        <f>IFERROR(ALL!U9,0)</f>
        <v>0</v>
      </c>
      <c r="R72" s="16">
        <f>IFERROR(ALL!V9,0)</f>
        <v>0</v>
      </c>
      <c r="S72" s="16">
        <f>IFERROR(ALL!W9,0)</f>
        <v>0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>
        <f>ALL!E10</f>
        <v>0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0</v>
      </c>
      <c r="I73" s="16">
        <f>IFERROR(ALL!M10,0)</f>
        <v>0</v>
      </c>
      <c r="J73" s="16">
        <f>IFERROR(ALL!N10,0)</f>
        <v>0</v>
      </c>
      <c r="K73" s="16">
        <f>IFERROR(ALL!O10,0)</f>
        <v>0</v>
      </c>
      <c r="L73" s="16">
        <f>IFERROR(ALL!P10,0)</f>
        <v>0</v>
      </c>
      <c r="M73" s="16">
        <f>IFERROR(ALL!Q10,0)</f>
        <v>0</v>
      </c>
      <c r="N73" s="16">
        <f>IFERROR(ALL!R10,0)</f>
        <v>0</v>
      </c>
      <c r="O73" s="16">
        <f>IFERROR(ALL!S10,0)</f>
        <v>0</v>
      </c>
      <c r="P73" s="16">
        <f>IFERROR(ALL!T10,0)</f>
        <v>0</v>
      </c>
      <c r="Q73" s="16">
        <f>IFERROR(ALL!U10,0)</f>
        <v>0</v>
      </c>
      <c r="R73" s="16">
        <f>IFERROR(ALL!V10,0)</f>
        <v>0</v>
      </c>
      <c r="S73" s="16">
        <f>IFERROR(ALL!W10,0)</f>
        <v>0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>
        <f>ALL!E11</f>
        <v>0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0</v>
      </c>
      <c r="I74" s="16">
        <f>IFERROR(ALL!M11,0)</f>
        <v>0</v>
      </c>
      <c r="J74" s="16">
        <f>IFERROR(ALL!N11,0)</f>
        <v>0</v>
      </c>
      <c r="K74" s="16">
        <f>IFERROR(ALL!O11,0)</f>
        <v>0</v>
      </c>
      <c r="L74" s="16">
        <f>IFERROR(ALL!P11,0)</f>
        <v>0</v>
      </c>
      <c r="M74" s="16">
        <f>IFERROR(ALL!Q11,0)</f>
        <v>0</v>
      </c>
      <c r="N74" s="16">
        <f>IFERROR(ALL!R11,0)</f>
        <v>0</v>
      </c>
      <c r="O74" s="16">
        <f>IFERROR(ALL!S11,0)</f>
        <v>0</v>
      </c>
      <c r="P74" s="16">
        <f>IFERROR(ALL!T11,0)</f>
        <v>0</v>
      </c>
      <c r="Q74" s="16">
        <f>IFERROR(ALL!U11,0)</f>
        <v>0</v>
      </c>
      <c r="R74" s="16">
        <f>IFERROR(ALL!V11,0)</f>
        <v>0</v>
      </c>
      <c r="S74" s="16">
        <f>IFERROR(ALL!W11,0)</f>
        <v>0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>
        <f>ALL!E12</f>
        <v>0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0</v>
      </c>
      <c r="H75" s="16">
        <f>IFERROR(ALL!L12,0)</f>
        <v>0</v>
      </c>
      <c r="I75" s="16">
        <f>IFERROR(ALL!M12,0)</f>
        <v>0</v>
      </c>
      <c r="J75" s="16">
        <f>IFERROR(ALL!N12,0)</f>
        <v>0</v>
      </c>
      <c r="K75" s="16">
        <f>IFERROR(ALL!O12,0)</f>
        <v>0</v>
      </c>
      <c r="L75" s="16">
        <f>IFERROR(ALL!P12,0)</f>
        <v>0</v>
      </c>
      <c r="M75" s="16">
        <f>IFERROR(ALL!Q12,0)</f>
        <v>0</v>
      </c>
      <c r="N75" s="16">
        <f>IFERROR(ALL!R12,0)</f>
        <v>0</v>
      </c>
      <c r="O75" s="16">
        <f>IFERROR(ALL!S12,0)</f>
        <v>0</v>
      </c>
      <c r="P75" s="16">
        <f>IFERROR(ALL!T12,0)</f>
        <v>0</v>
      </c>
      <c r="Q75" s="16">
        <f>IFERROR(ALL!U12,0)</f>
        <v>0</v>
      </c>
      <c r="R75" s="16">
        <f>IFERROR(ALL!V12,0)</f>
        <v>0</v>
      </c>
      <c r="S75" s="16">
        <f>IFERROR(ALL!W12,0)</f>
        <v>0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>
        <f>ALL!E13</f>
        <v>0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0</v>
      </c>
      <c r="P76" s="16">
        <f>IFERROR(ALL!T13,0)</f>
        <v>0</v>
      </c>
      <c r="Q76" s="16">
        <f>IFERROR(ALL!U13,0)</f>
        <v>0</v>
      </c>
      <c r="R76" s="16">
        <f>IFERROR(ALL!V13,0)</f>
        <v>0</v>
      </c>
      <c r="S76" s="16">
        <f>IFERROR(ALL!W13,0)</f>
        <v>0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>
        <f>ALL!E14</f>
        <v>0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>
        <f>ALL!E15</f>
        <v>0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>
        <f>ALL!E16</f>
        <v>0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>
        <f>ALL!E17</f>
        <v>0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>
        <f>ALL!E18</f>
        <v>0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0</v>
      </c>
      <c r="M81" s="16">
        <f>IFERROR(ALL!Q18,0)</f>
        <v>0</v>
      </c>
      <c r="N81" s="16">
        <f>IFERROR(ALL!R18,0)</f>
        <v>0</v>
      </c>
      <c r="O81" s="16">
        <f>IFERROR(ALL!S18,0)</f>
        <v>0</v>
      </c>
      <c r="P81" s="16">
        <f>IFERROR(ALL!T18,0)</f>
        <v>0</v>
      </c>
      <c r="Q81" s="16">
        <f>IFERROR(ALL!U18,0)</f>
        <v>0</v>
      </c>
      <c r="R81" s="16">
        <f>IFERROR(ALL!V18,0)</f>
        <v>0</v>
      </c>
      <c r="S81" s="16">
        <f>IFERROR(ALL!W18,0)</f>
        <v>0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>
        <f>ALL!E19</f>
        <v>0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0</v>
      </c>
      <c r="C96" s="16">
        <f>IFERROR(ALL!G33,0)</f>
        <v>0</v>
      </c>
      <c r="D96" s="16">
        <f>IFERROR(ALL!H33,0)</f>
        <v>0</v>
      </c>
      <c r="E96" s="16">
        <f>IFERROR(ALL!I33,0)</f>
        <v>0</v>
      </c>
      <c r="F96" s="16">
        <f>IFERROR(ALL!J33,0)</f>
        <v>0</v>
      </c>
      <c r="G96" s="16">
        <f>IFERROR(ALL!K33,0)</f>
        <v>0</v>
      </c>
      <c r="H96" s="16">
        <f>IFERROR(ALL!L33,0)</f>
        <v>0</v>
      </c>
      <c r="I96" s="16">
        <f>IFERROR(ALL!M33,0)</f>
        <v>0</v>
      </c>
      <c r="J96" s="16">
        <f>IFERROR(ALL!N33,0)</f>
        <v>0</v>
      </c>
      <c r="K96" s="16">
        <f>IFERROR(ALL!O33,0)</f>
        <v>0</v>
      </c>
      <c r="L96" s="16">
        <f>IFERROR(ALL!P33,0)</f>
        <v>0</v>
      </c>
      <c r="M96" s="16">
        <f>IFERROR(ALL!Q33,0)</f>
        <v>0</v>
      </c>
      <c r="N96" s="16">
        <f>IFERROR(ALL!R33,0)</f>
        <v>0</v>
      </c>
      <c r="O96" s="16">
        <f>IFERROR(ALL!S33,0)</f>
        <v>0</v>
      </c>
      <c r="P96" s="16">
        <f>IFERROR(ALL!T33,0)</f>
        <v>0</v>
      </c>
      <c r="Q96" s="16">
        <f>IFERROR(ALL!U33,0)</f>
        <v>0</v>
      </c>
      <c r="R96" s="16">
        <f>IFERROR(ALL!V33,0)</f>
        <v>0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/>
    </row>
    <row r="102" spans="1:72" ht="21.75" thickBot="1" x14ac:dyDescent="0.4">
      <c r="A102" s="87"/>
    </row>
    <row r="103" spans="1:72" ht="21.75" thickBot="1" x14ac:dyDescent="0.4">
      <c r="A103" s="87"/>
    </row>
    <row r="104" spans="1:72" ht="21.75" thickBot="1" x14ac:dyDescent="0.4">
      <c r="A104" s="87"/>
    </row>
    <row r="105" spans="1:72" ht="21.75" thickBot="1" x14ac:dyDescent="0.4">
      <c r="A105" s="87"/>
    </row>
    <row r="106" spans="1:72" ht="21.75" thickBot="1" x14ac:dyDescent="0.4">
      <c r="A106" s="87"/>
    </row>
    <row r="107" spans="1:72" ht="21.75" thickBot="1" x14ac:dyDescent="0.4">
      <c r="A107" s="87"/>
    </row>
    <row r="108" spans="1:72" ht="21.75" thickBot="1" x14ac:dyDescent="0.4">
      <c r="A108" s="87"/>
    </row>
    <row r="109" spans="1:72" ht="21.75" thickBot="1" x14ac:dyDescent="0.4">
      <c r="A109" s="87"/>
    </row>
    <row r="110" spans="1:72" ht="21.75" thickBot="1" x14ac:dyDescent="0.4">
      <c r="A110" s="87"/>
    </row>
    <row r="111" spans="1:72" ht="21.75" thickBot="1" x14ac:dyDescent="0.4">
      <c r="A111" s="87"/>
    </row>
    <row r="112" spans="1:72" ht="21.75" thickBot="1" x14ac:dyDescent="0.4">
      <c r="A112" s="87"/>
    </row>
    <row r="113" spans="1:1" ht="21.75" thickBot="1" x14ac:dyDescent="0.4">
      <c r="A113" s="87"/>
    </row>
    <row r="114" spans="1:1" ht="21.75" thickBot="1" x14ac:dyDescent="0.4">
      <c r="A114" s="87"/>
    </row>
    <row r="115" spans="1:1" ht="21.75" thickBot="1" x14ac:dyDescent="0.4">
      <c r="A115" s="87"/>
    </row>
    <row r="116" spans="1:1" ht="21.75" thickBot="1" x14ac:dyDescent="0.4">
      <c r="A116" s="87"/>
    </row>
    <row r="117" spans="1:1" ht="21.75" thickBot="1" x14ac:dyDescent="0.4">
      <c r="A117" s="87"/>
    </row>
    <row r="118" spans="1:1" ht="21.75" thickBot="1" x14ac:dyDescent="0.4">
      <c r="A118" s="87"/>
    </row>
    <row r="119" spans="1:1" ht="21.75" thickBot="1" x14ac:dyDescent="0.4">
      <c r="A119" s="87"/>
    </row>
    <row r="120" spans="1:1" ht="21.75" thickBot="1" x14ac:dyDescent="0.4">
      <c r="A120" s="92"/>
    </row>
    <row r="121" spans="1:1" ht="21.75" thickBot="1" x14ac:dyDescent="0.4">
      <c r="A121" s="92"/>
    </row>
    <row r="122" spans="1:1" ht="21.75" thickBot="1" x14ac:dyDescent="0.4">
      <c r="A122" s="92"/>
    </row>
    <row r="123" spans="1:1" ht="21.75" thickBot="1" x14ac:dyDescent="0.4">
      <c r="A123" s="92"/>
    </row>
    <row r="124" spans="1:1" ht="21.75" thickBot="1" x14ac:dyDescent="0.4">
      <c r="A124" s="92"/>
    </row>
    <row r="125" spans="1:1" ht="21.75" thickBot="1" x14ac:dyDescent="0.4">
      <c r="A125" s="92"/>
    </row>
    <row r="126" spans="1:1" ht="21.75" thickBot="1" x14ac:dyDescent="0.4">
      <c r="A126" s="92"/>
    </row>
    <row r="127" spans="1:1" ht="21.75" thickBot="1" x14ac:dyDescent="0.4">
      <c r="A127" s="92"/>
    </row>
    <row r="128" spans="1:1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7"/>
    </row>
    <row r="134" spans="1:72" ht="21.75" thickBot="1" x14ac:dyDescent="0.4">
      <c r="A134" s="87"/>
    </row>
    <row r="135" spans="1:72" ht="21.75" thickBot="1" x14ac:dyDescent="0.4">
      <c r="A135" s="87"/>
    </row>
    <row r="136" spans="1:72" ht="21.75" thickBot="1" x14ac:dyDescent="0.4">
      <c r="A136" s="87"/>
    </row>
    <row r="137" spans="1:72" ht="21.75" thickBot="1" x14ac:dyDescent="0.4">
      <c r="A137" s="87"/>
    </row>
    <row r="138" spans="1:72" ht="21.75" thickBot="1" x14ac:dyDescent="0.4">
      <c r="A138" s="87"/>
    </row>
    <row r="139" spans="1:72" ht="21.75" thickBot="1" x14ac:dyDescent="0.4">
      <c r="A139" s="87"/>
    </row>
    <row r="140" spans="1:72" ht="21.75" thickBot="1" x14ac:dyDescent="0.4">
      <c r="A140" s="87"/>
    </row>
    <row r="141" spans="1:72" ht="21.75" thickBot="1" x14ac:dyDescent="0.4">
      <c r="A141" s="87"/>
    </row>
    <row r="142" spans="1:72" ht="21.75" thickBot="1" x14ac:dyDescent="0.4">
      <c r="A142" s="87"/>
    </row>
    <row r="143" spans="1:72" ht="21.75" thickBot="1" x14ac:dyDescent="0.4">
      <c r="A143" s="87"/>
    </row>
    <row r="144" spans="1:72" ht="21.75" thickBot="1" x14ac:dyDescent="0.4">
      <c r="A144" s="87"/>
    </row>
    <row r="145" spans="1:1" ht="21.75" thickBot="1" x14ac:dyDescent="0.4">
      <c r="A145" s="87"/>
    </row>
    <row r="146" spans="1:1" ht="21.75" thickBot="1" x14ac:dyDescent="0.4">
      <c r="A146" s="87"/>
    </row>
    <row r="147" spans="1:1" ht="21.75" thickBot="1" x14ac:dyDescent="0.4">
      <c r="A147" s="87"/>
    </row>
    <row r="148" spans="1:1" ht="21.75" thickBot="1" x14ac:dyDescent="0.4">
      <c r="A148" s="87"/>
    </row>
    <row r="149" spans="1:1" ht="21.75" thickBot="1" x14ac:dyDescent="0.4">
      <c r="A149" s="87"/>
    </row>
    <row r="150" spans="1:1" ht="21.75" thickBot="1" x14ac:dyDescent="0.4">
      <c r="A150" s="87"/>
    </row>
    <row r="151" spans="1:1" ht="21.75" thickBot="1" x14ac:dyDescent="0.4">
      <c r="A151" s="87"/>
    </row>
    <row r="152" spans="1:1" ht="21.75" thickBot="1" x14ac:dyDescent="0.4">
      <c r="A152" s="87"/>
    </row>
    <row r="153" spans="1:1" ht="21.75" thickBot="1" x14ac:dyDescent="0.4">
      <c r="A153" s="87"/>
    </row>
    <row r="154" spans="1:1" ht="21.75" thickBot="1" x14ac:dyDescent="0.4">
      <c r="A154" s="87"/>
    </row>
    <row r="155" spans="1:1" ht="21.75" thickBot="1" x14ac:dyDescent="0.4">
      <c r="A155" s="87"/>
    </row>
    <row r="156" spans="1:1" ht="21.75" thickBot="1" x14ac:dyDescent="0.4">
      <c r="A156" s="87"/>
    </row>
    <row r="157" spans="1:1" ht="21.75" thickBot="1" x14ac:dyDescent="0.4">
      <c r="A157" s="87"/>
    </row>
    <row r="158" spans="1:1" ht="21.75" thickBot="1" x14ac:dyDescent="0.4">
      <c r="A158" s="87"/>
    </row>
    <row r="159" spans="1:1" ht="21.75" thickBot="1" x14ac:dyDescent="0.4">
      <c r="A159" s="87"/>
    </row>
    <row r="160" spans="1:1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4" priority="2" operator="equal">
      <formula>0</formula>
    </cfRule>
  </conditionalFormatting>
  <conditionalFormatting sqref="B133:BT16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Values</vt:lpstr>
      <vt:lpstr>ALL</vt:lpstr>
      <vt:lpstr>FLUID</vt:lpstr>
      <vt:lpstr>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2021-04-12T10:17:18Z</dcterms:modified>
</cp:coreProperties>
</file>